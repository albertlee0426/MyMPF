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p09\Desktop\mpf data\"/>
    </mc:Choice>
  </mc:AlternateContent>
  <xr:revisionPtr revIDLastSave="0" documentId="13_ncr:1_{F111CC6D-4DB1-4FE6-B395-3CCD8D6C53F3}" xr6:coauthVersionLast="47" xr6:coauthVersionMax="47" xr10:uidLastSave="{00000000-0000-0000-0000-000000000000}"/>
  <bookViews>
    <workbookView xWindow="-110" yWindow="-110" windowWidth="25820" windowHeight="13900" tabRatio="655" firstSheet="6" activeTab="11" xr2:uid="{5EA1ED4B-3470-4CB6-BE04-34EC659BE158}"/>
  </bookViews>
  <sheets>
    <sheet name="regression" sheetId="25" r:id="rId1"/>
    <sheet name="max_dd" sheetId="14" r:id="rId2"/>
    <sheet name="downside" sheetId="15" r:id="rId3"/>
    <sheet name="mpf_daily_price" sheetId="1" r:id="rId4"/>
    <sheet name="mpf_monthly_price" sheetId="4" r:id="rId5"/>
    <sheet name="correlation_matrix" sheetId="19" r:id="rId6"/>
    <sheet name="regression1" sheetId="30" r:id="rId7"/>
    <sheet name="mpf_monthly_return" sheetId="6" r:id="rId8"/>
    <sheet name="mpf_cum_return" sheetId="13" r:id="rId9"/>
    <sheet name="VOO" sheetId="17" r:id="rId10"/>
    <sheet name="2800" sheetId="18" r:id="rId11"/>
    <sheet name="stat" sheetId="7" r:id="rId12"/>
    <sheet name="format_stat" sheetId="27" r:id="rId13"/>
    <sheet name="optimisation" sheetId="31" r:id="rId14"/>
  </sheets>
  <definedNames>
    <definedName name="_xlnm._FilterDatabase" localSheetId="3" hidden="1">mpf_daily_price!$A$1:$N$3200</definedName>
    <definedName name="FromArray_1">_xlfn.ANCHORARRAY(#REF!)</definedName>
    <definedName name="solver_adj" localSheetId="13" hidden="1">optimisation!$P$3:$P$11</definedName>
    <definedName name="solver_cvg" localSheetId="13" hidden="1">0.0001</definedName>
    <definedName name="solver_drv" localSheetId="13" hidden="1">1</definedName>
    <definedName name="solver_eng" localSheetId="13" hidden="1">1</definedName>
    <definedName name="solver_est" localSheetId="13" hidden="1">1</definedName>
    <definedName name="solver_itr" localSheetId="13" hidden="1">2147483647</definedName>
    <definedName name="solver_lhs1" localSheetId="13" hidden="1">optimisation!$G$17</definedName>
    <definedName name="solver_mip" localSheetId="13" hidden="1">2147483647</definedName>
    <definedName name="solver_mni" localSheetId="13" hidden="1">30</definedName>
    <definedName name="solver_mrt" localSheetId="13" hidden="1">0.075</definedName>
    <definedName name="solver_msl" localSheetId="13" hidden="1">2</definedName>
    <definedName name="solver_neg" localSheetId="13" hidden="1">1</definedName>
    <definedName name="solver_nod" localSheetId="13" hidden="1">2147483647</definedName>
    <definedName name="solver_num" localSheetId="13" hidden="1">1</definedName>
    <definedName name="solver_nwt" localSheetId="13" hidden="1">1</definedName>
    <definedName name="solver_opt" localSheetId="13" hidden="1">optimisation!$F$17</definedName>
    <definedName name="solver_pre" localSheetId="13" hidden="1">0.000001</definedName>
    <definedName name="solver_rbv" localSheetId="13" hidden="1">1</definedName>
    <definedName name="solver_rel1" localSheetId="13" hidden="1">2</definedName>
    <definedName name="solver_rhs1" localSheetId="13" hidden="1">1</definedName>
    <definedName name="solver_rlx" localSheetId="13" hidden="1">2</definedName>
    <definedName name="solver_rsd" localSheetId="13" hidden="1">0</definedName>
    <definedName name="solver_scl" localSheetId="13" hidden="1">1</definedName>
    <definedName name="solver_sho" localSheetId="13" hidden="1">2</definedName>
    <definedName name="solver_ssz" localSheetId="13" hidden="1">100</definedName>
    <definedName name="solver_tim" localSheetId="13" hidden="1">2147483647</definedName>
    <definedName name="solver_tol" localSheetId="13" hidden="1">0.01</definedName>
    <definedName name="solver_typ" localSheetId="13" hidden="1">1</definedName>
    <definedName name="solver_val" localSheetId="13" hidden="1">0</definedName>
    <definedName name="solver_ver" localSheetId="13" hidden="1">3</definedName>
    <definedName name="外部資料_1" localSheetId="10" hidden="1">'2800'!$A$1:$B$109</definedName>
    <definedName name="外部資料_1" localSheetId="4" hidden="1">mpf_monthly_price!$A$1:$K$109</definedName>
    <definedName name="外部資料_1" localSheetId="9" hidden="1">VOO!$A$1:$B$109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" i="6" l="1"/>
  <c r="G17" i="31"/>
  <c r="D17" i="31" a="1"/>
  <c r="D17" i="31" s="1"/>
  <c r="E17" i="31" s="1"/>
  <c r="C17" i="31"/>
  <c r="F3" i="31"/>
  <c r="G4" i="31"/>
  <c r="H5" i="31"/>
  <c r="I6" i="31"/>
  <c r="J7" i="31"/>
  <c r="K8" i="31"/>
  <c r="L9" i="31"/>
  <c r="M10" i="31"/>
  <c r="N11" i="31"/>
  <c r="F17" i="31" l="1"/>
  <c r="B3" i="14" l="1"/>
  <c r="C3" i="14"/>
  <c r="D3" i="14"/>
  <c r="E3" i="14"/>
  <c r="F3" i="14"/>
  <c r="G3" i="14"/>
  <c r="H3" i="14"/>
  <c r="I3" i="14"/>
  <c r="J3" i="14"/>
  <c r="K3" i="14"/>
  <c r="B4" i="14"/>
  <c r="C4" i="14"/>
  <c r="D4" i="14"/>
  <c r="E4" i="14"/>
  <c r="F4" i="14"/>
  <c r="G4" i="14"/>
  <c r="H4" i="14"/>
  <c r="I4" i="14"/>
  <c r="J4" i="14"/>
  <c r="K4" i="14"/>
  <c r="B5" i="14"/>
  <c r="C5" i="14"/>
  <c r="D5" i="14"/>
  <c r="E5" i="14"/>
  <c r="F5" i="14"/>
  <c r="G5" i="14"/>
  <c r="H5" i="14"/>
  <c r="I5" i="14"/>
  <c r="J5" i="14"/>
  <c r="K5" i="14"/>
  <c r="B6" i="14"/>
  <c r="C6" i="14"/>
  <c r="D6" i="14"/>
  <c r="E6" i="14"/>
  <c r="F6" i="14"/>
  <c r="G6" i="14"/>
  <c r="H6" i="14"/>
  <c r="I6" i="14"/>
  <c r="J6" i="14"/>
  <c r="K6" i="14"/>
  <c r="B7" i="14"/>
  <c r="C7" i="14"/>
  <c r="D7" i="14"/>
  <c r="E7" i="14"/>
  <c r="F7" i="14"/>
  <c r="G7" i="14"/>
  <c r="H7" i="14"/>
  <c r="I7" i="14"/>
  <c r="J7" i="14"/>
  <c r="K7" i="14"/>
  <c r="B8" i="14"/>
  <c r="C8" i="14"/>
  <c r="D8" i="14"/>
  <c r="E8" i="14"/>
  <c r="F8" i="14"/>
  <c r="G8" i="14"/>
  <c r="H8" i="14"/>
  <c r="I8" i="14"/>
  <c r="J8" i="14"/>
  <c r="K8" i="14"/>
  <c r="B9" i="14"/>
  <c r="C9" i="14"/>
  <c r="D9" i="14"/>
  <c r="E9" i="14"/>
  <c r="F9" i="14"/>
  <c r="G9" i="14"/>
  <c r="H9" i="14"/>
  <c r="I9" i="14"/>
  <c r="J9" i="14"/>
  <c r="K9" i="14"/>
  <c r="B10" i="14"/>
  <c r="C10" i="14"/>
  <c r="D10" i="14"/>
  <c r="E10" i="14"/>
  <c r="F10" i="14"/>
  <c r="G10" i="14"/>
  <c r="H10" i="14"/>
  <c r="I10" i="14"/>
  <c r="J10" i="14"/>
  <c r="K10" i="14"/>
  <c r="B11" i="14"/>
  <c r="C11" i="14"/>
  <c r="D11" i="14"/>
  <c r="E11" i="14"/>
  <c r="F11" i="14"/>
  <c r="G11" i="14"/>
  <c r="H11" i="14"/>
  <c r="I11" i="14"/>
  <c r="J11" i="14"/>
  <c r="K11" i="14"/>
  <c r="B12" i="14"/>
  <c r="C12" i="14"/>
  <c r="D12" i="14"/>
  <c r="E12" i="14"/>
  <c r="F12" i="14"/>
  <c r="G12" i="14"/>
  <c r="H12" i="14"/>
  <c r="I12" i="14"/>
  <c r="J12" i="14"/>
  <c r="K12" i="14"/>
  <c r="B13" i="14"/>
  <c r="C13" i="14"/>
  <c r="D13" i="14"/>
  <c r="E13" i="14"/>
  <c r="F13" i="14"/>
  <c r="G13" i="14"/>
  <c r="H13" i="14"/>
  <c r="I13" i="14"/>
  <c r="J13" i="14"/>
  <c r="K13" i="14"/>
  <c r="B14" i="14"/>
  <c r="C14" i="14"/>
  <c r="D14" i="14"/>
  <c r="E14" i="14"/>
  <c r="F14" i="14"/>
  <c r="G14" i="14"/>
  <c r="H14" i="14"/>
  <c r="I14" i="14"/>
  <c r="J14" i="14"/>
  <c r="K14" i="14"/>
  <c r="B15" i="14"/>
  <c r="C15" i="14"/>
  <c r="D15" i="14"/>
  <c r="E15" i="14"/>
  <c r="F15" i="14"/>
  <c r="G15" i="14"/>
  <c r="H15" i="14"/>
  <c r="I15" i="14"/>
  <c r="J15" i="14"/>
  <c r="K15" i="14"/>
  <c r="B16" i="14"/>
  <c r="C16" i="14"/>
  <c r="D16" i="14"/>
  <c r="E16" i="14"/>
  <c r="F16" i="14"/>
  <c r="G16" i="14"/>
  <c r="H16" i="14"/>
  <c r="I16" i="14"/>
  <c r="J16" i="14"/>
  <c r="K16" i="14"/>
  <c r="B17" i="14"/>
  <c r="C17" i="14"/>
  <c r="D17" i="14"/>
  <c r="E17" i="14"/>
  <c r="F17" i="14"/>
  <c r="G17" i="14"/>
  <c r="H17" i="14"/>
  <c r="I17" i="14"/>
  <c r="J17" i="14"/>
  <c r="K17" i="14"/>
  <c r="B18" i="14"/>
  <c r="C18" i="14"/>
  <c r="D18" i="14"/>
  <c r="E18" i="14"/>
  <c r="F18" i="14"/>
  <c r="G18" i="14"/>
  <c r="H18" i="14"/>
  <c r="I18" i="14"/>
  <c r="J18" i="14"/>
  <c r="K18" i="14"/>
  <c r="B19" i="14"/>
  <c r="C19" i="14"/>
  <c r="D19" i="14"/>
  <c r="E19" i="14"/>
  <c r="F19" i="14"/>
  <c r="G19" i="14"/>
  <c r="H19" i="14"/>
  <c r="I19" i="14"/>
  <c r="J19" i="14"/>
  <c r="K19" i="14"/>
  <c r="B20" i="14"/>
  <c r="C20" i="14"/>
  <c r="D20" i="14"/>
  <c r="E20" i="14"/>
  <c r="F20" i="14"/>
  <c r="G20" i="14"/>
  <c r="H20" i="14"/>
  <c r="I20" i="14"/>
  <c r="J20" i="14"/>
  <c r="K20" i="14"/>
  <c r="B21" i="14"/>
  <c r="C21" i="14"/>
  <c r="D21" i="14"/>
  <c r="E21" i="14"/>
  <c r="F21" i="14"/>
  <c r="G21" i="14"/>
  <c r="H21" i="14"/>
  <c r="I21" i="14"/>
  <c r="J21" i="14"/>
  <c r="K21" i="14"/>
  <c r="B22" i="14"/>
  <c r="C22" i="14"/>
  <c r="D22" i="14"/>
  <c r="E22" i="14"/>
  <c r="F22" i="14"/>
  <c r="G22" i="14"/>
  <c r="H22" i="14"/>
  <c r="I22" i="14"/>
  <c r="J22" i="14"/>
  <c r="K22" i="14"/>
  <c r="B23" i="14"/>
  <c r="C23" i="14"/>
  <c r="D23" i="14"/>
  <c r="E23" i="14"/>
  <c r="F23" i="14"/>
  <c r="G23" i="14"/>
  <c r="H23" i="14"/>
  <c r="I23" i="14"/>
  <c r="J23" i="14"/>
  <c r="K23" i="14"/>
  <c r="B24" i="14"/>
  <c r="C24" i="14"/>
  <c r="D24" i="14"/>
  <c r="E24" i="14"/>
  <c r="F24" i="14"/>
  <c r="G24" i="14"/>
  <c r="H24" i="14"/>
  <c r="I24" i="14"/>
  <c r="J24" i="14"/>
  <c r="K24" i="14"/>
  <c r="B25" i="14"/>
  <c r="C25" i="14"/>
  <c r="D25" i="14"/>
  <c r="E25" i="14"/>
  <c r="F25" i="14"/>
  <c r="G25" i="14"/>
  <c r="H25" i="14"/>
  <c r="I25" i="14"/>
  <c r="J25" i="14"/>
  <c r="K25" i="14"/>
  <c r="B26" i="14"/>
  <c r="C26" i="14"/>
  <c r="D26" i="14"/>
  <c r="E26" i="14"/>
  <c r="F26" i="14"/>
  <c r="G26" i="14"/>
  <c r="H26" i="14"/>
  <c r="I26" i="14"/>
  <c r="J26" i="14"/>
  <c r="K26" i="14"/>
  <c r="B27" i="14"/>
  <c r="C27" i="14"/>
  <c r="D27" i="14"/>
  <c r="E27" i="14"/>
  <c r="F27" i="14"/>
  <c r="G27" i="14"/>
  <c r="H27" i="14"/>
  <c r="I27" i="14"/>
  <c r="J27" i="14"/>
  <c r="K27" i="14"/>
  <c r="B28" i="14"/>
  <c r="C28" i="14"/>
  <c r="D28" i="14"/>
  <c r="E28" i="14"/>
  <c r="F28" i="14"/>
  <c r="G28" i="14"/>
  <c r="H28" i="14"/>
  <c r="I28" i="14"/>
  <c r="J28" i="14"/>
  <c r="K28" i="14"/>
  <c r="B29" i="14"/>
  <c r="C29" i="14"/>
  <c r="D29" i="14"/>
  <c r="E29" i="14"/>
  <c r="F29" i="14"/>
  <c r="G29" i="14"/>
  <c r="H29" i="14"/>
  <c r="I29" i="14"/>
  <c r="J29" i="14"/>
  <c r="K29" i="14"/>
  <c r="B30" i="14"/>
  <c r="C30" i="14"/>
  <c r="D30" i="14"/>
  <c r="E30" i="14"/>
  <c r="F30" i="14"/>
  <c r="G30" i="14"/>
  <c r="H30" i="14"/>
  <c r="I30" i="14"/>
  <c r="J30" i="14"/>
  <c r="K30" i="14"/>
  <c r="B31" i="14"/>
  <c r="C31" i="14"/>
  <c r="D31" i="14"/>
  <c r="E31" i="14"/>
  <c r="F31" i="14"/>
  <c r="G31" i="14"/>
  <c r="H31" i="14"/>
  <c r="I31" i="14"/>
  <c r="J31" i="14"/>
  <c r="K31" i="14"/>
  <c r="B32" i="14"/>
  <c r="C32" i="14"/>
  <c r="D32" i="14"/>
  <c r="E32" i="14"/>
  <c r="F32" i="14"/>
  <c r="G32" i="14"/>
  <c r="H32" i="14"/>
  <c r="I32" i="14"/>
  <c r="J32" i="14"/>
  <c r="K32" i="14"/>
  <c r="B33" i="14"/>
  <c r="C33" i="14"/>
  <c r="D33" i="14"/>
  <c r="E33" i="14"/>
  <c r="F33" i="14"/>
  <c r="G33" i="14"/>
  <c r="H33" i="14"/>
  <c r="I33" i="14"/>
  <c r="J33" i="14"/>
  <c r="K33" i="14"/>
  <c r="B34" i="14"/>
  <c r="C34" i="14"/>
  <c r="D34" i="14"/>
  <c r="E34" i="14"/>
  <c r="F34" i="14"/>
  <c r="G34" i="14"/>
  <c r="H34" i="14"/>
  <c r="I34" i="14"/>
  <c r="J34" i="14"/>
  <c r="K34" i="14"/>
  <c r="B35" i="14"/>
  <c r="C35" i="14"/>
  <c r="D35" i="14"/>
  <c r="E35" i="14"/>
  <c r="F35" i="14"/>
  <c r="G35" i="14"/>
  <c r="H35" i="14"/>
  <c r="I35" i="14"/>
  <c r="J35" i="14"/>
  <c r="K35" i="14"/>
  <c r="B36" i="14"/>
  <c r="C36" i="14"/>
  <c r="D36" i="14"/>
  <c r="E36" i="14"/>
  <c r="F36" i="14"/>
  <c r="G36" i="14"/>
  <c r="H36" i="14"/>
  <c r="I36" i="14"/>
  <c r="J36" i="14"/>
  <c r="K36" i="14"/>
  <c r="B37" i="14"/>
  <c r="C37" i="14"/>
  <c r="D37" i="14"/>
  <c r="E37" i="14"/>
  <c r="F37" i="14"/>
  <c r="G37" i="14"/>
  <c r="H37" i="14"/>
  <c r="I37" i="14"/>
  <c r="J37" i="14"/>
  <c r="K37" i="14"/>
  <c r="B38" i="14"/>
  <c r="C38" i="14"/>
  <c r="D38" i="14"/>
  <c r="E38" i="14"/>
  <c r="F38" i="14"/>
  <c r="G38" i="14"/>
  <c r="H38" i="14"/>
  <c r="I38" i="14"/>
  <c r="J38" i="14"/>
  <c r="K38" i="14"/>
  <c r="B39" i="14"/>
  <c r="C39" i="14"/>
  <c r="D39" i="14"/>
  <c r="E39" i="14"/>
  <c r="F39" i="14"/>
  <c r="G39" i="14"/>
  <c r="H39" i="14"/>
  <c r="I39" i="14"/>
  <c r="J39" i="14"/>
  <c r="K39" i="14"/>
  <c r="B40" i="14"/>
  <c r="C40" i="14"/>
  <c r="D40" i="14"/>
  <c r="E40" i="14"/>
  <c r="F40" i="14"/>
  <c r="G40" i="14"/>
  <c r="H40" i="14"/>
  <c r="I40" i="14"/>
  <c r="J40" i="14"/>
  <c r="K40" i="14"/>
  <c r="B41" i="14"/>
  <c r="C41" i="14"/>
  <c r="D41" i="14"/>
  <c r="E41" i="14"/>
  <c r="F41" i="14"/>
  <c r="G41" i="14"/>
  <c r="H41" i="14"/>
  <c r="I41" i="14"/>
  <c r="J41" i="14"/>
  <c r="K41" i="14"/>
  <c r="B42" i="14"/>
  <c r="C42" i="14"/>
  <c r="D42" i="14"/>
  <c r="E42" i="14"/>
  <c r="F42" i="14"/>
  <c r="G42" i="14"/>
  <c r="H42" i="14"/>
  <c r="I42" i="14"/>
  <c r="J42" i="14"/>
  <c r="K42" i="14"/>
  <c r="B43" i="14"/>
  <c r="C43" i="14"/>
  <c r="D43" i="14"/>
  <c r="E43" i="14"/>
  <c r="F43" i="14"/>
  <c r="G43" i="14"/>
  <c r="H43" i="14"/>
  <c r="I43" i="14"/>
  <c r="J43" i="14"/>
  <c r="K43" i="14"/>
  <c r="B44" i="14"/>
  <c r="C44" i="14"/>
  <c r="D44" i="14"/>
  <c r="E44" i="14"/>
  <c r="F44" i="14"/>
  <c r="G44" i="14"/>
  <c r="H44" i="14"/>
  <c r="I44" i="14"/>
  <c r="J44" i="14"/>
  <c r="K44" i="14"/>
  <c r="B45" i="14"/>
  <c r="C45" i="14"/>
  <c r="D45" i="14"/>
  <c r="E45" i="14"/>
  <c r="F45" i="14"/>
  <c r="G45" i="14"/>
  <c r="H45" i="14"/>
  <c r="I45" i="14"/>
  <c r="J45" i="14"/>
  <c r="K45" i="14"/>
  <c r="B46" i="14"/>
  <c r="C46" i="14"/>
  <c r="D46" i="14"/>
  <c r="E46" i="14"/>
  <c r="F46" i="14"/>
  <c r="G46" i="14"/>
  <c r="H46" i="14"/>
  <c r="I46" i="14"/>
  <c r="J46" i="14"/>
  <c r="K46" i="14"/>
  <c r="B47" i="14"/>
  <c r="C47" i="14"/>
  <c r="D47" i="14"/>
  <c r="E47" i="14"/>
  <c r="F47" i="14"/>
  <c r="G47" i="14"/>
  <c r="H47" i="14"/>
  <c r="I47" i="14"/>
  <c r="J47" i="14"/>
  <c r="K47" i="14"/>
  <c r="B48" i="14"/>
  <c r="C48" i="14"/>
  <c r="D48" i="14"/>
  <c r="E48" i="14"/>
  <c r="F48" i="14"/>
  <c r="G48" i="14"/>
  <c r="H48" i="14"/>
  <c r="I48" i="14"/>
  <c r="J48" i="14"/>
  <c r="K48" i="14"/>
  <c r="B49" i="14"/>
  <c r="C49" i="14"/>
  <c r="D49" i="14"/>
  <c r="E49" i="14"/>
  <c r="F49" i="14"/>
  <c r="G49" i="14"/>
  <c r="H49" i="14"/>
  <c r="I49" i="14"/>
  <c r="J49" i="14"/>
  <c r="K49" i="14"/>
  <c r="B50" i="14"/>
  <c r="C50" i="14"/>
  <c r="D50" i="14"/>
  <c r="E50" i="14"/>
  <c r="F50" i="14"/>
  <c r="G50" i="14"/>
  <c r="H50" i="14"/>
  <c r="I50" i="14"/>
  <c r="J50" i="14"/>
  <c r="K50" i="14"/>
  <c r="B51" i="14"/>
  <c r="C51" i="14"/>
  <c r="D51" i="14"/>
  <c r="E51" i="14"/>
  <c r="F51" i="14"/>
  <c r="G51" i="14"/>
  <c r="H51" i="14"/>
  <c r="I51" i="14"/>
  <c r="J51" i="14"/>
  <c r="K51" i="14"/>
  <c r="B52" i="14"/>
  <c r="C52" i="14"/>
  <c r="D52" i="14"/>
  <c r="E52" i="14"/>
  <c r="F52" i="14"/>
  <c r="G52" i="14"/>
  <c r="H52" i="14"/>
  <c r="I52" i="14"/>
  <c r="J52" i="14"/>
  <c r="K52" i="14"/>
  <c r="B53" i="14"/>
  <c r="C53" i="14"/>
  <c r="D53" i="14"/>
  <c r="E53" i="14"/>
  <c r="F53" i="14"/>
  <c r="G53" i="14"/>
  <c r="H53" i="14"/>
  <c r="I53" i="14"/>
  <c r="J53" i="14"/>
  <c r="K53" i="14"/>
  <c r="B54" i="14"/>
  <c r="C54" i="14"/>
  <c r="D54" i="14"/>
  <c r="E54" i="14"/>
  <c r="F54" i="14"/>
  <c r="G54" i="14"/>
  <c r="H54" i="14"/>
  <c r="I54" i="14"/>
  <c r="J54" i="14"/>
  <c r="K54" i="14"/>
  <c r="B55" i="14"/>
  <c r="C55" i="14"/>
  <c r="D55" i="14"/>
  <c r="E55" i="14"/>
  <c r="F55" i="14"/>
  <c r="G55" i="14"/>
  <c r="H55" i="14"/>
  <c r="I55" i="14"/>
  <c r="J55" i="14"/>
  <c r="K55" i="14"/>
  <c r="B56" i="14"/>
  <c r="C56" i="14"/>
  <c r="D56" i="14"/>
  <c r="E56" i="14"/>
  <c r="F56" i="14"/>
  <c r="G56" i="14"/>
  <c r="H56" i="14"/>
  <c r="I56" i="14"/>
  <c r="J56" i="14"/>
  <c r="K56" i="14"/>
  <c r="B57" i="14"/>
  <c r="C57" i="14"/>
  <c r="D57" i="14"/>
  <c r="E57" i="14"/>
  <c r="F57" i="14"/>
  <c r="G57" i="14"/>
  <c r="H57" i="14"/>
  <c r="I57" i="14"/>
  <c r="J57" i="14"/>
  <c r="K57" i="14"/>
  <c r="B58" i="14"/>
  <c r="C58" i="14"/>
  <c r="D58" i="14"/>
  <c r="E58" i="14"/>
  <c r="F58" i="14"/>
  <c r="G58" i="14"/>
  <c r="H58" i="14"/>
  <c r="I58" i="14"/>
  <c r="J58" i="14"/>
  <c r="K58" i="14"/>
  <c r="B59" i="14"/>
  <c r="C59" i="14"/>
  <c r="D59" i="14"/>
  <c r="E59" i="14"/>
  <c r="F59" i="14"/>
  <c r="G59" i="14"/>
  <c r="H59" i="14"/>
  <c r="I59" i="14"/>
  <c r="J59" i="14"/>
  <c r="K59" i="14"/>
  <c r="B60" i="14"/>
  <c r="C60" i="14"/>
  <c r="D60" i="14"/>
  <c r="E60" i="14"/>
  <c r="F60" i="14"/>
  <c r="G60" i="14"/>
  <c r="H60" i="14"/>
  <c r="I60" i="14"/>
  <c r="J60" i="14"/>
  <c r="K60" i="14"/>
  <c r="B61" i="14"/>
  <c r="C61" i="14"/>
  <c r="D61" i="14"/>
  <c r="E61" i="14"/>
  <c r="F61" i="14"/>
  <c r="G61" i="14"/>
  <c r="H61" i="14"/>
  <c r="I61" i="14"/>
  <c r="J61" i="14"/>
  <c r="K61" i="14"/>
  <c r="B62" i="14"/>
  <c r="C62" i="14"/>
  <c r="D62" i="14"/>
  <c r="E62" i="14"/>
  <c r="F62" i="14"/>
  <c r="G62" i="14"/>
  <c r="H62" i="14"/>
  <c r="I62" i="14"/>
  <c r="J62" i="14"/>
  <c r="K62" i="14"/>
  <c r="B63" i="14"/>
  <c r="C63" i="14"/>
  <c r="D63" i="14"/>
  <c r="E63" i="14"/>
  <c r="F63" i="14"/>
  <c r="G63" i="14"/>
  <c r="H63" i="14"/>
  <c r="I63" i="14"/>
  <c r="J63" i="14"/>
  <c r="K63" i="14"/>
  <c r="B64" i="14"/>
  <c r="C64" i="14"/>
  <c r="D64" i="14"/>
  <c r="E64" i="14"/>
  <c r="F64" i="14"/>
  <c r="G64" i="14"/>
  <c r="H64" i="14"/>
  <c r="I64" i="14"/>
  <c r="J64" i="14"/>
  <c r="K64" i="14"/>
  <c r="B65" i="14"/>
  <c r="C65" i="14"/>
  <c r="D65" i="14"/>
  <c r="E65" i="14"/>
  <c r="F65" i="14"/>
  <c r="G65" i="14"/>
  <c r="H65" i="14"/>
  <c r="I65" i="14"/>
  <c r="J65" i="14"/>
  <c r="K65" i="14"/>
  <c r="B66" i="14"/>
  <c r="C66" i="14"/>
  <c r="D66" i="14"/>
  <c r="E66" i="14"/>
  <c r="F66" i="14"/>
  <c r="G66" i="14"/>
  <c r="H66" i="14"/>
  <c r="I66" i="14"/>
  <c r="J66" i="14"/>
  <c r="K66" i="14"/>
  <c r="B67" i="14"/>
  <c r="C67" i="14"/>
  <c r="D67" i="14"/>
  <c r="E67" i="14"/>
  <c r="F67" i="14"/>
  <c r="G67" i="14"/>
  <c r="H67" i="14"/>
  <c r="I67" i="14"/>
  <c r="J67" i="14"/>
  <c r="K67" i="14"/>
  <c r="B68" i="14"/>
  <c r="C68" i="14"/>
  <c r="D68" i="14"/>
  <c r="E68" i="14"/>
  <c r="F68" i="14"/>
  <c r="G68" i="14"/>
  <c r="H68" i="14"/>
  <c r="I68" i="14"/>
  <c r="J68" i="14"/>
  <c r="K68" i="14"/>
  <c r="B69" i="14"/>
  <c r="C69" i="14"/>
  <c r="D69" i="14"/>
  <c r="E69" i="14"/>
  <c r="F69" i="14"/>
  <c r="G69" i="14"/>
  <c r="H69" i="14"/>
  <c r="I69" i="14"/>
  <c r="J69" i="14"/>
  <c r="K69" i="14"/>
  <c r="B70" i="14"/>
  <c r="C70" i="14"/>
  <c r="D70" i="14"/>
  <c r="E70" i="14"/>
  <c r="F70" i="14"/>
  <c r="G70" i="14"/>
  <c r="H70" i="14"/>
  <c r="I70" i="14"/>
  <c r="J70" i="14"/>
  <c r="K70" i="14"/>
  <c r="B71" i="14"/>
  <c r="C71" i="14"/>
  <c r="D71" i="14"/>
  <c r="E71" i="14"/>
  <c r="F71" i="14"/>
  <c r="G71" i="14"/>
  <c r="H71" i="14"/>
  <c r="I71" i="14"/>
  <c r="J71" i="14"/>
  <c r="K71" i="14"/>
  <c r="B72" i="14"/>
  <c r="C72" i="14"/>
  <c r="D72" i="14"/>
  <c r="E72" i="14"/>
  <c r="F72" i="14"/>
  <c r="G72" i="14"/>
  <c r="H72" i="14"/>
  <c r="I72" i="14"/>
  <c r="J72" i="14"/>
  <c r="K72" i="14"/>
  <c r="B73" i="14"/>
  <c r="C73" i="14"/>
  <c r="D73" i="14"/>
  <c r="E73" i="14"/>
  <c r="F73" i="14"/>
  <c r="G73" i="14"/>
  <c r="H73" i="14"/>
  <c r="I73" i="14"/>
  <c r="J73" i="14"/>
  <c r="K73" i="14"/>
  <c r="B74" i="14"/>
  <c r="C74" i="14"/>
  <c r="D74" i="14"/>
  <c r="E74" i="14"/>
  <c r="F74" i="14"/>
  <c r="G74" i="14"/>
  <c r="H74" i="14"/>
  <c r="I74" i="14"/>
  <c r="J74" i="14"/>
  <c r="K74" i="14"/>
  <c r="B75" i="14"/>
  <c r="C75" i="14"/>
  <c r="D75" i="14"/>
  <c r="E75" i="14"/>
  <c r="F75" i="14"/>
  <c r="G75" i="14"/>
  <c r="H75" i="14"/>
  <c r="I75" i="14"/>
  <c r="J75" i="14"/>
  <c r="K75" i="14"/>
  <c r="B76" i="14"/>
  <c r="C76" i="14"/>
  <c r="D76" i="14"/>
  <c r="E76" i="14"/>
  <c r="F76" i="14"/>
  <c r="G76" i="14"/>
  <c r="H76" i="14"/>
  <c r="I76" i="14"/>
  <c r="J76" i="14"/>
  <c r="K76" i="14"/>
  <c r="B77" i="14"/>
  <c r="C77" i="14"/>
  <c r="D77" i="14"/>
  <c r="E77" i="14"/>
  <c r="F77" i="14"/>
  <c r="G77" i="14"/>
  <c r="H77" i="14"/>
  <c r="I77" i="14"/>
  <c r="J77" i="14"/>
  <c r="K77" i="14"/>
  <c r="B78" i="14"/>
  <c r="C78" i="14"/>
  <c r="D78" i="14"/>
  <c r="E78" i="14"/>
  <c r="F78" i="14"/>
  <c r="G78" i="14"/>
  <c r="H78" i="14"/>
  <c r="I78" i="14"/>
  <c r="J78" i="14"/>
  <c r="K78" i="14"/>
  <c r="B79" i="14"/>
  <c r="C79" i="14"/>
  <c r="D79" i="14"/>
  <c r="E79" i="14"/>
  <c r="F79" i="14"/>
  <c r="G79" i="14"/>
  <c r="H79" i="14"/>
  <c r="I79" i="14"/>
  <c r="J79" i="14"/>
  <c r="K79" i="14"/>
  <c r="B80" i="14"/>
  <c r="C80" i="14"/>
  <c r="D80" i="14"/>
  <c r="E80" i="14"/>
  <c r="F80" i="14"/>
  <c r="G80" i="14"/>
  <c r="H80" i="14"/>
  <c r="I80" i="14"/>
  <c r="J80" i="14"/>
  <c r="K80" i="14"/>
  <c r="B81" i="14"/>
  <c r="C81" i="14"/>
  <c r="D81" i="14"/>
  <c r="E81" i="14"/>
  <c r="F81" i="14"/>
  <c r="G81" i="14"/>
  <c r="H81" i="14"/>
  <c r="I81" i="14"/>
  <c r="J81" i="14"/>
  <c r="K81" i="14"/>
  <c r="B82" i="14"/>
  <c r="C82" i="14"/>
  <c r="D82" i="14"/>
  <c r="E82" i="14"/>
  <c r="F82" i="14"/>
  <c r="G82" i="14"/>
  <c r="H82" i="14"/>
  <c r="I82" i="14"/>
  <c r="J82" i="14"/>
  <c r="K82" i="14"/>
  <c r="B83" i="14"/>
  <c r="C83" i="14"/>
  <c r="D83" i="14"/>
  <c r="E83" i="14"/>
  <c r="F83" i="14"/>
  <c r="G83" i="14"/>
  <c r="H83" i="14"/>
  <c r="I83" i="14"/>
  <c r="J83" i="14"/>
  <c r="K83" i="14"/>
  <c r="B84" i="14"/>
  <c r="C84" i="14"/>
  <c r="D84" i="14"/>
  <c r="E84" i="14"/>
  <c r="F84" i="14"/>
  <c r="G84" i="14"/>
  <c r="H84" i="14"/>
  <c r="I84" i="14"/>
  <c r="J84" i="14"/>
  <c r="K84" i="14"/>
  <c r="B85" i="14"/>
  <c r="C85" i="14"/>
  <c r="D85" i="14"/>
  <c r="E85" i="14"/>
  <c r="F85" i="14"/>
  <c r="G85" i="14"/>
  <c r="H85" i="14"/>
  <c r="I85" i="14"/>
  <c r="J85" i="14"/>
  <c r="K85" i="14"/>
  <c r="B86" i="14"/>
  <c r="C86" i="14"/>
  <c r="D86" i="14"/>
  <c r="E86" i="14"/>
  <c r="F86" i="14"/>
  <c r="G86" i="14"/>
  <c r="H86" i="14"/>
  <c r="I86" i="14"/>
  <c r="J86" i="14"/>
  <c r="K86" i="14"/>
  <c r="B87" i="14"/>
  <c r="C87" i="14"/>
  <c r="D87" i="14"/>
  <c r="E87" i="14"/>
  <c r="F87" i="14"/>
  <c r="G87" i="14"/>
  <c r="H87" i="14"/>
  <c r="I87" i="14"/>
  <c r="J87" i="14"/>
  <c r="K87" i="14"/>
  <c r="B88" i="14"/>
  <c r="C88" i="14"/>
  <c r="D88" i="14"/>
  <c r="E88" i="14"/>
  <c r="F88" i="14"/>
  <c r="G88" i="14"/>
  <c r="H88" i="14"/>
  <c r="I88" i="14"/>
  <c r="J88" i="14"/>
  <c r="K88" i="14"/>
  <c r="B89" i="14"/>
  <c r="C89" i="14"/>
  <c r="D89" i="14"/>
  <c r="E89" i="14"/>
  <c r="F89" i="14"/>
  <c r="G89" i="14"/>
  <c r="H89" i="14"/>
  <c r="I89" i="14"/>
  <c r="J89" i="14"/>
  <c r="K89" i="14"/>
  <c r="B90" i="14"/>
  <c r="C90" i="14"/>
  <c r="D90" i="14"/>
  <c r="E90" i="14"/>
  <c r="F90" i="14"/>
  <c r="G90" i="14"/>
  <c r="H90" i="14"/>
  <c r="I90" i="14"/>
  <c r="J90" i="14"/>
  <c r="K90" i="14"/>
  <c r="B91" i="14"/>
  <c r="C91" i="14"/>
  <c r="D91" i="14"/>
  <c r="E91" i="14"/>
  <c r="F91" i="14"/>
  <c r="G91" i="14"/>
  <c r="H91" i="14"/>
  <c r="I91" i="14"/>
  <c r="J91" i="14"/>
  <c r="K91" i="14"/>
  <c r="B92" i="14"/>
  <c r="C92" i="14"/>
  <c r="D92" i="14"/>
  <c r="E92" i="14"/>
  <c r="F92" i="14"/>
  <c r="G92" i="14"/>
  <c r="H92" i="14"/>
  <c r="I92" i="14"/>
  <c r="J92" i="14"/>
  <c r="K92" i="14"/>
  <c r="B93" i="14"/>
  <c r="C93" i="14"/>
  <c r="D93" i="14"/>
  <c r="E93" i="14"/>
  <c r="F93" i="14"/>
  <c r="G93" i="14"/>
  <c r="H93" i="14"/>
  <c r="I93" i="14"/>
  <c r="J93" i="14"/>
  <c r="K93" i="14"/>
  <c r="B94" i="14"/>
  <c r="C94" i="14"/>
  <c r="D94" i="14"/>
  <c r="E94" i="14"/>
  <c r="F94" i="14"/>
  <c r="G94" i="14"/>
  <c r="H94" i="14"/>
  <c r="I94" i="14"/>
  <c r="J94" i="14"/>
  <c r="K94" i="14"/>
  <c r="B95" i="14"/>
  <c r="C95" i="14"/>
  <c r="D95" i="14"/>
  <c r="E95" i="14"/>
  <c r="F95" i="14"/>
  <c r="G95" i="14"/>
  <c r="H95" i="14"/>
  <c r="I95" i="14"/>
  <c r="J95" i="14"/>
  <c r="K95" i="14"/>
  <c r="B96" i="14"/>
  <c r="C96" i="14"/>
  <c r="D96" i="14"/>
  <c r="E96" i="14"/>
  <c r="F96" i="14"/>
  <c r="G96" i="14"/>
  <c r="H96" i="14"/>
  <c r="I96" i="14"/>
  <c r="J96" i="14"/>
  <c r="K96" i="14"/>
  <c r="B97" i="14"/>
  <c r="C97" i="14"/>
  <c r="D97" i="14"/>
  <c r="E97" i="14"/>
  <c r="F97" i="14"/>
  <c r="G97" i="14"/>
  <c r="H97" i="14"/>
  <c r="I97" i="14"/>
  <c r="J97" i="14"/>
  <c r="K97" i="14"/>
  <c r="B98" i="14"/>
  <c r="C98" i="14"/>
  <c r="D98" i="14"/>
  <c r="E98" i="14"/>
  <c r="F98" i="14"/>
  <c r="G98" i="14"/>
  <c r="H98" i="14"/>
  <c r="I98" i="14"/>
  <c r="J98" i="14"/>
  <c r="K98" i="14"/>
  <c r="B99" i="14"/>
  <c r="C99" i="14"/>
  <c r="D99" i="14"/>
  <c r="E99" i="14"/>
  <c r="F99" i="14"/>
  <c r="G99" i="14"/>
  <c r="H99" i="14"/>
  <c r="I99" i="14"/>
  <c r="J99" i="14"/>
  <c r="K99" i="14"/>
  <c r="B100" i="14"/>
  <c r="C100" i="14"/>
  <c r="D100" i="14"/>
  <c r="E100" i="14"/>
  <c r="F100" i="14"/>
  <c r="G100" i="14"/>
  <c r="H100" i="14"/>
  <c r="I100" i="14"/>
  <c r="J100" i="14"/>
  <c r="K100" i="14"/>
  <c r="B101" i="14"/>
  <c r="C101" i="14"/>
  <c r="D101" i="14"/>
  <c r="E101" i="14"/>
  <c r="F101" i="14"/>
  <c r="G101" i="14"/>
  <c r="H101" i="14"/>
  <c r="I101" i="14"/>
  <c r="J101" i="14"/>
  <c r="K101" i="14"/>
  <c r="B102" i="14"/>
  <c r="C102" i="14"/>
  <c r="D102" i="14"/>
  <c r="E102" i="14"/>
  <c r="F102" i="14"/>
  <c r="G102" i="14"/>
  <c r="H102" i="14"/>
  <c r="I102" i="14"/>
  <c r="J102" i="14"/>
  <c r="K102" i="14"/>
  <c r="B103" i="14"/>
  <c r="C103" i="14"/>
  <c r="D103" i="14"/>
  <c r="E103" i="14"/>
  <c r="F103" i="14"/>
  <c r="G103" i="14"/>
  <c r="H103" i="14"/>
  <c r="I103" i="14"/>
  <c r="J103" i="14"/>
  <c r="K103" i="14"/>
  <c r="B104" i="14"/>
  <c r="C104" i="14"/>
  <c r="D104" i="14"/>
  <c r="E104" i="14"/>
  <c r="F104" i="14"/>
  <c r="G104" i="14"/>
  <c r="H104" i="14"/>
  <c r="I104" i="14"/>
  <c r="J104" i="14"/>
  <c r="K104" i="14"/>
  <c r="B105" i="14"/>
  <c r="C105" i="14"/>
  <c r="D105" i="14"/>
  <c r="E105" i="14"/>
  <c r="F105" i="14"/>
  <c r="G105" i="14"/>
  <c r="H105" i="14"/>
  <c r="I105" i="14"/>
  <c r="J105" i="14"/>
  <c r="K105" i="14"/>
  <c r="B106" i="14"/>
  <c r="C106" i="14"/>
  <c r="D106" i="14"/>
  <c r="E106" i="14"/>
  <c r="F106" i="14"/>
  <c r="G106" i="14"/>
  <c r="H106" i="14"/>
  <c r="I106" i="14"/>
  <c r="J106" i="14"/>
  <c r="K106" i="14"/>
  <c r="B107" i="14"/>
  <c r="C107" i="14"/>
  <c r="D107" i="14"/>
  <c r="E107" i="14"/>
  <c r="F107" i="14"/>
  <c r="G107" i="14"/>
  <c r="H107" i="14"/>
  <c r="I107" i="14"/>
  <c r="J107" i="14"/>
  <c r="K107" i="14"/>
  <c r="B108" i="14"/>
  <c r="C108" i="14"/>
  <c r="D108" i="14"/>
  <c r="E108" i="14"/>
  <c r="F108" i="14"/>
  <c r="G108" i="14"/>
  <c r="H108" i="14"/>
  <c r="I108" i="14"/>
  <c r="J108" i="14"/>
  <c r="K108" i="14"/>
  <c r="C2" i="14"/>
  <c r="D2" i="14"/>
  <c r="E2" i="14"/>
  <c r="F2" i="14"/>
  <c r="G2" i="14"/>
  <c r="H2" i="14"/>
  <c r="I2" i="14"/>
  <c r="J2" i="14"/>
  <c r="K2" i="14"/>
  <c r="B2" i="14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3" i="18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3" i="17"/>
  <c r="F2" i="18"/>
  <c r="F5" i="18"/>
  <c r="F6" i="18"/>
  <c r="F7" i="18"/>
  <c r="F8" i="18"/>
  <c r="F9" i="18"/>
  <c r="F10" i="18"/>
  <c r="F11" i="18"/>
  <c r="F12" i="18"/>
  <c r="F13" i="18"/>
  <c r="F14" i="18"/>
  <c r="F15" i="18"/>
  <c r="F37" i="18"/>
  <c r="F38" i="18"/>
  <c r="F39" i="18"/>
  <c r="F40" i="18"/>
  <c r="F41" i="18"/>
  <c r="F53" i="18"/>
  <c r="F54" i="18"/>
  <c r="F55" i="18"/>
  <c r="F56" i="18"/>
  <c r="F57" i="18"/>
  <c r="F58" i="18"/>
  <c r="F59" i="18"/>
  <c r="F60" i="18"/>
  <c r="F61" i="18"/>
  <c r="F62" i="18"/>
  <c r="F85" i="18"/>
  <c r="F86" i="18"/>
  <c r="F87" i="18"/>
  <c r="F88" i="18"/>
  <c r="F101" i="18"/>
  <c r="F102" i="18"/>
  <c r="F103" i="18"/>
  <c r="F104" i="18"/>
  <c r="F105" i="18"/>
  <c r="F106" i="18"/>
  <c r="F107" i="18"/>
  <c r="F108" i="18"/>
  <c r="F109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F16" i="18" s="1"/>
  <c r="C17" i="18"/>
  <c r="F17" i="18" s="1"/>
  <c r="C18" i="18"/>
  <c r="C19" i="18"/>
  <c r="F19" i="18" s="1"/>
  <c r="C20" i="18"/>
  <c r="F20" i="18" s="1"/>
  <c r="C21" i="18"/>
  <c r="F21" i="18" s="1"/>
  <c r="C22" i="18"/>
  <c r="F22" i="18" s="1"/>
  <c r="C23" i="18"/>
  <c r="F23" i="18" s="1"/>
  <c r="C24" i="18"/>
  <c r="F24" i="18" s="1"/>
  <c r="C25" i="18"/>
  <c r="F25" i="18" s="1"/>
  <c r="C26" i="18"/>
  <c r="F26" i="18" s="1"/>
  <c r="C27" i="18"/>
  <c r="F27" i="18" s="1"/>
  <c r="C28" i="18"/>
  <c r="F28" i="18" s="1"/>
  <c r="C29" i="18"/>
  <c r="F29" i="18" s="1"/>
  <c r="C30" i="18"/>
  <c r="F30" i="18" s="1"/>
  <c r="C31" i="18"/>
  <c r="F31" i="18" s="1"/>
  <c r="C32" i="18"/>
  <c r="F32" i="18" s="1"/>
  <c r="C33" i="18"/>
  <c r="F33" i="18" s="1"/>
  <c r="C34" i="18"/>
  <c r="C35" i="18"/>
  <c r="F35" i="18" s="1"/>
  <c r="C36" i="18"/>
  <c r="F36" i="18" s="1"/>
  <c r="C37" i="18"/>
  <c r="C38" i="18"/>
  <c r="C39" i="18"/>
  <c r="C40" i="18"/>
  <c r="C41" i="18"/>
  <c r="C42" i="18"/>
  <c r="F42" i="18" s="1"/>
  <c r="C43" i="18"/>
  <c r="F43" i="18" s="1"/>
  <c r="C44" i="18"/>
  <c r="F44" i="18" s="1"/>
  <c r="C45" i="18"/>
  <c r="F45" i="18" s="1"/>
  <c r="C46" i="18"/>
  <c r="F46" i="18" s="1"/>
  <c r="C47" i="18"/>
  <c r="F47" i="18" s="1"/>
  <c r="C48" i="18"/>
  <c r="F48" i="18" s="1"/>
  <c r="C49" i="18"/>
  <c r="F49" i="18" s="1"/>
  <c r="C50" i="18"/>
  <c r="F50" i="18" s="1"/>
  <c r="C51" i="18"/>
  <c r="F51" i="18" s="1"/>
  <c r="C52" i="18"/>
  <c r="F52" i="18" s="1"/>
  <c r="C53" i="18"/>
  <c r="C54" i="18"/>
  <c r="C55" i="18"/>
  <c r="C56" i="18"/>
  <c r="C57" i="18"/>
  <c r="C58" i="18"/>
  <c r="C59" i="18"/>
  <c r="C60" i="18"/>
  <c r="C61" i="18"/>
  <c r="C62" i="18"/>
  <c r="C63" i="18"/>
  <c r="F63" i="18" s="1"/>
  <c r="C64" i="18"/>
  <c r="F64" i="18" s="1"/>
  <c r="C65" i="18"/>
  <c r="F65" i="18" s="1"/>
  <c r="C66" i="18"/>
  <c r="C67" i="18"/>
  <c r="F67" i="18" s="1"/>
  <c r="C68" i="18"/>
  <c r="F68" i="18" s="1"/>
  <c r="C69" i="18"/>
  <c r="F69" i="18" s="1"/>
  <c r="C70" i="18"/>
  <c r="F70" i="18" s="1"/>
  <c r="C71" i="18"/>
  <c r="F71" i="18" s="1"/>
  <c r="C72" i="18"/>
  <c r="F72" i="18" s="1"/>
  <c r="C73" i="18"/>
  <c r="F73" i="18" s="1"/>
  <c r="C74" i="18"/>
  <c r="F74" i="18" s="1"/>
  <c r="C75" i="18"/>
  <c r="F75" i="18" s="1"/>
  <c r="C76" i="18"/>
  <c r="F76" i="18" s="1"/>
  <c r="C77" i="18"/>
  <c r="F77" i="18" s="1"/>
  <c r="C78" i="18"/>
  <c r="F78" i="18" s="1"/>
  <c r="C79" i="18"/>
  <c r="F79" i="18" s="1"/>
  <c r="C80" i="18"/>
  <c r="F80" i="18" s="1"/>
  <c r="C81" i="18"/>
  <c r="F81" i="18" s="1"/>
  <c r="C82" i="18"/>
  <c r="C83" i="18"/>
  <c r="F83" i="18" s="1"/>
  <c r="C84" i="18"/>
  <c r="F84" i="18" s="1"/>
  <c r="C85" i="18"/>
  <c r="C86" i="18"/>
  <c r="C87" i="18"/>
  <c r="C88" i="18"/>
  <c r="C89" i="18"/>
  <c r="F89" i="18" s="1"/>
  <c r="C90" i="18"/>
  <c r="F90" i="18" s="1"/>
  <c r="C91" i="18"/>
  <c r="F91" i="18" s="1"/>
  <c r="C92" i="18"/>
  <c r="F92" i="18" s="1"/>
  <c r="C93" i="18"/>
  <c r="F93" i="18" s="1"/>
  <c r="C94" i="18"/>
  <c r="F94" i="18" s="1"/>
  <c r="C95" i="18"/>
  <c r="F95" i="18" s="1"/>
  <c r="C96" i="18"/>
  <c r="F96" i="18" s="1"/>
  <c r="C97" i="18"/>
  <c r="F97" i="18" s="1"/>
  <c r="C98" i="18"/>
  <c r="C99" i="18"/>
  <c r="F99" i="18" s="1"/>
  <c r="C100" i="18"/>
  <c r="F100" i="18" s="1"/>
  <c r="C101" i="18"/>
  <c r="C102" i="18"/>
  <c r="C103" i="18"/>
  <c r="C104" i="18"/>
  <c r="C105" i="18"/>
  <c r="C106" i="18"/>
  <c r="C107" i="18"/>
  <c r="C108" i="18"/>
  <c r="C109" i="18"/>
  <c r="F8" i="17"/>
  <c r="F9" i="17"/>
  <c r="F10" i="17"/>
  <c r="F30" i="17"/>
  <c r="F62" i="17"/>
  <c r="F94" i="17"/>
  <c r="C3" i="17"/>
  <c r="C4" i="17"/>
  <c r="F4" i="17" s="1"/>
  <c r="C5" i="17"/>
  <c r="F5" i="17" s="1"/>
  <c r="C6" i="17"/>
  <c r="F6" i="17" s="1"/>
  <c r="C7" i="17"/>
  <c r="F7" i="17" s="1"/>
  <c r="C8" i="17"/>
  <c r="C9" i="17"/>
  <c r="C10" i="17"/>
  <c r="C11" i="17"/>
  <c r="F11" i="17" s="1"/>
  <c r="C12" i="17"/>
  <c r="F12" i="17" s="1"/>
  <c r="C13" i="17"/>
  <c r="C14" i="17"/>
  <c r="F14" i="17" s="1"/>
  <c r="C15" i="17"/>
  <c r="F15" i="17" s="1"/>
  <c r="C16" i="17"/>
  <c r="F16" i="17" s="1"/>
  <c r="C17" i="17"/>
  <c r="F17" i="17" s="1"/>
  <c r="C18" i="17"/>
  <c r="F18" i="17" s="1"/>
  <c r="C19" i="17"/>
  <c r="F19" i="17" s="1"/>
  <c r="C20" i="17"/>
  <c r="F20" i="17" s="1"/>
  <c r="C21" i="17"/>
  <c r="F21" i="17" s="1"/>
  <c r="C22" i="17"/>
  <c r="F22" i="17" s="1"/>
  <c r="C23" i="17"/>
  <c r="F23" i="17" s="1"/>
  <c r="C24" i="17"/>
  <c r="F24" i="17" s="1"/>
  <c r="C25" i="17"/>
  <c r="F25" i="17" s="1"/>
  <c r="C26" i="17"/>
  <c r="F26" i="17" s="1"/>
  <c r="C27" i="17"/>
  <c r="F27" i="17" s="1"/>
  <c r="C28" i="17"/>
  <c r="F28" i="17" s="1"/>
  <c r="C29" i="17"/>
  <c r="F29" i="17" s="1"/>
  <c r="C30" i="17"/>
  <c r="C31" i="17"/>
  <c r="F31" i="17" s="1"/>
  <c r="C32" i="17"/>
  <c r="F32" i="17" s="1"/>
  <c r="C33" i="17"/>
  <c r="F33" i="17" s="1"/>
  <c r="C34" i="17"/>
  <c r="F34" i="17" s="1"/>
  <c r="C35" i="17"/>
  <c r="F35" i="17" s="1"/>
  <c r="C36" i="17"/>
  <c r="F36" i="17" s="1"/>
  <c r="C37" i="17"/>
  <c r="F37" i="17" s="1"/>
  <c r="C38" i="17"/>
  <c r="F38" i="17" s="1"/>
  <c r="C39" i="17"/>
  <c r="F39" i="17" s="1"/>
  <c r="C40" i="17"/>
  <c r="F40" i="17" s="1"/>
  <c r="C41" i="17"/>
  <c r="F41" i="17" s="1"/>
  <c r="C42" i="17"/>
  <c r="F42" i="17" s="1"/>
  <c r="C43" i="17"/>
  <c r="F43" i="17" s="1"/>
  <c r="C44" i="17"/>
  <c r="F44" i="17" s="1"/>
  <c r="C45" i="17"/>
  <c r="F45" i="17" s="1"/>
  <c r="C46" i="17"/>
  <c r="F46" i="17" s="1"/>
  <c r="C47" i="17"/>
  <c r="F47" i="17" s="1"/>
  <c r="C48" i="17"/>
  <c r="F48" i="17" s="1"/>
  <c r="C49" i="17"/>
  <c r="F49" i="17" s="1"/>
  <c r="C50" i="17"/>
  <c r="F50" i="17" s="1"/>
  <c r="C51" i="17"/>
  <c r="F51" i="17" s="1"/>
  <c r="C52" i="17"/>
  <c r="F52" i="17" s="1"/>
  <c r="C53" i="17"/>
  <c r="F53" i="17" s="1"/>
  <c r="C54" i="17"/>
  <c r="F54" i="17" s="1"/>
  <c r="C55" i="17"/>
  <c r="F55" i="17" s="1"/>
  <c r="C56" i="17"/>
  <c r="F56" i="17" s="1"/>
  <c r="C57" i="17"/>
  <c r="F57" i="17" s="1"/>
  <c r="C58" i="17"/>
  <c r="F58" i="17" s="1"/>
  <c r="C59" i="17"/>
  <c r="F59" i="17" s="1"/>
  <c r="C60" i="17"/>
  <c r="F60" i="17" s="1"/>
  <c r="C61" i="17"/>
  <c r="F61" i="17" s="1"/>
  <c r="C62" i="17"/>
  <c r="C63" i="17"/>
  <c r="F63" i="17" s="1"/>
  <c r="C64" i="17"/>
  <c r="F64" i="17" s="1"/>
  <c r="C65" i="17"/>
  <c r="F65" i="17" s="1"/>
  <c r="C66" i="17"/>
  <c r="F66" i="17" s="1"/>
  <c r="C67" i="17"/>
  <c r="F67" i="17" s="1"/>
  <c r="C68" i="17"/>
  <c r="F68" i="17" s="1"/>
  <c r="C69" i="17"/>
  <c r="F69" i="17" s="1"/>
  <c r="C70" i="17"/>
  <c r="F70" i="17" s="1"/>
  <c r="C71" i="17"/>
  <c r="F71" i="17" s="1"/>
  <c r="C72" i="17"/>
  <c r="F72" i="17" s="1"/>
  <c r="C73" i="17"/>
  <c r="F73" i="17" s="1"/>
  <c r="C74" i="17"/>
  <c r="F74" i="17" s="1"/>
  <c r="C75" i="17"/>
  <c r="F75" i="17" s="1"/>
  <c r="C76" i="17"/>
  <c r="F76" i="17" s="1"/>
  <c r="C77" i="17"/>
  <c r="C78" i="17"/>
  <c r="F78" i="17" s="1"/>
  <c r="C79" i="17"/>
  <c r="F79" i="17" s="1"/>
  <c r="C80" i="17"/>
  <c r="F80" i="17" s="1"/>
  <c r="C81" i="17"/>
  <c r="F81" i="17" s="1"/>
  <c r="C82" i="17"/>
  <c r="F82" i="17" s="1"/>
  <c r="C83" i="17"/>
  <c r="F83" i="17" s="1"/>
  <c r="C84" i="17"/>
  <c r="F84" i="17" s="1"/>
  <c r="C85" i="17"/>
  <c r="F85" i="17" s="1"/>
  <c r="C86" i="17"/>
  <c r="F86" i="17" s="1"/>
  <c r="C87" i="17"/>
  <c r="F87" i="17" s="1"/>
  <c r="C88" i="17"/>
  <c r="F88" i="17" s="1"/>
  <c r="C89" i="17"/>
  <c r="F89" i="17" s="1"/>
  <c r="C90" i="17"/>
  <c r="F90" i="17" s="1"/>
  <c r="C91" i="17"/>
  <c r="F91" i="17" s="1"/>
  <c r="C92" i="17"/>
  <c r="F92" i="17" s="1"/>
  <c r="C93" i="17"/>
  <c r="C94" i="17"/>
  <c r="C95" i="17"/>
  <c r="F95" i="17" s="1"/>
  <c r="C96" i="17"/>
  <c r="F96" i="17" s="1"/>
  <c r="C97" i="17"/>
  <c r="F97" i="17" s="1"/>
  <c r="C98" i="17"/>
  <c r="F98" i="17" s="1"/>
  <c r="C99" i="17"/>
  <c r="F99" i="17" s="1"/>
  <c r="C100" i="17"/>
  <c r="F100" i="17" s="1"/>
  <c r="C101" i="17"/>
  <c r="F101" i="17" s="1"/>
  <c r="C102" i="17"/>
  <c r="F102" i="17" s="1"/>
  <c r="C103" i="17"/>
  <c r="F103" i="17" s="1"/>
  <c r="C104" i="17"/>
  <c r="F104" i="17" s="1"/>
  <c r="C105" i="17"/>
  <c r="F105" i="17" s="1"/>
  <c r="C106" i="17"/>
  <c r="F106" i="17" s="1"/>
  <c r="C107" i="17"/>
  <c r="F107" i="17" s="1"/>
  <c r="C108" i="17"/>
  <c r="F108" i="17" s="1"/>
  <c r="C109" i="17"/>
  <c r="K1" i="15"/>
  <c r="J1" i="15"/>
  <c r="I1" i="15"/>
  <c r="H1" i="15"/>
  <c r="G1" i="15"/>
  <c r="F1" i="15"/>
  <c r="E1" i="15"/>
  <c r="D1" i="15"/>
  <c r="C1" i="15"/>
  <c r="B1" i="15"/>
  <c r="K1" i="14"/>
  <c r="J1" i="14"/>
  <c r="I1" i="14"/>
  <c r="H1" i="14"/>
  <c r="G1" i="14"/>
  <c r="F1" i="14"/>
  <c r="E1" i="14"/>
  <c r="D1" i="14"/>
  <c r="C1" i="14"/>
  <c r="B1" i="14"/>
  <c r="K1" i="13"/>
  <c r="J1" i="13"/>
  <c r="I1" i="13"/>
  <c r="H1" i="13"/>
  <c r="G1" i="13"/>
  <c r="F1" i="13"/>
  <c r="E1" i="13"/>
  <c r="D1" i="13"/>
  <c r="C1" i="13"/>
  <c r="B1" i="13"/>
  <c r="T1" i="7"/>
  <c r="L7" i="7" l="1"/>
  <c r="F4" i="18"/>
  <c r="M4" i="7"/>
  <c r="F98" i="18"/>
  <c r="F82" i="18"/>
  <c r="F66" i="18"/>
  <c r="F34" i="18"/>
  <c r="F18" i="18"/>
  <c r="M5" i="7"/>
  <c r="D3" i="18"/>
  <c r="D4" i="18" s="1"/>
  <c r="D5" i="18" s="1"/>
  <c r="D6" i="18" s="1"/>
  <c r="D7" i="18" s="1"/>
  <c r="D8" i="18" s="1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D60" i="18" s="1"/>
  <c r="D61" i="18" s="1"/>
  <c r="D62" i="18" s="1"/>
  <c r="D63" i="18" s="1"/>
  <c r="D64" i="18" s="1"/>
  <c r="D65" i="18" s="1"/>
  <c r="D66" i="18" s="1"/>
  <c r="D67" i="18" s="1"/>
  <c r="D68" i="18" s="1"/>
  <c r="D69" i="18" s="1"/>
  <c r="D70" i="18" s="1"/>
  <c r="D71" i="18" s="1"/>
  <c r="D72" i="18" s="1"/>
  <c r="D73" i="18" s="1"/>
  <c r="D74" i="18" s="1"/>
  <c r="D75" i="18" s="1"/>
  <c r="D76" i="18" s="1"/>
  <c r="D77" i="18" s="1"/>
  <c r="D78" i="18" s="1"/>
  <c r="D79" i="18" s="1"/>
  <c r="D80" i="18" s="1"/>
  <c r="D81" i="18" s="1"/>
  <c r="D82" i="18" s="1"/>
  <c r="D83" i="18" s="1"/>
  <c r="D84" i="18" s="1"/>
  <c r="D85" i="18" s="1"/>
  <c r="D86" i="18" s="1"/>
  <c r="D87" i="18" s="1"/>
  <c r="D88" i="18" s="1"/>
  <c r="D89" i="18" s="1"/>
  <c r="D90" i="18" s="1"/>
  <c r="D91" i="18" s="1"/>
  <c r="D92" i="18" s="1"/>
  <c r="D93" i="18" s="1"/>
  <c r="D94" i="18" s="1"/>
  <c r="D95" i="18" s="1"/>
  <c r="D96" i="18" s="1"/>
  <c r="D97" i="18" s="1"/>
  <c r="D98" i="18" s="1"/>
  <c r="D99" i="18" s="1"/>
  <c r="D100" i="18" s="1"/>
  <c r="D101" i="18" s="1"/>
  <c r="D102" i="18" s="1"/>
  <c r="D103" i="18" s="1"/>
  <c r="D104" i="18" s="1"/>
  <c r="D105" i="18" s="1"/>
  <c r="D106" i="18" s="1"/>
  <c r="D107" i="18" s="1"/>
  <c r="D108" i="18" s="1"/>
  <c r="D109" i="18" s="1"/>
  <c r="F3" i="18"/>
  <c r="F109" i="17"/>
  <c r="F93" i="17"/>
  <c r="F77" i="17"/>
  <c r="F13" i="17"/>
  <c r="F3" i="17"/>
  <c r="D3" i="17"/>
  <c r="D4" i="17" s="1"/>
  <c r="D5" i="17" s="1"/>
  <c r="D6" i="17" s="1"/>
  <c r="D7" i="17" s="1"/>
  <c r="D8" i="17" s="1"/>
  <c r="D9" i="17" s="1"/>
  <c r="D10" i="17" s="1"/>
  <c r="D11" i="17" s="1"/>
  <c r="D12" i="17" s="1"/>
  <c r="D13" i="17" s="1"/>
  <c r="D14" i="17" s="1"/>
  <c r="D15" i="17" s="1"/>
  <c r="D16" i="17" s="1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28" i="17" s="1"/>
  <c r="D29" i="17" s="1"/>
  <c r="D30" i="17" s="1"/>
  <c r="D31" i="17" s="1"/>
  <c r="D32" i="17" s="1"/>
  <c r="D33" i="17" s="1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68" i="17" s="1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95" i="17" s="1"/>
  <c r="D96" i="17" s="1"/>
  <c r="D97" i="17" s="1"/>
  <c r="D98" i="17" s="1"/>
  <c r="D99" i="17" s="1"/>
  <c r="D100" i="17" s="1"/>
  <c r="D101" i="17" s="1"/>
  <c r="D102" i="17" s="1"/>
  <c r="D103" i="17" s="1"/>
  <c r="D104" i="17" s="1"/>
  <c r="D105" i="17" s="1"/>
  <c r="D106" i="17" s="1"/>
  <c r="D107" i="17" s="1"/>
  <c r="D108" i="17" s="1"/>
  <c r="D109" i="17" s="1"/>
  <c r="L4" i="7"/>
  <c r="L5" i="7"/>
  <c r="M10" i="7" l="1"/>
  <c r="M7" i="7"/>
  <c r="M8" i="7" s="1"/>
  <c r="M9" i="7"/>
  <c r="M6" i="7"/>
  <c r="L10" i="7"/>
  <c r="L9" i="7"/>
  <c r="K108" i="6" l="1"/>
  <c r="K109" i="15" s="1"/>
  <c r="J108" i="6"/>
  <c r="J109" i="15" s="1"/>
  <c r="I108" i="6"/>
  <c r="I109" i="15" s="1"/>
  <c r="H108" i="6"/>
  <c r="H109" i="15" s="1"/>
  <c r="G108" i="6"/>
  <c r="G109" i="15" s="1"/>
  <c r="F108" i="6"/>
  <c r="F109" i="15" s="1"/>
  <c r="E108" i="6"/>
  <c r="E109" i="15" s="1"/>
  <c r="D108" i="6"/>
  <c r="D109" i="15" s="1"/>
  <c r="C108" i="6"/>
  <c r="C109" i="15" s="1"/>
  <c r="B108" i="6"/>
  <c r="B109" i="15" s="1"/>
  <c r="K107" i="6"/>
  <c r="K108" i="15" s="1"/>
  <c r="J107" i="6"/>
  <c r="J108" i="15" s="1"/>
  <c r="I107" i="6"/>
  <c r="I108" i="15" s="1"/>
  <c r="H107" i="6"/>
  <c r="H108" i="15" s="1"/>
  <c r="G107" i="6"/>
  <c r="G108" i="15" s="1"/>
  <c r="F107" i="6"/>
  <c r="F108" i="15" s="1"/>
  <c r="E107" i="6"/>
  <c r="E108" i="15" s="1"/>
  <c r="D107" i="6"/>
  <c r="D108" i="15" s="1"/>
  <c r="C107" i="6"/>
  <c r="C108" i="15" s="1"/>
  <c r="B107" i="6"/>
  <c r="B108" i="15" s="1"/>
  <c r="K106" i="6"/>
  <c r="K107" i="15" s="1"/>
  <c r="J106" i="6"/>
  <c r="J107" i="15" s="1"/>
  <c r="I106" i="6"/>
  <c r="I107" i="15" s="1"/>
  <c r="H106" i="6"/>
  <c r="H107" i="15" s="1"/>
  <c r="G106" i="6"/>
  <c r="G107" i="15" s="1"/>
  <c r="F106" i="6"/>
  <c r="F107" i="15" s="1"/>
  <c r="E106" i="6"/>
  <c r="E107" i="15" s="1"/>
  <c r="D106" i="6"/>
  <c r="D107" i="15" s="1"/>
  <c r="C106" i="6"/>
  <c r="C107" i="15" s="1"/>
  <c r="B106" i="6"/>
  <c r="B107" i="15" s="1"/>
  <c r="K105" i="6"/>
  <c r="K106" i="15" s="1"/>
  <c r="J105" i="6"/>
  <c r="J106" i="15" s="1"/>
  <c r="I105" i="6"/>
  <c r="I106" i="15" s="1"/>
  <c r="H105" i="6"/>
  <c r="H106" i="15" s="1"/>
  <c r="G105" i="6"/>
  <c r="G106" i="15" s="1"/>
  <c r="F105" i="6"/>
  <c r="F106" i="15" s="1"/>
  <c r="E105" i="6"/>
  <c r="E106" i="15" s="1"/>
  <c r="D105" i="6"/>
  <c r="D106" i="15" s="1"/>
  <c r="C105" i="6"/>
  <c r="C106" i="15" s="1"/>
  <c r="B105" i="6"/>
  <c r="B106" i="15" s="1"/>
  <c r="K104" i="6"/>
  <c r="K105" i="15" s="1"/>
  <c r="J104" i="6"/>
  <c r="J105" i="15" s="1"/>
  <c r="I104" i="6"/>
  <c r="I105" i="15" s="1"/>
  <c r="H104" i="6"/>
  <c r="H105" i="15" s="1"/>
  <c r="G104" i="6"/>
  <c r="G105" i="15" s="1"/>
  <c r="F104" i="6"/>
  <c r="F105" i="15" s="1"/>
  <c r="E104" i="6"/>
  <c r="E105" i="15" s="1"/>
  <c r="D104" i="6"/>
  <c r="D105" i="15" s="1"/>
  <c r="C104" i="6"/>
  <c r="C105" i="15" s="1"/>
  <c r="B104" i="6"/>
  <c r="B105" i="15" s="1"/>
  <c r="K103" i="6"/>
  <c r="K104" i="15" s="1"/>
  <c r="J103" i="6"/>
  <c r="J104" i="15" s="1"/>
  <c r="I103" i="6"/>
  <c r="I104" i="15" s="1"/>
  <c r="H103" i="6"/>
  <c r="H104" i="15" s="1"/>
  <c r="G103" i="6"/>
  <c r="G104" i="15" s="1"/>
  <c r="F103" i="6"/>
  <c r="F104" i="15" s="1"/>
  <c r="E103" i="6"/>
  <c r="E104" i="15" s="1"/>
  <c r="D103" i="6"/>
  <c r="D104" i="15" s="1"/>
  <c r="C103" i="6"/>
  <c r="C104" i="15" s="1"/>
  <c r="B103" i="6"/>
  <c r="B104" i="15" s="1"/>
  <c r="K102" i="6"/>
  <c r="K103" i="15" s="1"/>
  <c r="J102" i="6"/>
  <c r="J103" i="15" s="1"/>
  <c r="I102" i="6"/>
  <c r="I103" i="15" s="1"/>
  <c r="H102" i="6"/>
  <c r="H103" i="15" s="1"/>
  <c r="G102" i="6"/>
  <c r="G103" i="15" s="1"/>
  <c r="F102" i="6"/>
  <c r="F103" i="15" s="1"/>
  <c r="E102" i="6"/>
  <c r="E103" i="15" s="1"/>
  <c r="D102" i="6"/>
  <c r="D103" i="15" s="1"/>
  <c r="C102" i="6"/>
  <c r="C103" i="15" s="1"/>
  <c r="B102" i="6"/>
  <c r="B103" i="15" s="1"/>
  <c r="K101" i="6"/>
  <c r="K102" i="15" s="1"/>
  <c r="J101" i="6"/>
  <c r="J102" i="15" s="1"/>
  <c r="I101" i="6"/>
  <c r="I102" i="15" s="1"/>
  <c r="H101" i="6"/>
  <c r="H102" i="15" s="1"/>
  <c r="G101" i="6"/>
  <c r="G102" i="15" s="1"/>
  <c r="F101" i="6"/>
  <c r="F102" i="15" s="1"/>
  <c r="E101" i="6"/>
  <c r="E102" i="15" s="1"/>
  <c r="D101" i="6"/>
  <c r="D102" i="15" s="1"/>
  <c r="C101" i="6"/>
  <c r="C102" i="15" s="1"/>
  <c r="B101" i="6"/>
  <c r="B102" i="15" s="1"/>
  <c r="K100" i="6"/>
  <c r="K101" i="15" s="1"/>
  <c r="J100" i="6"/>
  <c r="J101" i="15" s="1"/>
  <c r="I100" i="6"/>
  <c r="I101" i="15" s="1"/>
  <c r="H100" i="6"/>
  <c r="H101" i="15" s="1"/>
  <c r="G100" i="6"/>
  <c r="G101" i="15" s="1"/>
  <c r="F100" i="6"/>
  <c r="F101" i="15" s="1"/>
  <c r="E100" i="6"/>
  <c r="E101" i="15" s="1"/>
  <c r="D100" i="6"/>
  <c r="D101" i="15" s="1"/>
  <c r="C100" i="6"/>
  <c r="C101" i="15" s="1"/>
  <c r="B100" i="6"/>
  <c r="B101" i="15" s="1"/>
  <c r="K99" i="6"/>
  <c r="K100" i="15" s="1"/>
  <c r="J99" i="6"/>
  <c r="J100" i="15" s="1"/>
  <c r="I99" i="6"/>
  <c r="I100" i="15" s="1"/>
  <c r="H99" i="6"/>
  <c r="H100" i="15" s="1"/>
  <c r="G99" i="6"/>
  <c r="G100" i="15" s="1"/>
  <c r="F99" i="6"/>
  <c r="F100" i="15" s="1"/>
  <c r="E99" i="6"/>
  <c r="E100" i="15" s="1"/>
  <c r="D99" i="6"/>
  <c r="D100" i="15" s="1"/>
  <c r="C99" i="6"/>
  <c r="C100" i="15" s="1"/>
  <c r="B99" i="6"/>
  <c r="B100" i="15" s="1"/>
  <c r="K98" i="6"/>
  <c r="K99" i="15" s="1"/>
  <c r="J98" i="6"/>
  <c r="J99" i="15" s="1"/>
  <c r="I98" i="6"/>
  <c r="I99" i="15" s="1"/>
  <c r="H98" i="6"/>
  <c r="H99" i="15" s="1"/>
  <c r="G98" i="6"/>
  <c r="G99" i="15" s="1"/>
  <c r="F98" i="6"/>
  <c r="F99" i="15" s="1"/>
  <c r="E98" i="6"/>
  <c r="E99" i="15" s="1"/>
  <c r="D98" i="6"/>
  <c r="D99" i="15" s="1"/>
  <c r="C98" i="6"/>
  <c r="C99" i="15" s="1"/>
  <c r="B98" i="6"/>
  <c r="B99" i="15" s="1"/>
  <c r="K97" i="6"/>
  <c r="K98" i="15" s="1"/>
  <c r="J97" i="6"/>
  <c r="J98" i="15" s="1"/>
  <c r="I97" i="6"/>
  <c r="I98" i="15" s="1"/>
  <c r="H97" i="6"/>
  <c r="H98" i="15" s="1"/>
  <c r="G97" i="6"/>
  <c r="G98" i="15" s="1"/>
  <c r="F97" i="6"/>
  <c r="F98" i="15" s="1"/>
  <c r="E97" i="6"/>
  <c r="E98" i="15" s="1"/>
  <c r="D97" i="6"/>
  <c r="D98" i="15" s="1"/>
  <c r="C97" i="6"/>
  <c r="C98" i="15" s="1"/>
  <c r="B97" i="6"/>
  <c r="B98" i="15" s="1"/>
  <c r="K96" i="6"/>
  <c r="K97" i="15" s="1"/>
  <c r="J96" i="6"/>
  <c r="J97" i="15" s="1"/>
  <c r="I96" i="6"/>
  <c r="I97" i="15" s="1"/>
  <c r="H96" i="6"/>
  <c r="H97" i="15" s="1"/>
  <c r="G96" i="6"/>
  <c r="G97" i="15" s="1"/>
  <c r="F96" i="6"/>
  <c r="F97" i="15" s="1"/>
  <c r="E96" i="6"/>
  <c r="E97" i="15" s="1"/>
  <c r="D96" i="6"/>
  <c r="D97" i="15" s="1"/>
  <c r="C96" i="6"/>
  <c r="C97" i="15" s="1"/>
  <c r="B96" i="6"/>
  <c r="B97" i="15" s="1"/>
  <c r="K95" i="6"/>
  <c r="K96" i="15" s="1"/>
  <c r="J95" i="6"/>
  <c r="J96" i="15" s="1"/>
  <c r="I95" i="6"/>
  <c r="I96" i="15" s="1"/>
  <c r="H95" i="6"/>
  <c r="H96" i="15" s="1"/>
  <c r="G95" i="6"/>
  <c r="G96" i="15" s="1"/>
  <c r="F95" i="6"/>
  <c r="F96" i="15" s="1"/>
  <c r="E95" i="6"/>
  <c r="E96" i="15" s="1"/>
  <c r="D95" i="6"/>
  <c r="D96" i="15" s="1"/>
  <c r="C95" i="6"/>
  <c r="C96" i="15" s="1"/>
  <c r="B95" i="6"/>
  <c r="B96" i="15" s="1"/>
  <c r="K94" i="6"/>
  <c r="K95" i="15" s="1"/>
  <c r="J94" i="6"/>
  <c r="J95" i="15" s="1"/>
  <c r="I94" i="6"/>
  <c r="I95" i="15" s="1"/>
  <c r="H94" i="6"/>
  <c r="H95" i="15" s="1"/>
  <c r="G94" i="6"/>
  <c r="G95" i="15" s="1"/>
  <c r="F94" i="6"/>
  <c r="F95" i="15" s="1"/>
  <c r="E94" i="6"/>
  <c r="E95" i="15" s="1"/>
  <c r="D94" i="6"/>
  <c r="D95" i="15" s="1"/>
  <c r="C94" i="6"/>
  <c r="C95" i="15" s="1"/>
  <c r="B94" i="6"/>
  <c r="B95" i="15" s="1"/>
  <c r="K93" i="6"/>
  <c r="K94" i="15" s="1"/>
  <c r="J93" i="6"/>
  <c r="J94" i="15" s="1"/>
  <c r="I93" i="6"/>
  <c r="I94" i="15" s="1"/>
  <c r="H93" i="6"/>
  <c r="H94" i="15" s="1"/>
  <c r="G93" i="6"/>
  <c r="G94" i="15" s="1"/>
  <c r="F93" i="6"/>
  <c r="F94" i="15" s="1"/>
  <c r="E93" i="6"/>
  <c r="E94" i="15" s="1"/>
  <c r="D93" i="6"/>
  <c r="D94" i="15" s="1"/>
  <c r="C93" i="6"/>
  <c r="C94" i="15" s="1"/>
  <c r="B93" i="6"/>
  <c r="B94" i="15" s="1"/>
  <c r="K92" i="6"/>
  <c r="K93" i="15" s="1"/>
  <c r="J92" i="6"/>
  <c r="J93" i="15" s="1"/>
  <c r="I92" i="6"/>
  <c r="I93" i="15" s="1"/>
  <c r="H92" i="6"/>
  <c r="H93" i="15" s="1"/>
  <c r="G92" i="6"/>
  <c r="G93" i="15" s="1"/>
  <c r="F92" i="6"/>
  <c r="F93" i="15" s="1"/>
  <c r="E92" i="6"/>
  <c r="E93" i="15" s="1"/>
  <c r="D92" i="6"/>
  <c r="D93" i="15" s="1"/>
  <c r="C92" i="6"/>
  <c r="C93" i="15" s="1"/>
  <c r="B92" i="6"/>
  <c r="B93" i="15" s="1"/>
  <c r="K91" i="6"/>
  <c r="K92" i="15" s="1"/>
  <c r="J91" i="6"/>
  <c r="J92" i="15" s="1"/>
  <c r="I91" i="6"/>
  <c r="I92" i="15" s="1"/>
  <c r="H91" i="6"/>
  <c r="H92" i="15" s="1"/>
  <c r="G91" i="6"/>
  <c r="G92" i="15" s="1"/>
  <c r="F91" i="6"/>
  <c r="F92" i="15" s="1"/>
  <c r="E91" i="6"/>
  <c r="E92" i="15" s="1"/>
  <c r="D91" i="6"/>
  <c r="D92" i="15" s="1"/>
  <c r="C91" i="6"/>
  <c r="C92" i="15" s="1"/>
  <c r="B91" i="6"/>
  <c r="B92" i="15" s="1"/>
  <c r="K90" i="6"/>
  <c r="K91" i="15" s="1"/>
  <c r="J90" i="6"/>
  <c r="J91" i="15" s="1"/>
  <c r="I90" i="6"/>
  <c r="I91" i="15" s="1"/>
  <c r="H90" i="6"/>
  <c r="H91" i="15" s="1"/>
  <c r="G90" i="6"/>
  <c r="G91" i="15" s="1"/>
  <c r="F90" i="6"/>
  <c r="F91" i="15" s="1"/>
  <c r="E90" i="6"/>
  <c r="E91" i="15" s="1"/>
  <c r="D90" i="6"/>
  <c r="D91" i="15" s="1"/>
  <c r="C90" i="6"/>
  <c r="C91" i="15" s="1"/>
  <c r="B90" i="6"/>
  <c r="B91" i="15" s="1"/>
  <c r="K89" i="6"/>
  <c r="K90" i="15" s="1"/>
  <c r="J89" i="6"/>
  <c r="J90" i="15" s="1"/>
  <c r="I89" i="6"/>
  <c r="I90" i="15" s="1"/>
  <c r="H89" i="6"/>
  <c r="H90" i="15" s="1"/>
  <c r="G89" i="6"/>
  <c r="G90" i="15" s="1"/>
  <c r="F89" i="6"/>
  <c r="F90" i="15" s="1"/>
  <c r="E89" i="6"/>
  <c r="E90" i="15" s="1"/>
  <c r="D89" i="6"/>
  <c r="D90" i="15" s="1"/>
  <c r="C89" i="6"/>
  <c r="C90" i="15" s="1"/>
  <c r="B89" i="6"/>
  <c r="B90" i="15" s="1"/>
  <c r="K88" i="6"/>
  <c r="K89" i="15" s="1"/>
  <c r="J88" i="6"/>
  <c r="J89" i="15" s="1"/>
  <c r="I88" i="6"/>
  <c r="I89" i="15" s="1"/>
  <c r="H88" i="6"/>
  <c r="H89" i="15" s="1"/>
  <c r="G88" i="6"/>
  <c r="G89" i="15" s="1"/>
  <c r="F88" i="6"/>
  <c r="F89" i="15" s="1"/>
  <c r="E88" i="6"/>
  <c r="E89" i="15" s="1"/>
  <c r="D88" i="6"/>
  <c r="D89" i="15" s="1"/>
  <c r="C88" i="6"/>
  <c r="C89" i="15" s="1"/>
  <c r="B88" i="6"/>
  <c r="B89" i="15" s="1"/>
  <c r="K87" i="6"/>
  <c r="K88" i="15" s="1"/>
  <c r="J87" i="6"/>
  <c r="J88" i="15" s="1"/>
  <c r="I87" i="6"/>
  <c r="I88" i="15" s="1"/>
  <c r="H87" i="6"/>
  <c r="H88" i="15" s="1"/>
  <c r="G87" i="6"/>
  <c r="G88" i="15" s="1"/>
  <c r="F87" i="6"/>
  <c r="F88" i="15" s="1"/>
  <c r="E87" i="6"/>
  <c r="E88" i="15" s="1"/>
  <c r="D87" i="6"/>
  <c r="D88" i="15" s="1"/>
  <c r="C87" i="6"/>
  <c r="C88" i="15" s="1"/>
  <c r="B87" i="6"/>
  <c r="B88" i="15" s="1"/>
  <c r="K86" i="6"/>
  <c r="K87" i="15" s="1"/>
  <c r="J86" i="6"/>
  <c r="J87" i="15" s="1"/>
  <c r="I86" i="6"/>
  <c r="I87" i="15" s="1"/>
  <c r="H86" i="6"/>
  <c r="H87" i="15" s="1"/>
  <c r="G86" i="6"/>
  <c r="G87" i="15" s="1"/>
  <c r="F86" i="6"/>
  <c r="F87" i="15" s="1"/>
  <c r="E86" i="6"/>
  <c r="E87" i="15" s="1"/>
  <c r="D86" i="6"/>
  <c r="D87" i="15" s="1"/>
  <c r="C86" i="6"/>
  <c r="C87" i="15" s="1"/>
  <c r="B86" i="6"/>
  <c r="B87" i="15" s="1"/>
  <c r="K85" i="6"/>
  <c r="K86" i="15" s="1"/>
  <c r="J85" i="6"/>
  <c r="J86" i="15" s="1"/>
  <c r="I85" i="6"/>
  <c r="I86" i="15" s="1"/>
  <c r="H85" i="6"/>
  <c r="H86" i="15" s="1"/>
  <c r="G85" i="6"/>
  <c r="G86" i="15" s="1"/>
  <c r="F85" i="6"/>
  <c r="F86" i="15" s="1"/>
  <c r="E85" i="6"/>
  <c r="E86" i="15" s="1"/>
  <c r="D85" i="6"/>
  <c r="D86" i="15" s="1"/>
  <c r="C85" i="6"/>
  <c r="C86" i="15" s="1"/>
  <c r="B85" i="6"/>
  <c r="B86" i="15" s="1"/>
  <c r="K84" i="6"/>
  <c r="K85" i="15" s="1"/>
  <c r="J84" i="6"/>
  <c r="J85" i="15" s="1"/>
  <c r="I84" i="6"/>
  <c r="I85" i="15" s="1"/>
  <c r="H84" i="6"/>
  <c r="H85" i="15" s="1"/>
  <c r="G84" i="6"/>
  <c r="G85" i="15" s="1"/>
  <c r="F84" i="6"/>
  <c r="F85" i="15" s="1"/>
  <c r="E84" i="6"/>
  <c r="E85" i="15" s="1"/>
  <c r="D84" i="6"/>
  <c r="D85" i="15" s="1"/>
  <c r="C84" i="6"/>
  <c r="C85" i="15" s="1"/>
  <c r="B84" i="6"/>
  <c r="B85" i="15" s="1"/>
  <c r="K83" i="6"/>
  <c r="K84" i="15" s="1"/>
  <c r="J83" i="6"/>
  <c r="J84" i="15" s="1"/>
  <c r="I83" i="6"/>
  <c r="I84" i="15" s="1"/>
  <c r="H83" i="6"/>
  <c r="H84" i="15" s="1"/>
  <c r="G83" i="6"/>
  <c r="G84" i="15" s="1"/>
  <c r="F83" i="6"/>
  <c r="F84" i="15" s="1"/>
  <c r="E83" i="6"/>
  <c r="E84" i="15" s="1"/>
  <c r="D83" i="6"/>
  <c r="D84" i="15" s="1"/>
  <c r="C83" i="6"/>
  <c r="C84" i="15" s="1"/>
  <c r="B83" i="6"/>
  <c r="B84" i="15" s="1"/>
  <c r="K82" i="6"/>
  <c r="K83" i="15" s="1"/>
  <c r="J82" i="6"/>
  <c r="J83" i="15" s="1"/>
  <c r="I82" i="6"/>
  <c r="I83" i="15" s="1"/>
  <c r="H82" i="6"/>
  <c r="H83" i="15" s="1"/>
  <c r="G82" i="6"/>
  <c r="G83" i="15" s="1"/>
  <c r="F82" i="6"/>
  <c r="F83" i="15" s="1"/>
  <c r="E82" i="6"/>
  <c r="E83" i="15" s="1"/>
  <c r="D82" i="6"/>
  <c r="D83" i="15" s="1"/>
  <c r="C82" i="6"/>
  <c r="C83" i="15" s="1"/>
  <c r="B82" i="6"/>
  <c r="B83" i="15" s="1"/>
  <c r="K81" i="6"/>
  <c r="K82" i="15" s="1"/>
  <c r="J81" i="6"/>
  <c r="J82" i="15" s="1"/>
  <c r="I81" i="6"/>
  <c r="I82" i="15" s="1"/>
  <c r="H81" i="6"/>
  <c r="H82" i="15" s="1"/>
  <c r="G81" i="6"/>
  <c r="G82" i="15" s="1"/>
  <c r="F81" i="6"/>
  <c r="F82" i="15" s="1"/>
  <c r="E81" i="6"/>
  <c r="E82" i="15" s="1"/>
  <c r="D81" i="6"/>
  <c r="D82" i="15" s="1"/>
  <c r="C81" i="6"/>
  <c r="C82" i="15" s="1"/>
  <c r="B81" i="6"/>
  <c r="B82" i="15" s="1"/>
  <c r="K80" i="6"/>
  <c r="K81" i="15" s="1"/>
  <c r="J80" i="6"/>
  <c r="J81" i="15" s="1"/>
  <c r="I80" i="6"/>
  <c r="I81" i="15" s="1"/>
  <c r="H80" i="6"/>
  <c r="H81" i="15" s="1"/>
  <c r="G80" i="6"/>
  <c r="G81" i="15" s="1"/>
  <c r="F80" i="6"/>
  <c r="F81" i="15" s="1"/>
  <c r="E80" i="6"/>
  <c r="E81" i="15" s="1"/>
  <c r="D80" i="6"/>
  <c r="D81" i="15" s="1"/>
  <c r="C80" i="6"/>
  <c r="C81" i="15" s="1"/>
  <c r="B80" i="6"/>
  <c r="B81" i="15" s="1"/>
  <c r="K79" i="6"/>
  <c r="K80" i="15" s="1"/>
  <c r="J79" i="6"/>
  <c r="J80" i="15" s="1"/>
  <c r="I79" i="6"/>
  <c r="I80" i="15" s="1"/>
  <c r="H79" i="6"/>
  <c r="H80" i="15" s="1"/>
  <c r="G79" i="6"/>
  <c r="G80" i="15" s="1"/>
  <c r="F79" i="6"/>
  <c r="F80" i="15" s="1"/>
  <c r="E79" i="6"/>
  <c r="E80" i="15" s="1"/>
  <c r="D79" i="6"/>
  <c r="D80" i="15" s="1"/>
  <c r="C79" i="6"/>
  <c r="C80" i="15" s="1"/>
  <c r="B79" i="6"/>
  <c r="B80" i="15" s="1"/>
  <c r="K78" i="6"/>
  <c r="K79" i="15" s="1"/>
  <c r="J78" i="6"/>
  <c r="J79" i="15" s="1"/>
  <c r="I78" i="6"/>
  <c r="I79" i="15" s="1"/>
  <c r="H78" i="6"/>
  <c r="H79" i="15" s="1"/>
  <c r="G78" i="6"/>
  <c r="G79" i="15" s="1"/>
  <c r="F78" i="6"/>
  <c r="F79" i="15" s="1"/>
  <c r="E78" i="6"/>
  <c r="E79" i="15" s="1"/>
  <c r="D78" i="6"/>
  <c r="D79" i="15" s="1"/>
  <c r="C78" i="6"/>
  <c r="C79" i="15" s="1"/>
  <c r="B78" i="6"/>
  <c r="B79" i="15" s="1"/>
  <c r="K77" i="6"/>
  <c r="K78" i="15" s="1"/>
  <c r="J77" i="6"/>
  <c r="J78" i="15" s="1"/>
  <c r="I77" i="6"/>
  <c r="I78" i="15" s="1"/>
  <c r="H77" i="6"/>
  <c r="H78" i="15" s="1"/>
  <c r="G77" i="6"/>
  <c r="G78" i="15" s="1"/>
  <c r="F77" i="6"/>
  <c r="F78" i="15" s="1"/>
  <c r="E77" i="6"/>
  <c r="E78" i="15" s="1"/>
  <c r="D77" i="6"/>
  <c r="D78" i="15" s="1"/>
  <c r="C77" i="6"/>
  <c r="C78" i="15" s="1"/>
  <c r="B77" i="6"/>
  <c r="B78" i="15" s="1"/>
  <c r="K76" i="6"/>
  <c r="K77" i="15" s="1"/>
  <c r="J76" i="6"/>
  <c r="J77" i="15" s="1"/>
  <c r="I76" i="6"/>
  <c r="I77" i="15" s="1"/>
  <c r="H76" i="6"/>
  <c r="H77" i="15" s="1"/>
  <c r="G76" i="6"/>
  <c r="G77" i="15" s="1"/>
  <c r="F76" i="6"/>
  <c r="F77" i="15" s="1"/>
  <c r="E76" i="6"/>
  <c r="E77" i="15" s="1"/>
  <c r="D76" i="6"/>
  <c r="D77" i="15" s="1"/>
  <c r="C76" i="6"/>
  <c r="C77" i="15" s="1"/>
  <c r="B76" i="6"/>
  <c r="B77" i="15" s="1"/>
  <c r="K75" i="6"/>
  <c r="K76" i="15" s="1"/>
  <c r="J75" i="6"/>
  <c r="J76" i="15" s="1"/>
  <c r="I75" i="6"/>
  <c r="I76" i="15" s="1"/>
  <c r="H75" i="6"/>
  <c r="H76" i="15" s="1"/>
  <c r="G75" i="6"/>
  <c r="G76" i="15" s="1"/>
  <c r="F75" i="6"/>
  <c r="F76" i="15" s="1"/>
  <c r="E75" i="6"/>
  <c r="E76" i="15" s="1"/>
  <c r="D75" i="6"/>
  <c r="D76" i="15" s="1"/>
  <c r="C75" i="6"/>
  <c r="C76" i="15" s="1"/>
  <c r="B75" i="6"/>
  <c r="B76" i="15" s="1"/>
  <c r="K74" i="6"/>
  <c r="K75" i="15" s="1"/>
  <c r="J74" i="6"/>
  <c r="J75" i="15" s="1"/>
  <c r="I74" i="6"/>
  <c r="I75" i="15" s="1"/>
  <c r="H74" i="6"/>
  <c r="H75" i="15" s="1"/>
  <c r="G74" i="6"/>
  <c r="G75" i="15" s="1"/>
  <c r="F74" i="6"/>
  <c r="F75" i="15" s="1"/>
  <c r="E74" i="6"/>
  <c r="E75" i="15" s="1"/>
  <c r="D74" i="6"/>
  <c r="D75" i="15" s="1"/>
  <c r="C74" i="6"/>
  <c r="C75" i="15" s="1"/>
  <c r="B74" i="6"/>
  <c r="B75" i="15" s="1"/>
  <c r="K73" i="6"/>
  <c r="K74" i="15" s="1"/>
  <c r="J73" i="6"/>
  <c r="J74" i="15" s="1"/>
  <c r="I73" i="6"/>
  <c r="I74" i="15" s="1"/>
  <c r="H73" i="6"/>
  <c r="H74" i="15" s="1"/>
  <c r="G73" i="6"/>
  <c r="G74" i="15" s="1"/>
  <c r="F73" i="6"/>
  <c r="F74" i="15" s="1"/>
  <c r="E73" i="6"/>
  <c r="E74" i="15" s="1"/>
  <c r="D73" i="6"/>
  <c r="D74" i="15" s="1"/>
  <c r="C73" i="6"/>
  <c r="C74" i="15" s="1"/>
  <c r="B73" i="6"/>
  <c r="B74" i="15" s="1"/>
  <c r="K72" i="6"/>
  <c r="K73" i="15" s="1"/>
  <c r="J72" i="6"/>
  <c r="J73" i="15" s="1"/>
  <c r="I72" i="6"/>
  <c r="I73" i="15" s="1"/>
  <c r="H72" i="6"/>
  <c r="H73" i="15" s="1"/>
  <c r="G72" i="6"/>
  <c r="G73" i="15" s="1"/>
  <c r="F72" i="6"/>
  <c r="F73" i="15" s="1"/>
  <c r="E72" i="6"/>
  <c r="E73" i="15" s="1"/>
  <c r="D72" i="6"/>
  <c r="D73" i="15" s="1"/>
  <c r="C72" i="6"/>
  <c r="C73" i="15" s="1"/>
  <c r="B72" i="6"/>
  <c r="B73" i="15" s="1"/>
  <c r="K71" i="6"/>
  <c r="K72" i="15" s="1"/>
  <c r="J71" i="6"/>
  <c r="J72" i="15" s="1"/>
  <c r="I71" i="6"/>
  <c r="I72" i="15" s="1"/>
  <c r="H71" i="6"/>
  <c r="H72" i="15" s="1"/>
  <c r="G71" i="6"/>
  <c r="G72" i="15" s="1"/>
  <c r="F71" i="6"/>
  <c r="F72" i="15" s="1"/>
  <c r="E71" i="6"/>
  <c r="E72" i="15" s="1"/>
  <c r="D71" i="6"/>
  <c r="D72" i="15" s="1"/>
  <c r="C71" i="6"/>
  <c r="C72" i="15" s="1"/>
  <c r="B71" i="6"/>
  <c r="B72" i="15" s="1"/>
  <c r="K70" i="6"/>
  <c r="K71" i="15" s="1"/>
  <c r="J70" i="6"/>
  <c r="J71" i="15" s="1"/>
  <c r="I70" i="6"/>
  <c r="I71" i="15" s="1"/>
  <c r="H70" i="6"/>
  <c r="H71" i="15" s="1"/>
  <c r="G70" i="6"/>
  <c r="G71" i="15" s="1"/>
  <c r="F70" i="6"/>
  <c r="F71" i="15" s="1"/>
  <c r="E70" i="6"/>
  <c r="E71" i="15" s="1"/>
  <c r="D70" i="6"/>
  <c r="D71" i="15" s="1"/>
  <c r="C70" i="6"/>
  <c r="C71" i="15" s="1"/>
  <c r="B70" i="6"/>
  <c r="B71" i="15" s="1"/>
  <c r="K69" i="6"/>
  <c r="K70" i="15" s="1"/>
  <c r="J69" i="6"/>
  <c r="J70" i="15" s="1"/>
  <c r="I69" i="6"/>
  <c r="I70" i="15" s="1"/>
  <c r="H69" i="6"/>
  <c r="H70" i="15" s="1"/>
  <c r="G69" i="6"/>
  <c r="G70" i="15" s="1"/>
  <c r="F69" i="6"/>
  <c r="F70" i="15" s="1"/>
  <c r="E69" i="6"/>
  <c r="E70" i="15" s="1"/>
  <c r="D69" i="6"/>
  <c r="D70" i="15" s="1"/>
  <c r="C69" i="6"/>
  <c r="C70" i="15" s="1"/>
  <c r="B69" i="6"/>
  <c r="B70" i="15" s="1"/>
  <c r="K68" i="6"/>
  <c r="K69" i="15" s="1"/>
  <c r="J68" i="6"/>
  <c r="J69" i="15" s="1"/>
  <c r="I68" i="6"/>
  <c r="I69" i="15" s="1"/>
  <c r="H68" i="6"/>
  <c r="H69" i="15" s="1"/>
  <c r="G68" i="6"/>
  <c r="G69" i="15" s="1"/>
  <c r="F68" i="6"/>
  <c r="F69" i="15" s="1"/>
  <c r="E68" i="6"/>
  <c r="E69" i="15" s="1"/>
  <c r="D68" i="6"/>
  <c r="D69" i="15" s="1"/>
  <c r="C68" i="6"/>
  <c r="C69" i="15" s="1"/>
  <c r="B68" i="6"/>
  <c r="B69" i="15" s="1"/>
  <c r="K67" i="6"/>
  <c r="K68" i="15" s="1"/>
  <c r="J67" i="6"/>
  <c r="J68" i="15" s="1"/>
  <c r="I67" i="6"/>
  <c r="I68" i="15" s="1"/>
  <c r="H67" i="6"/>
  <c r="H68" i="15" s="1"/>
  <c r="G67" i="6"/>
  <c r="G68" i="15" s="1"/>
  <c r="F67" i="6"/>
  <c r="F68" i="15" s="1"/>
  <c r="E67" i="6"/>
  <c r="E68" i="15" s="1"/>
  <c r="D67" i="6"/>
  <c r="D68" i="15" s="1"/>
  <c r="C67" i="6"/>
  <c r="C68" i="15" s="1"/>
  <c r="B67" i="6"/>
  <c r="B68" i="15" s="1"/>
  <c r="K66" i="6"/>
  <c r="K67" i="15" s="1"/>
  <c r="J66" i="6"/>
  <c r="J67" i="15" s="1"/>
  <c r="I66" i="6"/>
  <c r="I67" i="15" s="1"/>
  <c r="H66" i="6"/>
  <c r="H67" i="15" s="1"/>
  <c r="G66" i="6"/>
  <c r="G67" i="15" s="1"/>
  <c r="F66" i="6"/>
  <c r="F67" i="15" s="1"/>
  <c r="E66" i="6"/>
  <c r="E67" i="15" s="1"/>
  <c r="D66" i="6"/>
  <c r="D67" i="15" s="1"/>
  <c r="C66" i="6"/>
  <c r="C67" i="15" s="1"/>
  <c r="B66" i="6"/>
  <c r="B67" i="15" s="1"/>
  <c r="K65" i="6"/>
  <c r="K66" i="15" s="1"/>
  <c r="J65" i="6"/>
  <c r="J66" i="15" s="1"/>
  <c r="I65" i="6"/>
  <c r="I66" i="15" s="1"/>
  <c r="H65" i="6"/>
  <c r="H66" i="15" s="1"/>
  <c r="G65" i="6"/>
  <c r="G66" i="15" s="1"/>
  <c r="F65" i="6"/>
  <c r="F66" i="15" s="1"/>
  <c r="E65" i="6"/>
  <c r="E66" i="15" s="1"/>
  <c r="D65" i="6"/>
  <c r="D66" i="15" s="1"/>
  <c r="C65" i="6"/>
  <c r="C66" i="15" s="1"/>
  <c r="B65" i="6"/>
  <c r="B66" i="15" s="1"/>
  <c r="K64" i="6"/>
  <c r="K65" i="15" s="1"/>
  <c r="J64" i="6"/>
  <c r="J65" i="15" s="1"/>
  <c r="I64" i="6"/>
  <c r="I65" i="15" s="1"/>
  <c r="H64" i="6"/>
  <c r="H65" i="15" s="1"/>
  <c r="G64" i="6"/>
  <c r="G65" i="15" s="1"/>
  <c r="F64" i="6"/>
  <c r="F65" i="15" s="1"/>
  <c r="E64" i="6"/>
  <c r="E65" i="15" s="1"/>
  <c r="D64" i="6"/>
  <c r="D65" i="15" s="1"/>
  <c r="C64" i="6"/>
  <c r="C65" i="15" s="1"/>
  <c r="B64" i="6"/>
  <c r="B65" i="15" s="1"/>
  <c r="K63" i="6"/>
  <c r="K64" i="15" s="1"/>
  <c r="J63" i="6"/>
  <c r="J64" i="15" s="1"/>
  <c r="I63" i="6"/>
  <c r="I64" i="15" s="1"/>
  <c r="H63" i="6"/>
  <c r="H64" i="15" s="1"/>
  <c r="G63" i="6"/>
  <c r="G64" i="15" s="1"/>
  <c r="F63" i="6"/>
  <c r="F64" i="15" s="1"/>
  <c r="E63" i="6"/>
  <c r="E64" i="15" s="1"/>
  <c r="D63" i="6"/>
  <c r="D64" i="15" s="1"/>
  <c r="C63" i="6"/>
  <c r="C64" i="15" s="1"/>
  <c r="B63" i="6"/>
  <c r="B64" i="15" s="1"/>
  <c r="K62" i="6"/>
  <c r="K63" i="15" s="1"/>
  <c r="J62" i="6"/>
  <c r="J63" i="15" s="1"/>
  <c r="I62" i="6"/>
  <c r="I63" i="15" s="1"/>
  <c r="H62" i="6"/>
  <c r="H63" i="15" s="1"/>
  <c r="G62" i="6"/>
  <c r="G63" i="15" s="1"/>
  <c r="F62" i="6"/>
  <c r="F63" i="15" s="1"/>
  <c r="E62" i="6"/>
  <c r="E63" i="15" s="1"/>
  <c r="D62" i="6"/>
  <c r="D63" i="15" s="1"/>
  <c r="C62" i="6"/>
  <c r="C63" i="15" s="1"/>
  <c r="B62" i="6"/>
  <c r="B63" i="15" s="1"/>
  <c r="K61" i="6"/>
  <c r="K62" i="15" s="1"/>
  <c r="J61" i="6"/>
  <c r="J62" i="15" s="1"/>
  <c r="I61" i="6"/>
  <c r="I62" i="15" s="1"/>
  <c r="H61" i="6"/>
  <c r="H62" i="15" s="1"/>
  <c r="G61" i="6"/>
  <c r="G62" i="15" s="1"/>
  <c r="F61" i="6"/>
  <c r="F62" i="15" s="1"/>
  <c r="E61" i="6"/>
  <c r="E62" i="15" s="1"/>
  <c r="D61" i="6"/>
  <c r="D62" i="15" s="1"/>
  <c r="C61" i="6"/>
  <c r="C62" i="15" s="1"/>
  <c r="B61" i="6"/>
  <c r="B62" i="15" s="1"/>
  <c r="K60" i="6"/>
  <c r="K61" i="15" s="1"/>
  <c r="J60" i="6"/>
  <c r="J61" i="15" s="1"/>
  <c r="I60" i="6"/>
  <c r="I61" i="15" s="1"/>
  <c r="H60" i="6"/>
  <c r="H61" i="15" s="1"/>
  <c r="G60" i="6"/>
  <c r="G61" i="15" s="1"/>
  <c r="F60" i="6"/>
  <c r="F61" i="15" s="1"/>
  <c r="E60" i="6"/>
  <c r="E61" i="15" s="1"/>
  <c r="D60" i="6"/>
  <c r="D61" i="15" s="1"/>
  <c r="C60" i="6"/>
  <c r="C61" i="15" s="1"/>
  <c r="B60" i="6"/>
  <c r="B61" i="15" s="1"/>
  <c r="K59" i="6"/>
  <c r="K60" i="15" s="1"/>
  <c r="J59" i="6"/>
  <c r="J60" i="15" s="1"/>
  <c r="I59" i="6"/>
  <c r="I60" i="15" s="1"/>
  <c r="H59" i="6"/>
  <c r="H60" i="15" s="1"/>
  <c r="G59" i="6"/>
  <c r="G60" i="15" s="1"/>
  <c r="F59" i="6"/>
  <c r="F60" i="15" s="1"/>
  <c r="E59" i="6"/>
  <c r="E60" i="15" s="1"/>
  <c r="D59" i="6"/>
  <c r="D60" i="15" s="1"/>
  <c r="C59" i="6"/>
  <c r="C60" i="15" s="1"/>
  <c r="B59" i="6"/>
  <c r="B60" i="15" s="1"/>
  <c r="K58" i="6"/>
  <c r="K59" i="15" s="1"/>
  <c r="J58" i="6"/>
  <c r="J59" i="15" s="1"/>
  <c r="I58" i="6"/>
  <c r="I59" i="15" s="1"/>
  <c r="H58" i="6"/>
  <c r="H59" i="15" s="1"/>
  <c r="G58" i="6"/>
  <c r="G59" i="15" s="1"/>
  <c r="F58" i="6"/>
  <c r="F59" i="15" s="1"/>
  <c r="E58" i="6"/>
  <c r="E59" i="15" s="1"/>
  <c r="D58" i="6"/>
  <c r="D59" i="15" s="1"/>
  <c r="C58" i="6"/>
  <c r="C59" i="15" s="1"/>
  <c r="B58" i="6"/>
  <c r="B59" i="15" s="1"/>
  <c r="K57" i="6"/>
  <c r="K58" i="15" s="1"/>
  <c r="J57" i="6"/>
  <c r="J58" i="15" s="1"/>
  <c r="I57" i="6"/>
  <c r="I58" i="15" s="1"/>
  <c r="H57" i="6"/>
  <c r="H58" i="15" s="1"/>
  <c r="G57" i="6"/>
  <c r="G58" i="15" s="1"/>
  <c r="F57" i="6"/>
  <c r="F58" i="15" s="1"/>
  <c r="E57" i="6"/>
  <c r="E58" i="15" s="1"/>
  <c r="D57" i="6"/>
  <c r="D58" i="15" s="1"/>
  <c r="C57" i="6"/>
  <c r="C58" i="15" s="1"/>
  <c r="B57" i="6"/>
  <c r="B58" i="15" s="1"/>
  <c r="K56" i="6"/>
  <c r="K57" i="15" s="1"/>
  <c r="J56" i="6"/>
  <c r="J57" i="15" s="1"/>
  <c r="I56" i="6"/>
  <c r="I57" i="15" s="1"/>
  <c r="H56" i="6"/>
  <c r="H57" i="15" s="1"/>
  <c r="G56" i="6"/>
  <c r="G57" i="15" s="1"/>
  <c r="F56" i="6"/>
  <c r="F57" i="15" s="1"/>
  <c r="E56" i="6"/>
  <c r="E57" i="15" s="1"/>
  <c r="D56" i="6"/>
  <c r="D57" i="15" s="1"/>
  <c r="C56" i="6"/>
  <c r="C57" i="15" s="1"/>
  <c r="B56" i="6"/>
  <c r="B57" i="15" s="1"/>
  <c r="K55" i="6"/>
  <c r="K56" i="15" s="1"/>
  <c r="J55" i="6"/>
  <c r="J56" i="15" s="1"/>
  <c r="I55" i="6"/>
  <c r="I56" i="15" s="1"/>
  <c r="H55" i="6"/>
  <c r="H56" i="15" s="1"/>
  <c r="G55" i="6"/>
  <c r="G56" i="15" s="1"/>
  <c r="F55" i="6"/>
  <c r="F56" i="15" s="1"/>
  <c r="E55" i="6"/>
  <c r="E56" i="15" s="1"/>
  <c r="D55" i="6"/>
  <c r="D56" i="15" s="1"/>
  <c r="C55" i="6"/>
  <c r="C56" i="15" s="1"/>
  <c r="B55" i="6"/>
  <c r="B56" i="15" s="1"/>
  <c r="K54" i="6"/>
  <c r="K55" i="15" s="1"/>
  <c r="J54" i="6"/>
  <c r="J55" i="15" s="1"/>
  <c r="I54" i="6"/>
  <c r="I55" i="15" s="1"/>
  <c r="H54" i="6"/>
  <c r="H55" i="15" s="1"/>
  <c r="G54" i="6"/>
  <c r="G55" i="15" s="1"/>
  <c r="F54" i="6"/>
  <c r="F55" i="15" s="1"/>
  <c r="E54" i="6"/>
  <c r="E55" i="15" s="1"/>
  <c r="D54" i="6"/>
  <c r="D55" i="15" s="1"/>
  <c r="C54" i="6"/>
  <c r="C55" i="15" s="1"/>
  <c r="B54" i="6"/>
  <c r="B55" i="15" s="1"/>
  <c r="K53" i="6"/>
  <c r="K54" i="15" s="1"/>
  <c r="J53" i="6"/>
  <c r="J54" i="15" s="1"/>
  <c r="I53" i="6"/>
  <c r="I54" i="15" s="1"/>
  <c r="H53" i="6"/>
  <c r="H54" i="15" s="1"/>
  <c r="G53" i="6"/>
  <c r="G54" i="15" s="1"/>
  <c r="F53" i="6"/>
  <c r="F54" i="15" s="1"/>
  <c r="E53" i="6"/>
  <c r="E54" i="15" s="1"/>
  <c r="D53" i="6"/>
  <c r="D54" i="15" s="1"/>
  <c r="C53" i="6"/>
  <c r="C54" i="15" s="1"/>
  <c r="B53" i="6"/>
  <c r="B54" i="15" s="1"/>
  <c r="K52" i="6"/>
  <c r="K53" i="15" s="1"/>
  <c r="J52" i="6"/>
  <c r="J53" i="15" s="1"/>
  <c r="I52" i="6"/>
  <c r="I53" i="15" s="1"/>
  <c r="H52" i="6"/>
  <c r="H53" i="15" s="1"/>
  <c r="G52" i="6"/>
  <c r="G53" i="15" s="1"/>
  <c r="F52" i="6"/>
  <c r="F53" i="15" s="1"/>
  <c r="E52" i="6"/>
  <c r="E53" i="15" s="1"/>
  <c r="D52" i="6"/>
  <c r="D53" i="15" s="1"/>
  <c r="C52" i="6"/>
  <c r="C53" i="15" s="1"/>
  <c r="B52" i="6"/>
  <c r="B53" i="15" s="1"/>
  <c r="K51" i="6"/>
  <c r="K52" i="15" s="1"/>
  <c r="J51" i="6"/>
  <c r="J52" i="15" s="1"/>
  <c r="I51" i="6"/>
  <c r="I52" i="15" s="1"/>
  <c r="H51" i="6"/>
  <c r="H52" i="15" s="1"/>
  <c r="G51" i="6"/>
  <c r="G52" i="15" s="1"/>
  <c r="F51" i="6"/>
  <c r="F52" i="15" s="1"/>
  <c r="E51" i="6"/>
  <c r="E52" i="15" s="1"/>
  <c r="D51" i="6"/>
  <c r="D52" i="15" s="1"/>
  <c r="C51" i="6"/>
  <c r="C52" i="15" s="1"/>
  <c r="B51" i="6"/>
  <c r="B52" i="15" s="1"/>
  <c r="K50" i="6"/>
  <c r="K51" i="15" s="1"/>
  <c r="J50" i="6"/>
  <c r="J51" i="15" s="1"/>
  <c r="I50" i="6"/>
  <c r="I51" i="15" s="1"/>
  <c r="H50" i="6"/>
  <c r="H51" i="15" s="1"/>
  <c r="G50" i="6"/>
  <c r="G51" i="15" s="1"/>
  <c r="F50" i="6"/>
  <c r="F51" i="15" s="1"/>
  <c r="E50" i="6"/>
  <c r="E51" i="15" s="1"/>
  <c r="D50" i="6"/>
  <c r="D51" i="15" s="1"/>
  <c r="C50" i="6"/>
  <c r="C51" i="15" s="1"/>
  <c r="B50" i="6"/>
  <c r="B51" i="15" s="1"/>
  <c r="K49" i="6"/>
  <c r="K50" i="15" s="1"/>
  <c r="J49" i="6"/>
  <c r="J50" i="15" s="1"/>
  <c r="I49" i="6"/>
  <c r="I50" i="15" s="1"/>
  <c r="H49" i="6"/>
  <c r="H50" i="15" s="1"/>
  <c r="G49" i="6"/>
  <c r="G50" i="15" s="1"/>
  <c r="F49" i="6"/>
  <c r="F50" i="15" s="1"/>
  <c r="E49" i="6"/>
  <c r="E50" i="15" s="1"/>
  <c r="D49" i="6"/>
  <c r="D50" i="15" s="1"/>
  <c r="C49" i="6"/>
  <c r="C50" i="15" s="1"/>
  <c r="B49" i="6"/>
  <c r="B50" i="15" s="1"/>
  <c r="K48" i="6"/>
  <c r="K49" i="15" s="1"/>
  <c r="J48" i="6"/>
  <c r="J49" i="15" s="1"/>
  <c r="I48" i="6"/>
  <c r="I49" i="15" s="1"/>
  <c r="H48" i="6"/>
  <c r="H49" i="15" s="1"/>
  <c r="G48" i="6"/>
  <c r="G49" i="15" s="1"/>
  <c r="F48" i="6"/>
  <c r="F49" i="15" s="1"/>
  <c r="E48" i="6"/>
  <c r="E49" i="15" s="1"/>
  <c r="D48" i="6"/>
  <c r="D49" i="15" s="1"/>
  <c r="C48" i="6"/>
  <c r="C49" i="15" s="1"/>
  <c r="B48" i="6"/>
  <c r="B49" i="15" s="1"/>
  <c r="K47" i="6"/>
  <c r="K48" i="15" s="1"/>
  <c r="J47" i="6"/>
  <c r="J48" i="15" s="1"/>
  <c r="I47" i="6"/>
  <c r="I48" i="15" s="1"/>
  <c r="H47" i="6"/>
  <c r="H48" i="15" s="1"/>
  <c r="G47" i="6"/>
  <c r="G48" i="15" s="1"/>
  <c r="F47" i="6"/>
  <c r="F48" i="15" s="1"/>
  <c r="E47" i="6"/>
  <c r="E48" i="15" s="1"/>
  <c r="D47" i="6"/>
  <c r="D48" i="15" s="1"/>
  <c r="C47" i="6"/>
  <c r="C48" i="15" s="1"/>
  <c r="B47" i="6"/>
  <c r="B48" i="15" s="1"/>
  <c r="K46" i="6"/>
  <c r="K47" i="15" s="1"/>
  <c r="J46" i="6"/>
  <c r="J47" i="15" s="1"/>
  <c r="I46" i="6"/>
  <c r="I47" i="15" s="1"/>
  <c r="H46" i="6"/>
  <c r="H47" i="15" s="1"/>
  <c r="G46" i="6"/>
  <c r="G47" i="15" s="1"/>
  <c r="F46" i="6"/>
  <c r="F47" i="15" s="1"/>
  <c r="E46" i="6"/>
  <c r="E47" i="15" s="1"/>
  <c r="D46" i="6"/>
  <c r="D47" i="15" s="1"/>
  <c r="C46" i="6"/>
  <c r="C47" i="15" s="1"/>
  <c r="B46" i="6"/>
  <c r="B47" i="15" s="1"/>
  <c r="K45" i="6"/>
  <c r="K46" i="15" s="1"/>
  <c r="J45" i="6"/>
  <c r="J46" i="15" s="1"/>
  <c r="I45" i="6"/>
  <c r="I46" i="15" s="1"/>
  <c r="H45" i="6"/>
  <c r="H46" i="15" s="1"/>
  <c r="G45" i="6"/>
  <c r="G46" i="15" s="1"/>
  <c r="F45" i="6"/>
  <c r="F46" i="15" s="1"/>
  <c r="E45" i="6"/>
  <c r="E46" i="15" s="1"/>
  <c r="D45" i="6"/>
  <c r="D46" i="15" s="1"/>
  <c r="C45" i="6"/>
  <c r="C46" i="15" s="1"/>
  <c r="B45" i="6"/>
  <c r="B46" i="15" s="1"/>
  <c r="K44" i="6"/>
  <c r="K45" i="15" s="1"/>
  <c r="J44" i="6"/>
  <c r="J45" i="15" s="1"/>
  <c r="I44" i="6"/>
  <c r="I45" i="15" s="1"/>
  <c r="H44" i="6"/>
  <c r="H45" i="15" s="1"/>
  <c r="G44" i="6"/>
  <c r="G45" i="15" s="1"/>
  <c r="F44" i="6"/>
  <c r="F45" i="15" s="1"/>
  <c r="E44" i="6"/>
  <c r="E45" i="15" s="1"/>
  <c r="D44" i="6"/>
  <c r="D45" i="15" s="1"/>
  <c r="C44" i="6"/>
  <c r="C45" i="15" s="1"/>
  <c r="B44" i="6"/>
  <c r="B45" i="15" s="1"/>
  <c r="K43" i="6"/>
  <c r="K44" i="15" s="1"/>
  <c r="J43" i="6"/>
  <c r="J44" i="15" s="1"/>
  <c r="I43" i="6"/>
  <c r="I44" i="15" s="1"/>
  <c r="H43" i="6"/>
  <c r="H44" i="15" s="1"/>
  <c r="G43" i="6"/>
  <c r="G44" i="15" s="1"/>
  <c r="F43" i="6"/>
  <c r="F44" i="15" s="1"/>
  <c r="E43" i="6"/>
  <c r="E44" i="15" s="1"/>
  <c r="D43" i="6"/>
  <c r="D44" i="15" s="1"/>
  <c r="C43" i="6"/>
  <c r="C44" i="15" s="1"/>
  <c r="B43" i="6"/>
  <c r="B44" i="15" s="1"/>
  <c r="K42" i="6"/>
  <c r="K43" i="15" s="1"/>
  <c r="J42" i="6"/>
  <c r="J43" i="15" s="1"/>
  <c r="I42" i="6"/>
  <c r="I43" i="15" s="1"/>
  <c r="H42" i="6"/>
  <c r="H43" i="15" s="1"/>
  <c r="G42" i="6"/>
  <c r="G43" i="15" s="1"/>
  <c r="F42" i="6"/>
  <c r="F43" i="15" s="1"/>
  <c r="E42" i="6"/>
  <c r="E43" i="15" s="1"/>
  <c r="D42" i="6"/>
  <c r="D43" i="15" s="1"/>
  <c r="C42" i="6"/>
  <c r="C43" i="15" s="1"/>
  <c r="B42" i="6"/>
  <c r="B43" i="15" s="1"/>
  <c r="K41" i="6"/>
  <c r="K42" i="15" s="1"/>
  <c r="J41" i="6"/>
  <c r="J42" i="15" s="1"/>
  <c r="I41" i="6"/>
  <c r="I42" i="15" s="1"/>
  <c r="H41" i="6"/>
  <c r="H42" i="15" s="1"/>
  <c r="G41" i="6"/>
  <c r="G42" i="15" s="1"/>
  <c r="F41" i="6"/>
  <c r="F42" i="15" s="1"/>
  <c r="E41" i="6"/>
  <c r="E42" i="15" s="1"/>
  <c r="D41" i="6"/>
  <c r="D42" i="15" s="1"/>
  <c r="C41" i="6"/>
  <c r="C42" i="15" s="1"/>
  <c r="B41" i="6"/>
  <c r="B42" i="15" s="1"/>
  <c r="K40" i="6"/>
  <c r="K41" i="15" s="1"/>
  <c r="J40" i="6"/>
  <c r="J41" i="15" s="1"/>
  <c r="I40" i="6"/>
  <c r="I41" i="15" s="1"/>
  <c r="H40" i="6"/>
  <c r="H41" i="15" s="1"/>
  <c r="G40" i="6"/>
  <c r="G41" i="15" s="1"/>
  <c r="F40" i="6"/>
  <c r="F41" i="15" s="1"/>
  <c r="E40" i="6"/>
  <c r="E41" i="15" s="1"/>
  <c r="D40" i="6"/>
  <c r="D41" i="15" s="1"/>
  <c r="C40" i="6"/>
  <c r="C41" i="15" s="1"/>
  <c r="B40" i="6"/>
  <c r="B41" i="15" s="1"/>
  <c r="K39" i="6"/>
  <c r="K40" i="15" s="1"/>
  <c r="J39" i="6"/>
  <c r="J40" i="15" s="1"/>
  <c r="I39" i="6"/>
  <c r="I40" i="15" s="1"/>
  <c r="H39" i="6"/>
  <c r="H40" i="15" s="1"/>
  <c r="G39" i="6"/>
  <c r="G40" i="15" s="1"/>
  <c r="F39" i="6"/>
  <c r="F40" i="15" s="1"/>
  <c r="E39" i="6"/>
  <c r="E40" i="15" s="1"/>
  <c r="D39" i="6"/>
  <c r="D40" i="15" s="1"/>
  <c r="C39" i="6"/>
  <c r="C40" i="15" s="1"/>
  <c r="B39" i="6"/>
  <c r="B40" i="15" s="1"/>
  <c r="K38" i="6"/>
  <c r="K39" i="15" s="1"/>
  <c r="J38" i="6"/>
  <c r="J39" i="15" s="1"/>
  <c r="I38" i="6"/>
  <c r="I39" i="15" s="1"/>
  <c r="H38" i="6"/>
  <c r="H39" i="15" s="1"/>
  <c r="G38" i="6"/>
  <c r="G39" i="15" s="1"/>
  <c r="F38" i="6"/>
  <c r="F39" i="15" s="1"/>
  <c r="E38" i="6"/>
  <c r="E39" i="15" s="1"/>
  <c r="D38" i="6"/>
  <c r="D39" i="15" s="1"/>
  <c r="C38" i="6"/>
  <c r="C39" i="15" s="1"/>
  <c r="B38" i="6"/>
  <c r="B39" i="15" s="1"/>
  <c r="K37" i="6"/>
  <c r="K38" i="15" s="1"/>
  <c r="J37" i="6"/>
  <c r="J38" i="15" s="1"/>
  <c r="I37" i="6"/>
  <c r="I38" i="15" s="1"/>
  <c r="H37" i="6"/>
  <c r="H38" i="15" s="1"/>
  <c r="G37" i="6"/>
  <c r="G38" i="15" s="1"/>
  <c r="F37" i="6"/>
  <c r="F38" i="15" s="1"/>
  <c r="E37" i="6"/>
  <c r="E38" i="15" s="1"/>
  <c r="D37" i="6"/>
  <c r="D38" i="15" s="1"/>
  <c r="C37" i="6"/>
  <c r="C38" i="15" s="1"/>
  <c r="B37" i="6"/>
  <c r="B38" i="15" s="1"/>
  <c r="K36" i="6"/>
  <c r="K37" i="15" s="1"/>
  <c r="J36" i="6"/>
  <c r="J37" i="15" s="1"/>
  <c r="I36" i="6"/>
  <c r="I37" i="15" s="1"/>
  <c r="H36" i="6"/>
  <c r="H37" i="15" s="1"/>
  <c r="G36" i="6"/>
  <c r="G37" i="15" s="1"/>
  <c r="F36" i="6"/>
  <c r="F37" i="15" s="1"/>
  <c r="E36" i="6"/>
  <c r="E37" i="15" s="1"/>
  <c r="D36" i="6"/>
  <c r="D37" i="15" s="1"/>
  <c r="C36" i="6"/>
  <c r="C37" i="15" s="1"/>
  <c r="B36" i="6"/>
  <c r="B37" i="15" s="1"/>
  <c r="K35" i="6"/>
  <c r="K36" i="15" s="1"/>
  <c r="J35" i="6"/>
  <c r="J36" i="15" s="1"/>
  <c r="I35" i="6"/>
  <c r="I36" i="15" s="1"/>
  <c r="H35" i="6"/>
  <c r="H36" i="15" s="1"/>
  <c r="G35" i="6"/>
  <c r="G36" i="15" s="1"/>
  <c r="F35" i="6"/>
  <c r="F36" i="15" s="1"/>
  <c r="E35" i="6"/>
  <c r="E36" i="15" s="1"/>
  <c r="D35" i="6"/>
  <c r="D36" i="15" s="1"/>
  <c r="C35" i="6"/>
  <c r="C36" i="15" s="1"/>
  <c r="B35" i="6"/>
  <c r="B36" i="15" s="1"/>
  <c r="K34" i="6"/>
  <c r="K35" i="15" s="1"/>
  <c r="J34" i="6"/>
  <c r="J35" i="15" s="1"/>
  <c r="I34" i="6"/>
  <c r="I35" i="15" s="1"/>
  <c r="H34" i="6"/>
  <c r="H35" i="15" s="1"/>
  <c r="G34" i="6"/>
  <c r="G35" i="15" s="1"/>
  <c r="F34" i="6"/>
  <c r="F35" i="15" s="1"/>
  <c r="E34" i="6"/>
  <c r="E35" i="15" s="1"/>
  <c r="D34" i="6"/>
  <c r="D35" i="15" s="1"/>
  <c r="C34" i="6"/>
  <c r="C35" i="15" s="1"/>
  <c r="B34" i="6"/>
  <c r="B35" i="15" s="1"/>
  <c r="K33" i="6"/>
  <c r="K34" i="15" s="1"/>
  <c r="J33" i="6"/>
  <c r="J34" i="15" s="1"/>
  <c r="I33" i="6"/>
  <c r="I34" i="15" s="1"/>
  <c r="H33" i="6"/>
  <c r="H34" i="15" s="1"/>
  <c r="G33" i="6"/>
  <c r="G34" i="15" s="1"/>
  <c r="F33" i="6"/>
  <c r="F34" i="15" s="1"/>
  <c r="E33" i="6"/>
  <c r="E34" i="15" s="1"/>
  <c r="D33" i="6"/>
  <c r="D34" i="15" s="1"/>
  <c r="C33" i="6"/>
  <c r="C34" i="15" s="1"/>
  <c r="B33" i="6"/>
  <c r="B34" i="15" s="1"/>
  <c r="K32" i="6"/>
  <c r="K33" i="15" s="1"/>
  <c r="J32" i="6"/>
  <c r="J33" i="15" s="1"/>
  <c r="I32" i="6"/>
  <c r="I33" i="15" s="1"/>
  <c r="H32" i="6"/>
  <c r="H33" i="15" s="1"/>
  <c r="G32" i="6"/>
  <c r="G33" i="15" s="1"/>
  <c r="F32" i="6"/>
  <c r="F33" i="15" s="1"/>
  <c r="E32" i="6"/>
  <c r="E33" i="15" s="1"/>
  <c r="D32" i="6"/>
  <c r="D33" i="15" s="1"/>
  <c r="C32" i="6"/>
  <c r="C33" i="15" s="1"/>
  <c r="B32" i="6"/>
  <c r="B33" i="15" s="1"/>
  <c r="K31" i="6"/>
  <c r="K32" i="15" s="1"/>
  <c r="J31" i="6"/>
  <c r="J32" i="15" s="1"/>
  <c r="I31" i="6"/>
  <c r="I32" i="15" s="1"/>
  <c r="H31" i="6"/>
  <c r="H32" i="15" s="1"/>
  <c r="G31" i="6"/>
  <c r="G32" i="15" s="1"/>
  <c r="F31" i="6"/>
  <c r="F32" i="15" s="1"/>
  <c r="E31" i="6"/>
  <c r="E32" i="15" s="1"/>
  <c r="D31" i="6"/>
  <c r="D32" i="15" s="1"/>
  <c r="C31" i="6"/>
  <c r="C32" i="15" s="1"/>
  <c r="B31" i="6"/>
  <c r="B32" i="15" s="1"/>
  <c r="K30" i="6"/>
  <c r="K31" i="15" s="1"/>
  <c r="J30" i="6"/>
  <c r="J31" i="15" s="1"/>
  <c r="I30" i="6"/>
  <c r="I31" i="15" s="1"/>
  <c r="H30" i="6"/>
  <c r="H31" i="15" s="1"/>
  <c r="G30" i="6"/>
  <c r="G31" i="15" s="1"/>
  <c r="F30" i="6"/>
  <c r="F31" i="15" s="1"/>
  <c r="E30" i="6"/>
  <c r="E31" i="15" s="1"/>
  <c r="D30" i="6"/>
  <c r="D31" i="15" s="1"/>
  <c r="C30" i="6"/>
  <c r="C31" i="15" s="1"/>
  <c r="B30" i="6"/>
  <c r="B31" i="15" s="1"/>
  <c r="K29" i="6"/>
  <c r="K30" i="15" s="1"/>
  <c r="J29" i="6"/>
  <c r="J30" i="15" s="1"/>
  <c r="I29" i="6"/>
  <c r="I30" i="15" s="1"/>
  <c r="H29" i="6"/>
  <c r="H30" i="15" s="1"/>
  <c r="G29" i="6"/>
  <c r="G30" i="15" s="1"/>
  <c r="F29" i="6"/>
  <c r="F30" i="15" s="1"/>
  <c r="E29" i="6"/>
  <c r="E30" i="15" s="1"/>
  <c r="D29" i="6"/>
  <c r="D30" i="15" s="1"/>
  <c r="C29" i="6"/>
  <c r="C30" i="15" s="1"/>
  <c r="B29" i="6"/>
  <c r="B30" i="15" s="1"/>
  <c r="K28" i="6"/>
  <c r="K29" i="15" s="1"/>
  <c r="J28" i="6"/>
  <c r="J29" i="15" s="1"/>
  <c r="I28" i="6"/>
  <c r="I29" i="15" s="1"/>
  <c r="H28" i="6"/>
  <c r="H29" i="15" s="1"/>
  <c r="G28" i="6"/>
  <c r="G29" i="15" s="1"/>
  <c r="F28" i="6"/>
  <c r="F29" i="15" s="1"/>
  <c r="E28" i="6"/>
  <c r="E29" i="15" s="1"/>
  <c r="D28" i="6"/>
  <c r="D29" i="15" s="1"/>
  <c r="C28" i="6"/>
  <c r="C29" i="15" s="1"/>
  <c r="B28" i="6"/>
  <c r="B29" i="15" s="1"/>
  <c r="K27" i="6"/>
  <c r="K28" i="15" s="1"/>
  <c r="J27" i="6"/>
  <c r="J28" i="15" s="1"/>
  <c r="I27" i="6"/>
  <c r="I28" i="15" s="1"/>
  <c r="H27" i="6"/>
  <c r="H28" i="15" s="1"/>
  <c r="G27" i="6"/>
  <c r="G28" i="15" s="1"/>
  <c r="F27" i="6"/>
  <c r="F28" i="15" s="1"/>
  <c r="E27" i="6"/>
  <c r="E28" i="15" s="1"/>
  <c r="D27" i="6"/>
  <c r="D28" i="15" s="1"/>
  <c r="C27" i="6"/>
  <c r="C28" i="15" s="1"/>
  <c r="B27" i="6"/>
  <c r="B28" i="15" s="1"/>
  <c r="K26" i="6"/>
  <c r="K27" i="15" s="1"/>
  <c r="J26" i="6"/>
  <c r="J27" i="15" s="1"/>
  <c r="I26" i="6"/>
  <c r="I27" i="15" s="1"/>
  <c r="H26" i="6"/>
  <c r="H27" i="15" s="1"/>
  <c r="G26" i="6"/>
  <c r="G27" i="15" s="1"/>
  <c r="F26" i="6"/>
  <c r="F27" i="15" s="1"/>
  <c r="E26" i="6"/>
  <c r="E27" i="15" s="1"/>
  <c r="D26" i="6"/>
  <c r="D27" i="15" s="1"/>
  <c r="C26" i="6"/>
  <c r="C27" i="15" s="1"/>
  <c r="B26" i="6"/>
  <c r="B27" i="15" s="1"/>
  <c r="K25" i="6"/>
  <c r="K26" i="15" s="1"/>
  <c r="J25" i="6"/>
  <c r="J26" i="15" s="1"/>
  <c r="I25" i="6"/>
  <c r="I26" i="15" s="1"/>
  <c r="H25" i="6"/>
  <c r="H26" i="15" s="1"/>
  <c r="G25" i="6"/>
  <c r="G26" i="15" s="1"/>
  <c r="F25" i="6"/>
  <c r="F26" i="15" s="1"/>
  <c r="E25" i="6"/>
  <c r="E26" i="15" s="1"/>
  <c r="D25" i="6"/>
  <c r="D26" i="15" s="1"/>
  <c r="C25" i="6"/>
  <c r="C26" i="15" s="1"/>
  <c r="B25" i="6"/>
  <c r="B26" i="15" s="1"/>
  <c r="K24" i="6"/>
  <c r="K25" i="15" s="1"/>
  <c r="J24" i="6"/>
  <c r="J25" i="15" s="1"/>
  <c r="I24" i="6"/>
  <c r="I25" i="15" s="1"/>
  <c r="H24" i="6"/>
  <c r="H25" i="15" s="1"/>
  <c r="G24" i="6"/>
  <c r="G25" i="15" s="1"/>
  <c r="F24" i="6"/>
  <c r="F25" i="15" s="1"/>
  <c r="E24" i="6"/>
  <c r="E25" i="15" s="1"/>
  <c r="D24" i="6"/>
  <c r="D25" i="15" s="1"/>
  <c r="C24" i="6"/>
  <c r="C25" i="15" s="1"/>
  <c r="B24" i="6"/>
  <c r="B25" i="15" s="1"/>
  <c r="K23" i="6"/>
  <c r="K24" i="15" s="1"/>
  <c r="J23" i="6"/>
  <c r="J24" i="15" s="1"/>
  <c r="I23" i="6"/>
  <c r="I24" i="15" s="1"/>
  <c r="H23" i="6"/>
  <c r="H24" i="15" s="1"/>
  <c r="G23" i="6"/>
  <c r="G24" i="15" s="1"/>
  <c r="F23" i="6"/>
  <c r="F24" i="15" s="1"/>
  <c r="E23" i="6"/>
  <c r="E24" i="15" s="1"/>
  <c r="D23" i="6"/>
  <c r="D24" i="15" s="1"/>
  <c r="C23" i="6"/>
  <c r="C24" i="15" s="1"/>
  <c r="B23" i="6"/>
  <c r="B24" i="15" s="1"/>
  <c r="K22" i="6"/>
  <c r="K23" i="15" s="1"/>
  <c r="J22" i="6"/>
  <c r="J23" i="15" s="1"/>
  <c r="I22" i="6"/>
  <c r="I23" i="15" s="1"/>
  <c r="H22" i="6"/>
  <c r="H23" i="15" s="1"/>
  <c r="G22" i="6"/>
  <c r="G23" i="15" s="1"/>
  <c r="F22" i="6"/>
  <c r="F23" i="15" s="1"/>
  <c r="E22" i="6"/>
  <c r="E23" i="15" s="1"/>
  <c r="D22" i="6"/>
  <c r="D23" i="15" s="1"/>
  <c r="C22" i="6"/>
  <c r="C23" i="15" s="1"/>
  <c r="B22" i="6"/>
  <c r="B23" i="15" s="1"/>
  <c r="K21" i="6"/>
  <c r="K22" i="15" s="1"/>
  <c r="J21" i="6"/>
  <c r="J22" i="15" s="1"/>
  <c r="I21" i="6"/>
  <c r="I22" i="15" s="1"/>
  <c r="H21" i="6"/>
  <c r="H22" i="15" s="1"/>
  <c r="G21" i="6"/>
  <c r="G22" i="15" s="1"/>
  <c r="F21" i="6"/>
  <c r="F22" i="15" s="1"/>
  <c r="E21" i="6"/>
  <c r="E22" i="15" s="1"/>
  <c r="D21" i="6"/>
  <c r="D22" i="15" s="1"/>
  <c r="C21" i="6"/>
  <c r="C22" i="15" s="1"/>
  <c r="B21" i="6"/>
  <c r="B22" i="15" s="1"/>
  <c r="K20" i="6"/>
  <c r="K21" i="15" s="1"/>
  <c r="J20" i="6"/>
  <c r="J21" i="15" s="1"/>
  <c r="I20" i="6"/>
  <c r="I21" i="15" s="1"/>
  <c r="H20" i="6"/>
  <c r="H21" i="15" s="1"/>
  <c r="G20" i="6"/>
  <c r="G21" i="15" s="1"/>
  <c r="F20" i="6"/>
  <c r="F21" i="15" s="1"/>
  <c r="E20" i="6"/>
  <c r="E21" i="15" s="1"/>
  <c r="D20" i="6"/>
  <c r="D21" i="15" s="1"/>
  <c r="C20" i="6"/>
  <c r="C21" i="15" s="1"/>
  <c r="B20" i="6"/>
  <c r="B21" i="15" s="1"/>
  <c r="K19" i="6"/>
  <c r="K20" i="15" s="1"/>
  <c r="J19" i="6"/>
  <c r="J20" i="15" s="1"/>
  <c r="I19" i="6"/>
  <c r="I20" i="15" s="1"/>
  <c r="H19" i="6"/>
  <c r="H20" i="15" s="1"/>
  <c r="G19" i="6"/>
  <c r="G20" i="15" s="1"/>
  <c r="F19" i="6"/>
  <c r="F20" i="15" s="1"/>
  <c r="E19" i="6"/>
  <c r="E20" i="15" s="1"/>
  <c r="D19" i="6"/>
  <c r="D20" i="15" s="1"/>
  <c r="C19" i="6"/>
  <c r="C20" i="15" s="1"/>
  <c r="B19" i="6"/>
  <c r="B20" i="15" s="1"/>
  <c r="K18" i="6"/>
  <c r="K19" i="15" s="1"/>
  <c r="J18" i="6"/>
  <c r="J19" i="15" s="1"/>
  <c r="I18" i="6"/>
  <c r="I19" i="15" s="1"/>
  <c r="H18" i="6"/>
  <c r="H19" i="15" s="1"/>
  <c r="G18" i="6"/>
  <c r="G19" i="15" s="1"/>
  <c r="F18" i="6"/>
  <c r="F19" i="15" s="1"/>
  <c r="E18" i="6"/>
  <c r="E19" i="15" s="1"/>
  <c r="D18" i="6"/>
  <c r="D19" i="15" s="1"/>
  <c r="C18" i="6"/>
  <c r="C19" i="15" s="1"/>
  <c r="B18" i="6"/>
  <c r="B19" i="15" s="1"/>
  <c r="K17" i="6"/>
  <c r="K18" i="15" s="1"/>
  <c r="J17" i="6"/>
  <c r="J18" i="15" s="1"/>
  <c r="I17" i="6"/>
  <c r="I18" i="15" s="1"/>
  <c r="H17" i="6"/>
  <c r="H18" i="15" s="1"/>
  <c r="G17" i="6"/>
  <c r="G18" i="15" s="1"/>
  <c r="F17" i="6"/>
  <c r="F18" i="15" s="1"/>
  <c r="E17" i="6"/>
  <c r="E18" i="15" s="1"/>
  <c r="D17" i="6"/>
  <c r="D18" i="15" s="1"/>
  <c r="C17" i="6"/>
  <c r="C18" i="15" s="1"/>
  <c r="B17" i="6"/>
  <c r="B18" i="15" s="1"/>
  <c r="K16" i="6"/>
  <c r="K17" i="15" s="1"/>
  <c r="J16" i="6"/>
  <c r="J17" i="15" s="1"/>
  <c r="I16" i="6"/>
  <c r="I17" i="15" s="1"/>
  <c r="H16" i="6"/>
  <c r="H17" i="15" s="1"/>
  <c r="G16" i="6"/>
  <c r="G17" i="15" s="1"/>
  <c r="F16" i="6"/>
  <c r="F17" i="15" s="1"/>
  <c r="E16" i="6"/>
  <c r="E17" i="15" s="1"/>
  <c r="D16" i="6"/>
  <c r="D17" i="15" s="1"/>
  <c r="C16" i="6"/>
  <c r="C17" i="15" s="1"/>
  <c r="B16" i="6"/>
  <c r="B17" i="15" s="1"/>
  <c r="K15" i="6"/>
  <c r="K16" i="15" s="1"/>
  <c r="J15" i="6"/>
  <c r="J16" i="15" s="1"/>
  <c r="I15" i="6"/>
  <c r="I16" i="15" s="1"/>
  <c r="H15" i="6"/>
  <c r="H16" i="15" s="1"/>
  <c r="G15" i="6"/>
  <c r="G16" i="15" s="1"/>
  <c r="F15" i="6"/>
  <c r="F16" i="15" s="1"/>
  <c r="E15" i="6"/>
  <c r="E16" i="15" s="1"/>
  <c r="D15" i="6"/>
  <c r="D16" i="15" s="1"/>
  <c r="C15" i="6"/>
  <c r="C16" i="15" s="1"/>
  <c r="B15" i="6"/>
  <c r="B16" i="15" s="1"/>
  <c r="K14" i="6"/>
  <c r="K15" i="15" s="1"/>
  <c r="J14" i="6"/>
  <c r="J15" i="15" s="1"/>
  <c r="I14" i="6"/>
  <c r="I15" i="15" s="1"/>
  <c r="H14" i="6"/>
  <c r="H15" i="15" s="1"/>
  <c r="G14" i="6"/>
  <c r="G15" i="15" s="1"/>
  <c r="F14" i="6"/>
  <c r="F15" i="15" s="1"/>
  <c r="E14" i="6"/>
  <c r="E15" i="15" s="1"/>
  <c r="D14" i="6"/>
  <c r="D15" i="15" s="1"/>
  <c r="C14" i="6"/>
  <c r="C15" i="15" s="1"/>
  <c r="B14" i="6"/>
  <c r="B15" i="15" s="1"/>
  <c r="K13" i="6"/>
  <c r="K14" i="15" s="1"/>
  <c r="J13" i="6"/>
  <c r="J14" i="15" s="1"/>
  <c r="I13" i="6"/>
  <c r="I14" i="15" s="1"/>
  <c r="H13" i="6"/>
  <c r="H14" i="15" s="1"/>
  <c r="G13" i="6"/>
  <c r="G14" i="15" s="1"/>
  <c r="F13" i="6"/>
  <c r="F14" i="15" s="1"/>
  <c r="E13" i="6"/>
  <c r="E14" i="15" s="1"/>
  <c r="D13" i="6"/>
  <c r="D14" i="15" s="1"/>
  <c r="C13" i="6"/>
  <c r="C14" i="15" s="1"/>
  <c r="B13" i="6"/>
  <c r="B14" i="15" s="1"/>
  <c r="K12" i="6"/>
  <c r="K13" i="15" s="1"/>
  <c r="J12" i="6"/>
  <c r="J13" i="15" s="1"/>
  <c r="I12" i="6"/>
  <c r="I13" i="15" s="1"/>
  <c r="H12" i="6"/>
  <c r="H13" i="15" s="1"/>
  <c r="G12" i="6"/>
  <c r="G13" i="15" s="1"/>
  <c r="F12" i="6"/>
  <c r="F13" i="15" s="1"/>
  <c r="E12" i="6"/>
  <c r="E13" i="15" s="1"/>
  <c r="D12" i="6"/>
  <c r="D13" i="15" s="1"/>
  <c r="C12" i="6"/>
  <c r="C13" i="15" s="1"/>
  <c r="B12" i="6"/>
  <c r="B13" i="15" s="1"/>
  <c r="K11" i="6"/>
  <c r="K12" i="15" s="1"/>
  <c r="J11" i="6"/>
  <c r="J12" i="15" s="1"/>
  <c r="I11" i="6"/>
  <c r="I12" i="15" s="1"/>
  <c r="H11" i="6"/>
  <c r="H12" i="15" s="1"/>
  <c r="G11" i="6"/>
  <c r="G12" i="15" s="1"/>
  <c r="F11" i="6"/>
  <c r="F12" i="15" s="1"/>
  <c r="E11" i="6"/>
  <c r="E12" i="15" s="1"/>
  <c r="D11" i="6"/>
  <c r="D12" i="15" s="1"/>
  <c r="C11" i="6"/>
  <c r="C12" i="15" s="1"/>
  <c r="B11" i="6"/>
  <c r="B12" i="15" s="1"/>
  <c r="K10" i="6"/>
  <c r="K11" i="15" s="1"/>
  <c r="J10" i="6"/>
  <c r="J11" i="15" s="1"/>
  <c r="I10" i="6"/>
  <c r="I11" i="15" s="1"/>
  <c r="H10" i="6"/>
  <c r="H11" i="15" s="1"/>
  <c r="G10" i="6"/>
  <c r="G11" i="15" s="1"/>
  <c r="F10" i="6"/>
  <c r="F11" i="15" s="1"/>
  <c r="E10" i="6"/>
  <c r="E11" i="15" s="1"/>
  <c r="D10" i="6"/>
  <c r="D11" i="15" s="1"/>
  <c r="C10" i="6"/>
  <c r="C11" i="15" s="1"/>
  <c r="B10" i="6"/>
  <c r="B11" i="15" s="1"/>
  <c r="K9" i="6"/>
  <c r="K10" i="15" s="1"/>
  <c r="J9" i="6"/>
  <c r="J10" i="15" s="1"/>
  <c r="I9" i="6"/>
  <c r="I10" i="15" s="1"/>
  <c r="H9" i="6"/>
  <c r="H10" i="15" s="1"/>
  <c r="G9" i="6"/>
  <c r="G10" i="15" s="1"/>
  <c r="F9" i="6"/>
  <c r="F10" i="15" s="1"/>
  <c r="E9" i="6"/>
  <c r="E10" i="15" s="1"/>
  <c r="D9" i="6"/>
  <c r="D10" i="15" s="1"/>
  <c r="C9" i="6"/>
  <c r="C10" i="15" s="1"/>
  <c r="B9" i="6"/>
  <c r="B10" i="15" s="1"/>
  <c r="K8" i="6"/>
  <c r="K9" i="15" s="1"/>
  <c r="J8" i="6"/>
  <c r="J9" i="15" s="1"/>
  <c r="I8" i="6"/>
  <c r="I9" i="15" s="1"/>
  <c r="H8" i="6"/>
  <c r="H9" i="15" s="1"/>
  <c r="G8" i="6"/>
  <c r="G9" i="15" s="1"/>
  <c r="F8" i="6"/>
  <c r="F9" i="15" s="1"/>
  <c r="E8" i="6"/>
  <c r="E9" i="15" s="1"/>
  <c r="D8" i="6"/>
  <c r="D9" i="15" s="1"/>
  <c r="C8" i="6"/>
  <c r="C9" i="15" s="1"/>
  <c r="B8" i="6"/>
  <c r="B9" i="15" s="1"/>
  <c r="K7" i="6"/>
  <c r="K8" i="15" s="1"/>
  <c r="J7" i="6"/>
  <c r="J8" i="15" s="1"/>
  <c r="I7" i="6"/>
  <c r="I8" i="15" s="1"/>
  <c r="H7" i="6"/>
  <c r="H8" i="15" s="1"/>
  <c r="G7" i="6"/>
  <c r="G8" i="15" s="1"/>
  <c r="F7" i="6"/>
  <c r="F8" i="15" s="1"/>
  <c r="E7" i="6"/>
  <c r="E8" i="15" s="1"/>
  <c r="D7" i="6"/>
  <c r="D8" i="15" s="1"/>
  <c r="C7" i="6"/>
  <c r="C8" i="15" s="1"/>
  <c r="B7" i="6"/>
  <c r="B8" i="15" s="1"/>
  <c r="K6" i="6"/>
  <c r="K7" i="15" s="1"/>
  <c r="J6" i="6"/>
  <c r="J7" i="15" s="1"/>
  <c r="I6" i="6"/>
  <c r="I7" i="15" s="1"/>
  <c r="H6" i="6"/>
  <c r="H7" i="15" s="1"/>
  <c r="G6" i="6"/>
  <c r="G7" i="15" s="1"/>
  <c r="F6" i="6"/>
  <c r="F7" i="15" s="1"/>
  <c r="E6" i="6"/>
  <c r="E7" i="15" s="1"/>
  <c r="D6" i="6"/>
  <c r="D7" i="15" s="1"/>
  <c r="C6" i="6"/>
  <c r="C7" i="15" s="1"/>
  <c r="B6" i="6"/>
  <c r="B7" i="15" s="1"/>
  <c r="K5" i="6"/>
  <c r="K6" i="15" s="1"/>
  <c r="J5" i="6"/>
  <c r="J6" i="15" s="1"/>
  <c r="I5" i="6"/>
  <c r="I6" i="15" s="1"/>
  <c r="H5" i="6"/>
  <c r="H6" i="15" s="1"/>
  <c r="G5" i="6"/>
  <c r="G6" i="15" s="1"/>
  <c r="F5" i="6"/>
  <c r="F6" i="15" s="1"/>
  <c r="E5" i="6"/>
  <c r="E6" i="15" s="1"/>
  <c r="D5" i="6"/>
  <c r="D6" i="15" s="1"/>
  <c r="C5" i="6"/>
  <c r="C6" i="15" s="1"/>
  <c r="B5" i="6"/>
  <c r="B6" i="15" s="1"/>
  <c r="K4" i="6"/>
  <c r="K5" i="15" s="1"/>
  <c r="J4" i="6"/>
  <c r="J5" i="15" s="1"/>
  <c r="I4" i="6"/>
  <c r="I5" i="15" s="1"/>
  <c r="H4" i="6"/>
  <c r="H5" i="15" s="1"/>
  <c r="G4" i="6"/>
  <c r="G5" i="15" s="1"/>
  <c r="F4" i="6"/>
  <c r="F5" i="15" s="1"/>
  <c r="E4" i="6"/>
  <c r="E5" i="15" s="1"/>
  <c r="D4" i="6"/>
  <c r="D5" i="15" s="1"/>
  <c r="C4" i="6"/>
  <c r="C5" i="15" s="1"/>
  <c r="B4" i="6"/>
  <c r="B5" i="15" s="1"/>
  <c r="K3" i="6"/>
  <c r="K4" i="15" s="1"/>
  <c r="J3" i="6"/>
  <c r="J4" i="15" s="1"/>
  <c r="I3" i="6"/>
  <c r="I4" i="15" s="1"/>
  <c r="H3" i="6"/>
  <c r="H4" i="15" s="1"/>
  <c r="G3" i="6"/>
  <c r="G4" i="15" s="1"/>
  <c r="F3" i="6"/>
  <c r="F4" i="15" s="1"/>
  <c r="E3" i="6"/>
  <c r="E4" i="15" s="1"/>
  <c r="D3" i="6"/>
  <c r="D4" i="15" s="1"/>
  <c r="C3" i="6"/>
  <c r="C4" i="15" s="1"/>
  <c r="B3" i="6"/>
  <c r="B4" i="15" s="1"/>
  <c r="K2" i="6"/>
  <c r="J2" i="6"/>
  <c r="I2" i="6"/>
  <c r="H2" i="6"/>
  <c r="G2" i="6"/>
  <c r="F2" i="6"/>
  <c r="E2" i="6"/>
  <c r="D2" i="6"/>
  <c r="C2" i="6"/>
  <c r="B2" i="6"/>
  <c r="K1" i="6"/>
  <c r="I1" i="6"/>
  <c r="H1" i="6"/>
  <c r="G1" i="6"/>
  <c r="F1" i="6"/>
  <c r="E1" i="6"/>
  <c r="D1" i="6"/>
  <c r="C1" i="6"/>
  <c r="B1" i="6"/>
  <c r="B2" i="7" l="1"/>
  <c r="K15" i="7" a="1"/>
  <c r="K15" i="7" s="1"/>
  <c r="K16" i="7"/>
  <c r="K14" i="7"/>
  <c r="K3" i="7"/>
  <c r="K3" i="15"/>
  <c r="K10" i="7" s="1"/>
  <c r="K13" i="7"/>
  <c r="K2" i="7"/>
  <c r="K12" i="7" a="1"/>
  <c r="K12" i="7" s="1"/>
  <c r="K11" i="7"/>
  <c r="J2" i="7"/>
  <c r="J3" i="7"/>
  <c r="J16" i="7"/>
  <c r="J3" i="15"/>
  <c r="J10" i="7" s="1"/>
  <c r="J15" i="7" a="1"/>
  <c r="J15" i="7" s="1"/>
  <c r="J14" i="7"/>
  <c r="J12" i="7" a="1"/>
  <c r="J12" i="7" s="1"/>
  <c r="J11" i="7"/>
  <c r="J13" i="7"/>
  <c r="H3" i="7"/>
  <c r="H11" i="7"/>
  <c r="H3" i="15"/>
  <c r="H10" i="7" s="1"/>
  <c r="H14" i="7"/>
  <c r="H16" i="7"/>
  <c r="H15" i="7" a="1"/>
  <c r="H15" i="7" s="1"/>
  <c r="H12" i="7" a="1"/>
  <c r="H12" i="7" s="1"/>
  <c r="H13" i="7"/>
  <c r="H2" i="7"/>
  <c r="G14" i="7"/>
  <c r="G3" i="15"/>
  <c r="G10" i="7" s="1"/>
  <c r="G3" i="7"/>
  <c r="G7" i="7"/>
  <c r="G16" i="7"/>
  <c r="G15" i="7" a="1"/>
  <c r="G15" i="7" s="1"/>
  <c r="G11" i="7"/>
  <c r="G12" i="7" a="1"/>
  <c r="G12" i="7" s="1"/>
  <c r="G2" i="7"/>
  <c r="G13" i="7"/>
  <c r="F3" i="7"/>
  <c r="F3" i="15"/>
  <c r="F10" i="7" s="1"/>
  <c r="F14" i="7"/>
  <c r="F16" i="7"/>
  <c r="F15" i="7" a="1"/>
  <c r="F15" i="7" s="1"/>
  <c r="F11" i="7"/>
  <c r="F12" i="7" a="1"/>
  <c r="F12" i="7" s="1"/>
  <c r="F2" i="7"/>
  <c r="F13" i="7"/>
  <c r="E15" i="7" a="1"/>
  <c r="E15" i="7" s="1"/>
  <c r="E14" i="7"/>
  <c r="E3" i="7"/>
  <c r="E12" i="7" a="1"/>
  <c r="E12" i="7" s="1"/>
  <c r="E16" i="7"/>
  <c r="E3" i="15"/>
  <c r="E10" i="7" s="1"/>
  <c r="E11" i="7"/>
  <c r="E13" i="7"/>
  <c r="E2" i="7"/>
  <c r="D15" i="7" a="1"/>
  <c r="D15" i="7" s="1"/>
  <c r="D3" i="15"/>
  <c r="D10" i="7" s="1"/>
  <c r="D3" i="7"/>
  <c r="D14" i="7"/>
  <c r="D16" i="7"/>
  <c r="D13" i="7"/>
  <c r="D11" i="7"/>
  <c r="D12" i="7" a="1"/>
  <c r="D12" i="7" s="1"/>
  <c r="D2" i="7"/>
  <c r="C3" i="7"/>
  <c r="C15" i="7" a="1"/>
  <c r="C15" i="7" s="1"/>
  <c r="C3" i="15"/>
  <c r="C10" i="7" s="1"/>
  <c r="C14" i="7"/>
  <c r="C16" i="7"/>
  <c r="C12" i="7" a="1"/>
  <c r="C12" i="7" s="1"/>
  <c r="C2" i="7"/>
  <c r="C13" i="7"/>
  <c r="C11" i="7"/>
  <c r="B15" i="7" a="1"/>
  <c r="B15" i="7" s="1"/>
  <c r="B3" i="7"/>
  <c r="B16" i="7"/>
  <c r="B3" i="15"/>
  <c r="B10" i="7" s="1"/>
  <c r="B14" i="7"/>
  <c r="B13" i="7"/>
  <c r="B11" i="7"/>
  <c r="B12" i="7" a="1"/>
  <c r="B12" i="7" s="1"/>
  <c r="I16" i="7"/>
  <c r="I3" i="7"/>
  <c r="I3" i="15"/>
  <c r="I10" i="7" s="1"/>
  <c r="I11" i="7"/>
  <c r="I14" i="7"/>
  <c r="I15" i="7" a="1"/>
  <c r="I15" i="7" s="1"/>
  <c r="I2" i="7"/>
  <c r="I13" i="7"/>
  <c r="I12" i="7" a="1"/>
  <c r="I12" i="7" s="1"/>
  <c r="C3" i="13"/>
  <c r="C4" i="13" s="1"/>
  <c r="C5" i="13" s="1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5" i="7"/>
  <c r="C4" i="7"/>
  <c r="D3" i="13"/>
  <c r="D4" i="13" s="1"/>
  <c r="D5" i="13" s="1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5" i="7"/>
  <c r="D4" i="7"/>
  <c r="E3" i="13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5" i="7"/>
  <c r="E4" i="7"/>
  <c r="E9" i="7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  <c r="F63" i="13" s="1"/>
  <c r="F64" i="13" s="1"/>
  <c r="F65" i="13" s="1"/>
  <c r="F66" i="13" s="1"/>
  <c r="F67" i="13" s="1"/>
  <c r="F68" i="13" s="1"/>
  <c r="F69" i="13" s="1"/>
  <c r="F70" i="13" s="1"/>
  <c r="F71" i="13" s="1"/>
  <c r="F72" i="13" s="1"/>
  <c r="F73" i="13" s="1"/>
  <c r="F74" i="13" s="1"/>
  <c r="F75" i="13" s="1"/>
  <c r="F76" i="13" s="1"/>
  <c r="F77" i="13" s="1"/>
  <c r="F78" i="13" s="1"/>
  <c r="F79" i="13" s="1"/>
  <c r="F80" i="13" s="1"/>
  <c r="F81" i="13" s="1"/>
  <c r="F82" i="13" s="1"/>
  <c r="F83" i="13" s="1"/>
  <c r="F84" i="13" s="1"/>
  <c r="F85" i="13" s="1"/>
  <c r="F86" i="13" s="1"/>
  <c r="F87" i="13" s="1"/>
  <c r="F88" i="13" s="1"/>
  <c r="F89" i="13" s="1"/>
  <c r="F90" i="13" s="1"/>
  <c r="F91" i="13" s="1"/>
  <c r="F92" i="13" s="1"/>
  <c r="F93" i="13" s="1"/>
  <c r="F94" i="13" s="1"/>
  <c r="F95" i="13" s="1"/>
  <c r="F96" i="13" s="1"/>
  <c r="F97" i="13" s="1"/>
  <c r="F98" i="13" s="1"/>
  <c r="F99" i="13" s="1"/>
  <c r="F100" i="13" s="1"/>
  <c r="F101" i="13" s="1"/>
  <c r="F102" i="13" s="1"/>
  <c r="F103" i="13" s="1"/>
  <c r="F104" i="13" s="1"/>
  <c r="F105" i="13" s="1"/>
  <c r="F106" i="13" s="1"/>
  <c r="F107" i="13" s="1"/>
  <c r="F108" i="13" s="1"/>
  <c r="F109" i="13" s="1"/>
  <c r="F5" i="7"/>
  <c r="F4" i="7"/>
  <c r="G3" i="13"/>
  <c r="G4" i="13" s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  <c r="G57" i="13" s="1"/>
  <c r="G58" i="13" s="1"/>
  <c r="G59" i="13" s="1"/>
  <c r="G60" i="13" s="1"/>
  <c r="G61" i="13" s="1"/>
  <c r="G62" i="13" s="1"/>
  <c r="G63" i="13" s="1"/>
  <c r="G64" i="13" s="1"/>
  <c r="G65" i="13" s="1"/>
  <c r="G66" i="13" s="1"/>
  <c r="G67" i="13" s="1"/>
  <c r="G68" i="13" s="1"/>
  <c r="G69" i="13" s="1"/>
  <c r="G70" i="13" s="1"/>
  <c r="G71" i="13" s="1"/>
  <c r="G72" i="13" s="1"/>
  <c r="G73" i="13" s="1"/>
  <c r="G74" i="13" s="1"/>
  <c r="G75" i="13" s="1"/>
  <c r="G76" i="13" s="1"/>
  <c r="G77" i="13" s="1"/>
  <c r="G78" i="13" s="1"/>
  <c r="G79" i="13" s="1"/>
  <c r="G80" i="13" s="1"/>
  <c r="G81" i="13" s="1"/>
  <c r="G82" i="13" s="1"/>
  <c r="G83" i="13" s="1"/>
  <c r="G84" i="13" s="1"/>
  <c r="G85" i="13" s="1"/>
  <c r="G86" i="13" s="1"/>
  <c r="G87" i="13" s="1"/>
  <c r="G88" i="13" s="1"/>
  <c r="G89" i="13" s="1"/>
  <c r="G90" i="13" s="1"/>
  <c r="G91" i="13" s="1"/>
  <c r="G92" i="13" s="1"/>
  <c r="G93" i="13" s="1"/>
  <c r="G94" i="13" s="1"/>
  <c r="G95" i="13" s="1"/>
  <c r="G96" i="13" s="1"/>
  <c r="G97" i="13" s="1"/>
  <c r="G98" i="13" s="1"/>
  <c r="G99" i="13" s="1"/>
  <c r="G100" i="13" s="1"/>
  <c r="G101" i="13" s="1"/>
  <c r="G102" i="13" s="1"/>
  <c r="G103" i="13" s="1"/>
  <c r="G104" i="13" s="1"/>
  <c r="G105" i="13" s="1"/>
  <c r="G106" i="13" s="1"/>
  <c r="G107" i="13" s="1"/>
  <c r="G108" i="13" s="1"/>
  <c r="G109" i="13" s="1"/>
  <c r="G4" i="7"/>
  <c r="G5" i="7"/>
  <c r="H3" i="13"/>
  <c r="H4" i="13" s="1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H42" i="13" s="1"/>
  <c r="H43" i="13" s="1"/>
  <c r="H44" i="13" s="1"/>
  <c r="H45" i="13" s="1"/>
  <c r="H46" i="13" s="1"/>
  <c r="H47" i="13" s="1"/>
  <c r="H48" i="13" s="1"/>
  <c r="H49" i="13" s="1"/>
  <c r="H50" i="13" s="1"/>
  <c r="H51" i="13" s="1"/>
  <c r="H52" i="13" s="1"/>
  <c r="H53" i="13" s="1"/>
  <c r="H54" i="13" s="1"/>
  <c r="H55" i="13" s="1"/>
  <c r="H56" i="13" s="1"/>
  <c r="H57" i="13" s="1"/>
  <c r="H58" i="13" s="1"/>
  <c r="H59" i="13" s="1"/>
  <c r="H60" i="13" s="1"/>
  <c r="H61" i="13" s="1"/>
  <c r="H62" i="13" s="1"/>
  <c r="H63" i="13" s="1"/>
  <c r="H64" i="13" s="1"/>
  <c r="H65" i="13" s="1"/>
  <c r="H66" i="13" s="1"/>
  <c r="H67" i="13" s="1"/>
  <c r="H68" i="13" s="1"/>
  <c r="H69" i="13" s="1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H100" i="13" s="1"/>
  <c r="H101" i="13" s="1"/>
  <c r="H102" i="13" s="1"/>
  <c r="H103" i="13" s="1"/>
  <c r="H104" i="13" s="1"/>
  <c r="H105" i="13" s="1"/>
  <c r="H106" i="13" s="1"/>
  <c r="H107" i="13" s="1"/>
  <c r="H108" i="13" s="1"/>
  <c r="H109" i="13" s="1"/>
  <c r="H4" i="7"/>
  <c r="H9" i="7" s="1"/>
  <c r="H5" i="7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4" i="7"/>
  <c r="B5" i="7"/>
  <c r="I3" i="13"/>
  <c r="I4" i="13" s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4" i="7"/>
  <c r="I5" i="7"/>
  <c r="J3" i="13"/>
  <c r="J4" i="13" s="1"/>
  <c r="J5" i="13" s="1"/>
  <c r="J6" i="13" s="1"/>
  <c r="J7" i="13" s="1"/>
  <c r="J8" i="13" s="1"/>
  <c r="J9" i="13" s="1"/>
  <c r="J10" i="13" s="1"/>
  <c r="J11" i="13" s="1"/>
  <c r="J12" i="13" s="1"/>
  <c r="J13" i="13" s="1"/>
  <c r="J14" i="13" s="1"/>
  <c r="J15" i="13" s="1"/>
  <c r="J16" i="13" s="1"/>
  <c r="J17" i="13" s="1"/>
  <c r="J18" i="13" s="1"/>
  <c r="J19" i="13" s="1"/>
  <c r="J20" i="13" s="1"/>
  <c r="J21" i="13" s="1"/>
  <c r="J22" i="13" s="1"/>
  <c r="J23" i="13" s="1"/>
  <c r="J24" i="13" s="1"/>
  <c r="J25" i="13" s="1"/>
  <c r="J26" i="13" s="1"/>
  <c r="J27" i="13" s="1"/>
  <c r="J28" i="13" s="1"/>
  <c r="J29" i="13" s="1"/>
  <c r="J30" i="13" s="1"/>
  <c r="J31" i="13" s="1"/>
  <c r="J32" i="13" s="1"/>
  <c r="J33" i="13" s="1"/>
  <c r="J34" i="13" s="1"/>
  <c r="J35" i="13" s="1"/>
  <c r="J36" i="13" s="1"/>
  <c r="J37" i="13" s="1"/>
  <c r="J38" i="13" s="1"/>
  <c r="J39" i="13" s="1"/>
  <c r="J40" i="13" s="1"/>
  <c r="J41" i="13" s="1"/>
  <c r="J42" i="13" s="1"/>
  <c r="J43" i="13" s="1"/>
  <c r="J44" i="13" s="1"/>
  <c r="J45" i="13" s="1"/>
  <c r="J46" i="13" s="1"/>
  <c r="J47" i="13" s="1"/>
  <c r="J48" i="13" s="1"/>
  <c r="J49" i="13" s="1"/>
  <c r="J50" i="13" s="1"/>
  <c r="J51" i="13" s="1"/>
  <c r="J52" i="13" s="1"/>
  <c r="J53" i="13" s="1"/>
  <c r="J54" i="13" s="1"/>
  <c r="J55" i="13" s="1"/>
  <c r="J56" i="13" s="1"/>
  <c r="J57" i="13" s="1"/>
  <c r="J58" i="13" s="1"/>
  <c r="J59" i="13" s="1"/>
  <c r="J60" i="13" s="1"/>
  <c r="J61" i="13" s="1"/>
  <c r="J62" i="13" s="1"/>
  <c r="J63" i="13" s="1"/>
  <c r="J64" i="13" s="1"/>
  <c r="J65" i="13" s="1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J83" i="13" s="1"/>
  <c r="J84" i="13" s="1"/>
  <c r="J85" i="13" s="1"/>
  <c r="J86" i="13" s="1"/>
  <c r="J87" i="13" s="1"/>
  <c r="J88" i="13" s="1"/>
  <c r="J89" i="13" s="1"/>
  <c r="J90" i="13" s="1"/>
  <c r="J91" i="13" s="1"/>
  <c r="J92" i="13" s="1"/>
  <c r="J93" i="13" s="1"/>
  <c r="J94" i="13" s="1"/>
  <c r="J95" i="13" s="1"/>
  <c r="J96" i="13" s="1"/>
  <c r="J97" i="13" s="1"/>
  <c r="J98" i="13" s="1"/>
  <c r="J99" i="13" s="1"/>
  <c r="J100" i="13" s="1"/>
  <c r="J101" i="13" s="1"/>
  <c r="J102" i="13" s="1"/>
  <c r="J103" i="13" s="1"/>
  <c r="J104" i="13" s="1"/>
  <c r="J105" i="13" s="1"/>
  <c r="J106" i="13" s="1"/>
  <c r="J107" i="13" s="1"/>
  <c r="J108" i="13" s="1"/>
  <c r="J109" i="13" s="1"/>
  <c r="J4" i="7"/>
  <c r="J5" i="7"/>
  <c r="K3" i="13"/>
  <c r="K4" i="13" s="1"/>
  <c r="K5" i="13" s="1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5" i="7"/>
  <c r="K4" i="7"/>
  <c r="K9" i="7" s="1"/>
  <c r="D9" i="7" l="1"/>
  <c r="K7" i="7"/>
  <c r="K8" i="7" s="1"/>
  <c r="J7" i="7"/>
  <c r="H7" i="7"/>
  <c r="H8" i="7" s="1"/>
  <c r="F9" i="7"/>
  <c r="F7" i="7"/>
  <c r="F8" i="7" s="1"/>
  <c r="E7" i="7"/>
  <c r="E8" i="7" s="1"/>
  <c r="D7" i="7"/>
  <c r="D8" i="7" s="1"/>
  <c r="C7" i="7"/>
  <c r="B7" i="7"/>
  <c r="B8" i="7" s="1"/>
  <c r="I9" i="7"/>
  <c r="I7" i="7"/>
  <c r="I8" i="7" s="1"/>
  <c r="G8" i="7"/>
  <c r="G9" i="7"/>
  <c r="B9" i="7"/>
  <c r="C8" i="7"/>
  <c r="C9" i="7"/>
  <c r="L8" i="7"/>
  <c r="I6" i="7"/>
  <c r="D6" i="7"/>
  <c r="K6" i="7"/>
  <c r="E6" i="7"/>
  <c r="J6" i="7"/>
  <c r="F6" i="7"/>
  <c r="L6" i="7"/>
  <c r="H6" i="7"/>
  <c r="G6" i="7"/>
  <c r="C6" i="7"/>
  <c r="B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A8636-1133-4EDD-9C8D-95E5A8106FED}" keepAlive="1" name="查詢 - FromArray_1" description="與活頁簿中 'FromArray_1' 查詢的連接。" type="5" refreshedVersion="8" background="1" saveData="1">
    <dbPr connection="Provider=Microsoft.Mashup.OleDb.1;Data Source=$Workbook$;Location=FromArray_1;Extended Properties=&quot;&quot;" command="SELECT * FROM [FromArray_1]"/>
  </connection>
  <connection id="2" xr16:uid="{07CE8D45-2969-4C69-AA5E-393AFD4FF286}" keepAlive="1" name="查詢 - FromArray_1 (2)" description="與活頁簿中 'FromArray_1 (2)' 查詢的連接。" type="5" refreshedVersion="8" background="1" saveData="1">
    <dbPr connection="Provider=Microsoft.Mashup.OleDb.1;Data Source=$Workbook$;Location=&quot;FromArray_1 (2)&quot;;Extended Properties=&quot;&quot;" command="SELECT * FROM [FromArray_1 (2)]"/>
  </connection>
  <connection id="3" xr16:uid="{5D345326-AEEA-4ABF-9A77-6CF3A325A7E5}" keepAlive="1" name="查詢 - 表格1" description="與活頁簿中 '表格1' 查詢的連接。" type="5" refreshedVersion="8" background="1" saveData="1">
    <dbPr connection="Provider=Microsoft.Mashup.OleDb.1;Data Source=$Workbook$;Location=表格1;Extended Properties=&quot;&quot;" command="SELECT * FROM [表格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<sst xmlns="http://schemas.openxmlformats.org/spreadsheetml/2006/main" count="203" uniqueCount="90">
  <si>
    <t>中港基金</t>
    <phoneticPr fontId="3" type="noConversion"/>
  </si>
  <si>
    <t>亞洲股票基金</t>
    <phoneticPr fontId="3" type="noConversion"/>
  </si>
  <si>
    <t>亞洲債券基金</t>
    <phoneticPr fontId="3" type="noConversion"/>
  </si>
  <si>
    <t>核心累積基金</t>
  </si>
  <si>
    <t>增長組合</t>
    <phoneticPr fontId="3" type="noConversion"/>
  </si>
  <si>
    <t>北美股票基金</t>
    <phoneticPr fontId="3" type="noConversion"/>
  </si>
  <si>
    <t>基金經理精選退休基金</t>
    <phoneticPr fontId="3" type="noConversion"/>
  </si>
  <si>
    <t>美洲基金</t>
  </si>
  <si>
    <t>強積金保守基金</t>
  </si>
  <si>
    <t>均衡組合</t>
  </si>
  <si>
    <t>Date</t>
    <phoneticPr fontId="3" type="noConversion"/>
  </si>
  <si>
    <t>Date</t>
  </si>
  <si>
    <t>中港基金</t>
  </si>
  <si>
    <t>亞洲股票基金</t>
  </si>
  <si>
    <t>亞洲債券基金</t>
  </si>
  <si>
    <t>增長組合</t>
  </si>
  <si>
    <t>北美股票基金</t>
  </si>
  <si>
    <t>基金經理精選退休基金</t>
  </si>
  <si>
    <t>return</t>
    <phoneticPr fontId="3" type="noConversion"/>
  </si>
  <si>
    <t>correlation coefficient with VOO</t>
    <phoneticPr fontId="3" type="noConversion"/>
  </si>
  <si>
    <t>average return</t>
    <phoneticPr fontId="3" type="noConversion"/>
  </si>
  <si>
    <t>standard deviation</t>
    <phoneticPr fontId="3" type="noConversion"/>
  </si>
  <si>
    <t>VOO</t>
    <phoneticPr fontId="3" type="noConversion"/>
  </si>
  <si>
    <t>risk free rate(hibor 3m)</t>
    <phoneticPr fontId="3" type="noConversion"/>
  </si>
  <si>
    <t>sharper ratio</t>
    <phoneticPr fontId="3" type="noConversion"/>
  </si>
  <si>
    <t>cum_return</t>
    <phoneticPr fontId="3" type="noConversion"/>
  </si>
  <si>
    <t>info</t>
    <phoneticPr fontId="3" type="noConversion"/>
  </si>
  <si>
    <t>drawdown</t>
    <phoneticPr fontId="3" type="noConversion"/>
  </si>
  <si>
    <t>maxmium drawdown</t>
    <phoneticPr fontId="3" type="noConversion"/>
  </si>
  <si>
    <t>correlation coefficient with 2800</t>
    <phoneticPr fontId="3" type="noConversion"/>
  </si>
  <si>
    <t>Calmar Ratio</t>
  </si>
  <si>
    <t>Downside</t>
  </si>
  <si>
    <t>Sortino Ratio</t>
  </si>
  <si>
    <t>downside deviation</t>
    <phoneticPr fontId="3" type="noConversion"/>
  </si>
  <si>
    <t>Beta with VOO</t>
    <phoneticPr fontId="3" type="noConversion"/>
  </si>
  <si>
    <t>Apha with VOO</t>
    <phoneticPr fontId="3" type="noConversion"/>
  </si>
  <si>
    <t>R-square with VOO</t>
    <phoneticPr fontId="3" type="noConversion"/>
  </si>
  <si>
    <t>Beta with 2800</t>
    <phoneticPr fontId="3" type="noConversion"/>
  </si>
  <si>
    <t>Apha with 2800</t>
    <phoneticPr fontId="3" type="noConversion"/>
  </si>
  <si>
    <t>R-square with 2800</t>
    <phoneticPr fontId="3" type="noConversion"/>
  </si>
  <si>
    <t>日期</t>
  </si>
  <si>
    <t>收盤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</si>
  <si>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</si>
  <si>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</si>
  <si>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</si>
  <si>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</si>
  <si>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</si>
  <si>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</si>
  <si>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</si>
  <si>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</si>
  <si>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</si>
  <si>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</si>
  <si>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</si>
  <si>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</si>
  <si>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</si>
  <si>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</si>
  <si>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</si>
  <si>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</si>
  <si>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</si>
  <si>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</si>
  <si>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</si>
  <si>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</si>
  <si>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</si>
  <si>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</si>
  <si>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</si>
  <si>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</si>
  <si>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VOO</t>
  </si>
  <si>
    <t>correlation coefficient with VOO</t>
  </si>
  <si>
    <t>correlation coefficient with 2800</t>
  </si>
  <si>
    <t>average return</t>
  </si>
  <si>
    <t>standard deviation</t>
  </si>
  <si>
    <t>sharper ratio</t>
  </si>
  <si>
    <t>maxmium drawdown</t>
  </si>
  <si>
    <t>downside deviation</t>
  </si>
  <si>
    <t>Beta with VOO</t>
  </si>
  <si>
    <t>Apha with VOO</t>
  </si>
  <si>
    <t>R-square with VOO</t>
  </si>
  <si>
    <t>Beta with 2800</t>
  </si>
  <si>
    <t>Apha with 2800</t>
  </si>
  <si>
    <t>R-square with 2800</t>
  </si>
  <si>
    <t>fund</t>
    <phoneticPr fontId="3" type="noConversion"/>
  </si>
  <si>
    <t>Beta</t>
    <phoneticPr fontId="3" type="noConversion"/>
  </si>
  <si>
    <t>covariance</t>
    <phoneticPr fontId="3" type="noConversion"/>
  </si>
  <si>
    <t>weight</t>
    <phoneticPr fontId="3" type="noConversion"/>
  </si>
  <si>
    <t>rf</t>
    <phoneticPr fontId="3" type="noConversion"/>
  </si>
  <si>
    <t>expected return</t>
    <phoneticPr fontId="3" type="noConversion"/>
  </si>
  <si>
    <t>portfolio variance</t>
    <phoneticPr fontId="3" type="noConversion"/>
  </si>
  <si>
    <t>portfolio std</t>
    <phoneticPr fontId="3" type="noConversion"/>
  </si>
  <si>
    <t>Sharpe Ratio</t>
  </si>
  <si>
    <t>sum of 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</si>
</sst>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6" x14ac:knownFonts="1">
    <font>
      <sz val="12"/>
      <color theme="1"/>
      <name val="新細明體"/>
      <family val="2"/>
      <charset val="136"/>
      <scheme val="minor"/>
    </font>
    <font>
      <b/>
      <sz val="8"/>
      <color rgb="FFFFFFFF"/>
      <name val="Microsoft YaHei"/>
      <family val="2"/>
      <charset val="134"/>
    </font>
    <font>
      <sz val="8"/>
      <color rgb="FF333D47"/>
      <name val="Microsoft YaHei"/>
      <family val="2"/>
      <charset val="134"/>
    </font>
    <font>
      <sz val="9"/>
      <name val="新細明體"/>
      <family val="2"/>
      <charset val="136"/>
      <scheme val="minor"/>
    </font>
    <font>
      <b/>
      <sz val="8"/>
      <color rgb="FFFFFFFF"/>
      <name val="微軟正黑體"/>
      <family val="2"/>
      <charset val="136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B606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7D7D7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10" fontId="5" fillId="0" borderId="0" xfId="0" applyNumberFormat="1" applyFont="1">
      <alignment vertical="center"/>
    </xf>
    <xf numFmtId="10" fontId="0" fillId="0" borderId="0" xfId="0" applyNumberFormat="1">
      <alignment vertical="center"/>
    </xf>
    <xf numFmtId="0" fontId="0" fillId="0" borderId="0" xfId="0" applyAlignment="1"/>
    <xf numFmtId="0" fontId="0" fillId="0" borderId="3" xfId="0" applyBorder="1" applyAlignment="1">
      <alignment horizontal="centerContinuous"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</cellXfs>
  <cellStyles count="1">
    <cellStyle name="一般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176" formatCode="yyyy\-mm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176" formatCode="yyyy\-mm"/>
    </dxf>
    <dxf>
      <numFmt numFmtId="176" formatCode="yyyy\-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Microsoft YaHei"/>
        <family val="2"/>
        <charset val="134"/>
        <scheme val="none"/>
      </font>
      <fill>
        <patternFill patternType="solid">
          <fgColor indexed="64"/>
          <bgColor rgb="FF5B6067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3" xr16:uid="{3E2271B9-5D3A-48DF-BBC4-3DC85CCD0B67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中港基金" tableColumnId="2"/>
      <queryTableField id="3" name="亞洲股票基金" tableColumnId="3"/>
      <queryTableField id="4" name="亞洲債券基金" tableColumnId="4"/>
      <queryTableField id="5" name="核心累積基金" tableColumnId="5"/>
      <queryTableField id="6" name="增長組合" tableColumnId="6"/>
      <queryTableField id="7" name="北美股票基金" tableColumnId="7"/>
      <queryTableField id="8" name="基金經理精選退休基金" tableColumnId="8"/>
      <queryTableField id="9" name="美洲基金" tableColumnId="9"/>
      <queryTableField id="10" name="強積金保守基金" tableColumnId="10"/>
      <queryTableField id="11" name="均衡組合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7DAFFF9-B2A6-46FF-A855-8605F137BB09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日期" tableColumnId="1"/>
      <queryTableField id="2" name="收盤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67AEE875-6036-4186-AB86-7C347231E7F6}" autoFormatId="16" applyNumberFormats="0" applyBorderFormats="0" applyFontFormats="0" applyPatternFormats="0" applyAlignmentFormats="0" applyWidthHeightFormats="0">
  <queryTableRefresh nextId="7" unboundColumnsRight="4">
    <queryTableFields count="6">
      <queryTableField id="1" name="日期" tableColumnId="1"/>
      <queryTableField id="2" name="收盤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176FB5-2F38-4AF4-A8E5-67C8DD56C0AD}" name="表格1" displayName="表格1" ref="A1:K1048576" totalsRowShown="0" headerRowDxfId="12">
  <autoFilter ref="A1:K1048576" xr:uid="{51176FB5-2F38-4AF4-A8E5-67C8DD56C0AD}"/>
  <tableColumns count="11">
    <tableColumn id="1" xr3:uid="{465D1156-B832-4753-9733-948A91139E4A}" name="Date"/>
    <tableColumn id="2" xr3:uid="{413514AC-C366-41DB-A2A2-9DA4A695783B}" name="中港基金"/>
    <tableColumn id="3" xr3:uid="{F6484EB8-A015-4E1F-98CD-3BEB7098E6E3}" name="亞洲股票基金"/>
    <tableColumn id="4" xr3:uid="{3100ED9C-7222-4D60-9ECA-562549A9F902}" name="亞洲債券基金"/>
    <tableColumn id="5" xr3:uid="{F5248A0C-678E-4C48-88B7-2ADD168B5D7D}" name="核心累積基金"/>
    <tableColumn id="6" xr3:uid="{CEA5A3EB-811B-43F9-8810-B061A6CE1DDD}" name="增長組合"/>
    <tableColumn id="7" xr3:uid="{02CA3B7A-CAB9-4FBA-A0E8-3200824DB545}" name="北美股票基金"/>
    <tableColumn id="8" xr3:uid="{CCE223F2-E6E6-468E-AC50-CEA32A7FF350}" name="基金經理精選退休基金"/>
    <tableColumn id="9" xr3:uid="{044F9753-A5F3-4BCE-9901-E266278A0D26}" name="美洲基金"/>
    <tableColumn id="10" xr3:uid="{A664DE76-50CE-4F23-BE9B-332660A928CF}" name="強積金保守基金"/>
    <tableColumn id="11" xr3:uid="{0A84A7BD-2ABD-426E-88F5-1A3CE7A63345}" name="均衡組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9D764-470F-400D-8694-1FE3A49D86EC}" name="表格1_" displayName="表格1_" ref="A1:K109" tableType="queryTable" totalsRowShown="0">
  <autoFilter ref="A1:K109" xr:uid="{1EA9D764-470F-400D-8694-1FE3A49D86EC}"/>
  <tableColumns count="11">
    <tableColumn id="1" xr3:uid="{A96A3CEF-7E28-4FB7-902C-A4B558874485}" uniqueName="1" name="Date" queryTableFieldId="1" dataDxfId="11"/>
    <tableColumn id="2" xr3:uid="{E9108D44-46C9-48D6-B703-505C2591A1F2}" uniqueName="2" name="中港基金" queryTableFieldId="2"/>
    <tableColumn id="3" xr3:uid="{4530391B-368A-4325-BCA0-AA30BF69B528}" uniqueName="3" name="亞洲股票基金" queryTableFieldId="3"/>
    <tableColumn id="4" xr3:uid="{C0B08416-50F3-4183-B248-E839A0156EFD}" uniqueName="4" name="亞洲債券基金" queryTableFieldId="4"/>
    <tableColumn id="5" xr3:uid="{59F689A0-C30B-46B9-BEE7-AC2B6103F36C}" uniqueName="5" name="核心累積基金" queryTableFieldId="5"/>
    <tableColumn id="6" xr3:uid="{E45289A9-216E-45B9-8DBD-8B53E0B86F23}" uniqueName="6" name="增長組合" queryTableFieldId="6"/>
    <tableColumn id="7" xr3:uid="{091DF189-F965-498F-AA71-693758CA37A4}" uniqueName="7" name="北美股票基金" queryTableFieldId="7"/>
    <tableColumn id="8" xr3:uid="{3FBB2E45-B53B-4B9C-B92F-1F974A0BBC0F}" uniqueName="8" name="基金經理精選退休基金" queryTableFieldId="8"/>
    <tableColumn id="9" xr3:uid="{42B3B4C9-860A-46CD-9D13-58ABE99FF276}" uniqueName="9" name="美洲基金" queryTableFieldId="9"/>
    <tableColumn id="10" xr3:uid="{6DDE05D5-8303-4C2A-A5C6-508FDBA4E344}" uniqueName="10" name="強積金保守基金" queryTableFieldId="10"/>
    <tableColumn id="11" xr3:uid="{C14979D0-5EBA-4715-A5A4-A93259CAB16C}" uniqueName="11" name="均衡組合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B2ECFC-56CC-4BA7-A709-EF5CBA59FBEA}" name="FromArray_2" displayName="FromArray_2" ref="A1:F109" tableType="queryTable" totalsRowShown="0">
  <autoFilter ref="A1:F109" xr:uid="{7AB2ECFC-56CC-4BA7-A709-EF5CBA59FBEA}"/>
  <tableColumns count="6">
    <tableColumn id="1" xr3:uid="{622014CF-C711-4198-BD24-BBEC0753490E}" uniqueName="1" name="Date" queryTableFieldId="1" dataDxfId="10"/>
    <tableColumn id="2" xr3:uid="{841B26C0-7DA2-467F-BFFB-15936107CCD2}" uniqueName="2" name="收盤" queryTableFieldId="2" dataDxfId="9"/>
    <tableColumn id="3" xr3:uid="{C6EDC5EC-5480-450D-BF47-23C75AC6356F}" uniqueName="3" name="return" queryTableFieldId="3" dataDxfId="8">
      <calculatedColumnFormula>LN(B2/B1)</calculatedColumnFormula>
    </tableColumn>
    <tableColumn id="4" xr3:uid="{4AFD73DD-83E6-4850-A1C1-A72B11631FE5}" uniqueName="4" name="cum_return" queryTableFieldId="4"/>
    <tableColumn id="5" xr3:uid="{A8230405-627A-4E83-8301-DF43EC2F77A6}" uniqueName="5" name="drawdown" queryTableFieldId="5" dataDxfId="7">
      <calculatedColumnFormula>(C2-MAX(C$2:C2))/MAX(C$2:C2)</calculatedColumnFormula>
    </tableColumn>
    <tableColumn id="6" xr3:uid="{ADBCFB3C-46F3-4EC9-A0C9-19240190DDD7}" uniqueName="6" name="Downside" queryTableFieldId="6" dataDxfId="6">
      <calculatedColumnFormula>IF(C2 &lt; 0, C2, 0)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B4E56A-EC00-437C-B72F-4343876FA5B5}" name="FromArray_1__2" displayName="FromArray_1__2" ref="A1:F109" tableType="queryTable" totalsRowShown="0">
  <autoFilter ref="A1:F109" xr:uid="{D4B4E56A-EC00-437C-B72F-4343876FA5B5}"/>
  <tableColumns count="6">
    <tableColumn id="1" xr3:uid="{6F437587-EFEA-41BF-9C01-A82F473D637B}" uniqueName="1" name="日期" queryTableFieldId="1" dataDxfId="5"/>
    <tableColumn id="2" xr3:uid="{DB4F4325-4748-4D16-8491-A45F58C2A061}" uniqueName="2" name="收盤" queryTableFieldId="2" dataDxfId="4"/>
    <tableColumn id="3" xr3:uid="{2A42F627-E452-4980-9EE7-5ABC0A1C91E9}" uniqueName="3" name="return" queryTableFieldId="3" dataDxfId="3">
      <calculatedColumnFormula>LN(B2/B1)</calculatedColumnFormula>
    </tableColumn>
    <tableColumn id="4" xr3:uid="{C1E39C1B-0B52-42EB-912D-D4033506D15E}" uniqueName="4" name="cum_return" queryTableFieldId="4" dataDxfId="2">
      <calculatedColumnFormula>D1*(1+C2)</calculatedColumnFormula>
    </tableColumn>
    <tableColumn id="5" xr3:uid="{7AD16183-9A0C-4BCC-ABCF-559AD9B7A702}" uniqueName="5" name="drawdown" queryTableFieldId="5" dataDxfId="1">
      <calculatedColumnFormula>(C3-MAX(C$2:C2))/MAX(C$2:C2)</calculatedColumnFormula>
    </tableColumn>
    <tableColumn id="6" xr3:uid="{CF44D77F-1A63-40E1-B809-6C4CBFE627F9}" uniqueName="6" name="Downside" queryTableFieldId="6" dataDxfId="0">
      <calculatedColumnFormula>IF(C2 &lt; 0, C2, 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FA4E0-A5F6-4CED-80B3-C0AEA68277EF}">
  <dimension ref="A1:I18"/>
  <sheetViews>
    <sheetView workbookViewId="0">
      <selection activeCell="A16" sqref="A16:I18"/>
    </sheetView>
  </sheetViews>
  <sheetFormatPr defaultRowHeight="17" x14ac:dyDescent="0.4"/>
  <sheetData>
    <row r="1" spans="1:9" x14ac:dyDescent="0.4">
      <c r="A1" t="s">
        <v>42</v>
      </c>
    </row>
    <row r="2" spans="1:9" ht="17.5" thickBot="1" x14ac:dyDescent="0.45"/>
    <row r="3" spans="1:9" x14ac:dyDescent="0.4">
      <c r="A3" s="12" t="s">
        <v>43</v>
      </c>
      <c r="B3" s="12"/>
    </row>
    <row r="4" spans="1:9" x14ac:dyDescent="0.4">
      <c r="A4" t="s">
        <v>44</v>
      </c>
      <c r="B4">
        <v>0.98196562778029706</v>
      </c>
    </row>
    <row r="5" spans="1:9" x14ac:dyDescent="0.4">
      <c r="A5" t="s">
        <v>45</v>
      </c>
      <c r="B5">
        <v>0.96425649414195291</v>
      </c>
    </row>
    <row r="6" spans="1:9" x14ac:dyDescent="0.4">
      <c r="A6" t="s">
        <v>46</v>
      </c>
      <c r="B6">
        <v>0.96391607980044769</v>
      </c>
    </row>
    <row r="7" spans="1:9" x14ac:dyDescent="0.4">
      <c r="A7" t="s">
        <v>47</v>
      </c>
      <c r="B7">
        <v>9.2546139028283556E-3</v>
      </c>
    </row>
    <row r="8" spans="1:9" ht="17.5" thickBot="1" x14ac:dyDescent="0.45">
      <c r="A8" s="7" t="s">
        <v>48</v>
      </c>
      <c r="B8" s="7">
        <v>107</v>
      </c>
    </row>
    <row r="10" spans="1:9" ht="17.5" thickBot="1" x14ac:dyDescent="0.45">
      <c r="A10" t="s">
        <v>49</v>
      </c>
    </row>
    <row r="11" spans="1:9" x14ac:dyDescent="0.4">
      <c r="A11" s="8"/>
      <c r="B11" s="8" t="s">
        <v>54</v>
      </c>
      <c r="C11" s="8" t="s">
        <v>55</v>
      </c>
      <c r="D11" s="8" t="s">
        <v>56</v>
      </c>
      <c r="E11" s="8" t="s">
        <v>57</v>
      </c>
      <c r="F11" s="8" t="s">
        <v>58</v>
      </c>
    </row>
    <row r="12" spans="1:9" x14ac:dyDescent="0.4">
      <c r="A12" t="s">
        <v>50</v>
      </c>
      <c r="B12">
        <v>1</v>
      </c>
      <c r="C12">
        <v>0.24260588634044952</v>
      </c>
      <c r="D12">
        <v>0.24260588634044952</v>
      </c>
      <c r="E12">
        <v>2832.5965641702942</v>
      </c>
      <c r="F12">
        <v>8.7280057454194588E-78</v>
      </c>
    </row>
    <row r="13" spans="1:9" x14ac:dyDescent="0.4">
      <c r="A13" t="s">
        <v>51</v>
      </c>
      <c r="B13">
        <v>105</v>
      </c>
      <c r="C13">
        <v>8.9930272414945073E-3</v>
      </c>
      <c r="D13">
        <v>8.5647878490423881E-5</v>
      </c>
    </row>
    <row r="14" spans="1:9" ht="17.5" thickBot="1" x14ac:dyDescent="0.45">
      <c r="A14" s="7" t="s">
        <v>52</v>
      </c>
      <c r="B14" s="7">
        <v>106</v>
      </c>
      <c r="C14" s="7">
        <v>0.25159891358194403</v>
      </c>
      <c r="D14" s="7"/>
      <c r="E14" s="7"/>
      <c r="F14" s="7"/>
    </row>
    <row r="15" spans="1:9" ht="17.5" thickBot="1" x14ac:dyDescent="0.45"/>
    <row r="16" spans="1:9" x14ac:dyDescent="0.4">
      <c r="A16" s="8"/>
      <c r="B16" s="8" t="s">
        <v>59</v>
      </c>
      <c r="C16" s="8" t="s">
        <v>47</v>
      </c>
      <c r="D16" s="8" t="s">
        <v>60</v>
      </c>
      <c r="E16" s="8" t="s">
        <v>61</v>
      </c>
      <c r="F16" s="8" t="s">
        <v>62</v>
      </c>
      <c r="G16" s="8" t="s">
        <v>63</v>
      </c>
      <c r="H16" s="8" t="s">
        <v>64</v>
      </c>
      <c r="I16" s="8" t="s">
        <v>65</v>
      </c>
    </row>
    <row r="17" spans="1:9" x14ac:dyDescent="0.4">
      <c r="A17" t="s">
        <v>53</v>
      </c>
      <c r="B17">
        <v>4.3210825542005712E-4</v>
      </c>
      <c r="C17">
        <v>9.0723086931859928E-4</v>
      </c>
      <c r="D17">
        <v>0.47629359850222458</v>
      </c>
      <c r="E17">
        <v>0.63485483954586541</v>
      </c>
      <c r="F17">
        <v>-1.3667629691232193E-3</v>
      </c>
      <c r="G17">
        <v>2.2309794799633335E-3</v>
      </c>
      <c r="H17">
        <v>-1.3667629691232193E-3</v>
      </c>
      <c r="I17">
        <v>2.2309794799633335E-3</v>
      </c>
    </row>
    <row r="18" spans="1:9" ht="17.5" thickBot="1" x14ac:dyDescent="0.45">
      <c r="A18" s="7" t="s">
        <v>7</v>
      </c>
      <c r="B18" s="7">
        <v>0.93782536470997457</v>
      </c>
      <c r="C18" s="7">
        <v>1.7620961918043375E-2</v>
      </c>
      <c r="D18" s="7">
        <v>53.222143551066161</v>
      </c>
      <c r="E18" s="7">
        <v>8.7280057454197081E-78</v>
      </c>
      <c r="F18" s="7">
        <v>0.90288625227991726</v>
      </c>
      <c r="G18" s="7">
        <v>0.97276447714003189</v>
      </c>
      <c r="H18" s="7">
        <v>0.90288625227991726</v>
      </c>
      <c r="I18" s="7">
        <v>0.97276447714003189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70A5-8A4B-4D5C-8A8C-34782C6C5332}">
  <dimension ref="A1:K108"/>
  <sheetViews>
    <sheetView workbookViewId="0">
      <selection activeCell="F7" sqref="F7"/>
    </sheetView>
  </sheetViews>
  <sheetFormatPr defaultRowHeight="17" x14ac:dyDescent="0.4"/>
  <cols>
    <col min="1" max="1" width="9.1796875" bestFit="1" customWidth="1"/>
    <col min="2" max="2" width="13.26953125" bestFit="1" customWidth="1"/>
  </cols>
  <sheetData>
    <row r="1" spans="1:11" x14ac:dyDescent="0.4">
      <c r="A1" s="6" t="s">
        <v>10</v>
      </c>
      <c r="B1" t="str">
        <f>表格1_[[#Headers],[中港基金]]</f>
        <v>中港基金</v>
      </c>
      <c r="C1" t="str">
        <f>表格1_[[#Headers],[亞洲股票基金]]</f>
        <v>亞洲股票基金</v>
      </c>
      <c r="D1" t="str">
        <f>表格1_[[#Headers],[亞洲債券基金]]</f>
        <v>亞洲債券基金</v>
      </c>
      <c r="E1" t="str">
        <f>表格1_[[#Headers],[核心累積基金]]</f>
        <v>核心累積基金</v>
      </c>
      <c r="F1" t="str">
        <f>表格1_[[#Headers],[增長組合]]</f>
        <v>增長組合</v>
      </c>
      <c r="G1" t="str">
        <f>表格1_[[#Headers],[北美股票基金]]</f>
        <v>北美股票基金</v>
      </c>
      <c r="H1" t="str">
        <f>表格1_[[#Headers],[基金經理精選退休基金]]</f>
        <v>基金經理精選退休基金</v>
      </c>
      <c r="I1" t="str">
        <f>表格1_[[#Headers],[美洲基金]]</f>
        <v>美洲基金</v>
      </c>
      <c r="J1" t="str">
        <f>表格1_[[#Headers],[強積金保守基金]]</f>
        <v>強積金保守基金</v>
      </c>
      <c r="K1" t="str">
        <f>表格1_[[#Headers],[均衡組合]]</f>
        <v>均衡組合</v>
      </c>
    </row>
    <row r="2" spans="1:11" x14ac:dyDescent="0.4">
      <c r="A2" s="6">
        <v>42856</v>
      </c>
      <c r="B2">
        <f>(mpf_monthly_price!B3-MAX(mpf_monthly_price!B$2:B3))/MAX(mpf_monthly_price!B$2:B3)</f>
        <v>0</v>
      </c>
      <c r="C2">
        <f>(mpf_monthly_price!C3-MAX(mpf_monthly_price!C$2:C3))/MAX(mpf_monthly_price!C$2:C3)</f>
        <v>0</v>
      </c>
      <c r="D2">
        <f>(mpf_monthly_price!D3-MAX(mpf_monthly_price!D$2:D3))/MAX(mpf_monthly_price!D$2:D3)</f>
        <v>0</v>
      </c>
      <c r="E2">
        <f>(mpf_monthly_price!E3-MAX(mpf_monthly_price!E$2:E3))/MAX(mpf_monthly_price!E$2:E3)</f>
        <v>0</v>
      </c>
      <c r="F2">
        <f>(mpf_monthly_price!F3-MAX(mpf_monthly_price!F$2:F3))/MAX(mpf_monthly_price!F$2:F3)</f>
        <v>0</v>
      </c>
      <c r="G2">
        <f>(mpf_monthly_price!G3-MAX(mpf_monthly_price!G$2:G3))/MAX(mpf_monthly_price!G$2:G3)</f>
        <v>0</v>
      </c>
      <c r="H2">
        <f>(mpf_monthly_price!H3-MAX(mpf_monthly_price!H$2:H3))/MAX(mpf_monthly_price!H$2:H3)</f>
        <v>0</v>
      </c>
      <c r="I2">
        <f>(mpf_monthly_price!I3-MAX(mpf_monthly_price!I$2:I3))/MAX(mpf_monthly_price!I$2:I3)</f>
        <v>0</v>
      </c>
      <c r="J2">
        <f>(mpf_monthly_price!J3-MAX(mpf_monthly_price!J$2:J3))/MAX(mpf_monthly_price!J$2:J3)</f>
        <v>0</v>
      </c>
      <c r="K2">
        <f>(mpf_monthly_price!K3-MAX(mpf_monthly_price!K$2:K3))/MAX(mpf_monthly_price!K$2:K3)</f>
        <v>0</v>
      </c>
    </row>
    <row r="3" spans="1:11" x14ac:dyDescent="0.4">
      <c r="A3" s="6">
        <v>42887</v>
      </c>
      <c r="B3">
        <f>(mpf_monthly_price!B4-MAX(mpf_monthly_price!B$2:B4))/MAX(mpf_monthly_price!B$2:B4)</f>
        <v>0</v>
      </c>
      <c r="C3">
        <f>(mpf_monthly_price!C4-MAX(mpf_monthly_price!C$2:C4))/MAX(mpf_monthly_price!C$2:C4)</f>
        <v>0</v>
      </c>
      <c r="D3">
        <f>(mpf_monthly_price!D4-MAX(mpf_monthly_price!D$2:D4))/MAX(mpf_monthly_price!D$2:D4)</f>
        <v>0</v>
      </c>
      <c r="E3">
        <f>(mpf_monthly_price!E4-MAX(mpf_monthly_price!E$2:E4))/MAX(mpf_monthly_price!E$2:E4)</f>
        <v>-1.9514098936481627E-3</v>
      </c>
      <c r="F3">
        <f>(mpf_monthly_price!F4-MAX(mpf_monthly_price!F$2:F4))/MAX(mpf_monthly_price!F$2:F4)</f>
        <v>0</v>
      </c>
      <c r="G3">
        <f>(mpf_monthly_price!G4-MAX(mpf_monthly_price!G$2:G4))/MAX(mpf_monthly_price!G$2:G4)</f>
        <v>-2.445466105839773E-3</v>
      </c>
      <c r="H3">
        <f>(mpf_monthly_price!H4-MAX(mpf_monthly_price!H$2:H4))/MAX(mpf_monthly_price!H$2:H4)</f>
        <v>0</v>
      </c>
      <c r="I3">
        <f>(mpf_monthly_price!I4-MAX(mpf_monthly_price!I$2:I4))/MAX(mpf_monthly_price!I$2:I4)</f>
        <v>-5.1232424432159733E-4</v>
      </c>
      <c r="J3">
        <f>(mpf_monthly_price!J4-MAX(mpf_monthly_price!J$2:J4))/MAX(mpf_monthly_price!J$2:J4)</f>
        <v>0</v>
      </c>
      <c r="K3">
        <f>(mpf_monthly_price!K4-MAX(mpf_monthly_price!K$2:K4))/MAX(mpf_monthly_price!K$2:K4)</f>
        <v>0</v>
      </c>
    </row>
    <row r="4" spans="1:11" x14ac:dyDescent="0.4">
      <c r="A4" s="6">
        <v>42917</v>
      </c>
      <c r="B4">
        <f>(mpf_monthly_price!B5-MAX(mpf_monthly_price!B$2:B5))/MAX(mpf_monthly_price!B$2:B5)</f>
        <v>0</v>
      </c>
      <c r="C4">
        <f>(mpf_monthly_price!C5-MAX(mpf_monthly_price!C$2:C5))/MAX(mpf_monthly_price!C$2:C5)</f>
        <v>0</v>
      </c>
      <c r="D4">
        <f>(mpf_monthly_price!D5-MAX(mpf_monthly_price!D$2:D5))/MAX(mpf_monthly_price!D$2:D5)</f>
        <v>0</v>
      </c>
      <c r="E4">
        <f>(mpf_monthly_price!E5-MAX(mpf_monthly_price!E$2:E5))/MAX(mpf_monthly_price!E$2:E5)</f>
        <v>0</v>
      </c>
      <c r="F4">
        <f>(mpf_monthly_price!F5-MAX(mpf_monthly_price!F$2:F5))/MAX(mpf_monthly_price!F$2:F5)</f>
        <v>0</v>
      </c>
      <c r="G4">
        <f>(mpf_monthly_price!G5-MAX(mpf_monthly_price!G$2:G5))/MAX(mpf_monthly_price!G$2:G5)</f>
        <v>0</v>
      </c>
      <c r="H4">
        <f>(mpf_monthly_price!H5-MAX(mpf_monthly_price!H$2:H5))/MAX(mpf_monthly_price!H$2:H5)</f>
        <v>0</v>
      </c>
      <c r="I4">
        <f>(mpf_monthly_price!I5-MAX(mpf_monthly_price!I$2:I5))/MAX(mpf_monthly_price!I$2:I5)</f>
        <v>0</v>
      </c>
      <c r="J4">
        <f>(mpf_monthly_price!J5-MAX(mpf_monthly_price!J$2:J5))/MAX(mpf_monthly_price!J$2:J5)</f>
        <v>0</v>
      </c>
      <c r="K4">
        <f>(mpf_monthly_price!K5-MAX(mpf_monthly_price!K$2:K5))/MAX(mpf_monthly_price!K$2:K5)</f>
        <v>0</v>
      </c>
    </row>
    <row r="5" spans="1:11" x14ac:dyDescent="0.4">
      <c r="A5" s="6">
        <v>42948</v>
      </c>
      <c r="B5">
        <f>(mpf_monthly_price!B6-MAX(mpf_monthly_price!B$2:B6))/MAX(mpf_monthly_price!B$2:B6)</f>
        <v>0</v>
      </c>
      <c r="C5">
        <f>(mpf_monthly_price!C6-MAX(mpf_monthly_price!C$2:C6))/MAX(mpf_monthly_price!C$2:C6)</f>
        <v>-1.1136421159200265E-2</v>
      </c>
      <c r="D5">
        <f>(mpf_monthly_price!D6-MAX(mpf_monthly_price!D$2:D6))/MAX(mpf_monthly_price!D$2:D6)</f>
        <v>0</v>
      </c>
      <c r="E5">
        <f>(mpf_monthly_price!E6-MAX(mpf_monthly_price!E$2:E6))/MAX(mpf_monthly_price!E$2:E6)</f>
        <v>0</v>
      </c>
      <c r="F5">
        <f>(mpf_monthly_price!F6-MAX(mpf_monthly_price!F$2:F6))/MAX(mpf_monthly_price!F$2:F6)</f>
        <v>0</v>
      </c>
      <c r="G5">
        <f>(mpf_monthly_price!G6-MAX(mpf_monthly_price!G$2:G6))/MAX(mpf_monthly_price!G$2:G6)</f>
        <v>-2.5641025641025264E-3</v>
      </c>
      <c r="H5">
        <f>(mpf_monthly_price!H6-MAX(mpf_monthly_price!H$2:H6))/MAX(mpf_monthly_price!H$2:H6)</f>
        <v>0</v>
      </c>
      <c r="I5">
        <f>(mpf_monthly_price!I6-MAX(mpf_monthly_price!I$2:I6))/MAX(mpf_monthly_price!I$2:I6)</f>
        <v>0</v>
      </c>
      <c r="J5">
        <f>(mpf_monthly_price!J6-MAX(mpf_monthly_price!J$2:J6))/MAX(mpf_monthly_price!J$2:J6)</f>
        <v>0</v>
      </c>
      <c r="K5">
        <f>(mpf_monthly_price!K6-MAX(mpf_monthly_price!K$2:K6))/MAX(mpf_monthly_price!K$2:K6)</f>
        <v>0</v>
      </c>
    </row>
    <row r="6" spans="1:11" x14ac:dyDescent="0.4">
      <c r="A6" s="6">
        <v>42979</v>
      </c>
      <c r="B6">
        <f>(mpf_monthly_price!B7-MAX(mpf_monthly_price!B$2:B7))/MAX(mpf_monthly_price!B$2:B7)</f>
        <v>-1.6586538461538576E-2</v>
      </c>
      <c r="C6">
        <f>(mpf_monthly_price!C7-MAX(mpf_monthly_price!C$2:C7))/MAX(mpf_monthly_price!C$2:C7)</f>
        <v>-2.6828650974436909E-2</v>
      </c>
      <c r="D6">
        <f>(mpf_monthly_price!D7-MAX(mpf_monthly_price!D$2:D7))/MAX(mpf_monthly_price!D$2:D7)</f>
        <v>-9.0782769800834082E-3</v>
      </c>
      <c r="E6">
        <f>(mpf_monthly_price!E7-MAX(mpf_monthly_price!E$2:E7))/MAX(mpf_monthly_price!E$2:E7)</f>
        <v>0</v>
      </c>
      <c r="F6">
        <f>(mpf_monthly_price!F7-MAX(mpf_monthly_price!F$2:F7))/MAX(mpf_monthly_price!F$2:F7)</f>
        <v>0</v>
      </c>
      <c r="G6">
        <f>(mpf_monthly_price!G7-MAX(mpf_monthly_price!G$2:G7))/MAX(mpf_monthly_price!G$2:G7)</f>
        <v>0</v>
      </c>
      <c r="H6">
        <f>(mpf_monthly_price!H7-MAX(mpf_monthly_price!H$2:H7))/MAX(mpf_monthly_price!H$2:H7)</f>
        <v>0</v>
      </c>
      <c r="I6">
        <f>(mpf_monthly_price!I7-MAX(mpf_monthly_price!I$2:I7))/MAX(mpf_monthly_price!I$2:I7)</f>
        <v>0</v>
      </c>
      <c r="J6">
        <f>(mpf_monthly_price!J7-MAX(mpf_monthly_price!J$2:J7))/MAX(mpf_monthly_price!J$2:J7)</f>
        <v>0</v>
      </c>
      <c r="K6">
        <f>(mpf_monthly_price!K7-MAX(mpf_monthly_price!K$2:K7))/MAX(mpf_monthly_price!K$2:K7)</f>
        <v>0</v>
      </c>
    </row>
    <row r="7" spans="1:11" x14ac:dyDescent="0.4">
      <c r="A7" s="6">
        <v>43009</v>
      </c>
      <c r="B7">
        <f>(mpf_monthly_price!B8-MAX(mpf_monthly_price!B$2:B8))/MAX(mpf_monthly_price!B$2:B8)</f>
        <v>0</v>
      </c>
      <c r="C7">
        <f>(mpf_monthly_price!C8-MAX(mpf_monthly_price!C$2:C8))/MAX(mpf_monthly_price!C$2:C8)</f>
        <v>0</v>
      </c>
      <c r="D7">
        <f>(mpf_monthly_price!D8-MAX(mpf_monthly_price!D$2:D8))/MAX(mpf_monthly_price!D$2:D8)</f>
        <v>-1.3061602593793391E-2</v>
      </c>
      <c r="E7">
        <f>(mpf_monthly_price!E8-MAX(mpf_monthly_price!E$2:E8))/MAX(mpf_monthly_price!E$2:E8)</f>
        <v>0</v>
      </c>
      <c r="F7">
        <f>(mpf_monthly_price!F8-MAX(mpf_monthly_price!F$2:F8))/MAX(mpf_monthly_price!F$2:F8)</f>
        <v>0</v>
      </c>
      <c r="G7">
        <f>(mpf_monthly_price!G8-MAX(mpf_monthly_price!G$2:G8))/MAX(mpf_monthly_price!G$2:G8)</f>
        <v>0</v>
      </c>
      <c r="H7">
        <f>(mpf_monthly_price!H8-MAX(mpf_monthly_price!H$2:H8))/MAX(mpf_monthly_price!H$2:H8)</f>
        <v>0</v>
      </c>
      <c r="I7">
        <f>(mpf_monthly_price!I8-MAX(mpf_monthly_price!I$2:I8))/MAX(mpf_monthly_price!I$2:I8)</f>
        <v>0</v>
      </c>
      <c r="J7">
        <f>(mpf_monthly_price!J8-MAX(mpf_monthly_price!J$2:J8))/MAX(mpf_monthly_price!J$2:J8)</f>
        <v>0</v>
      </c>
      <c r="K7">
        <f>(mpf_monthly_price!K8-MAX(mpf_monthly_price!K$2:K8))/MAX(mpf_monthly_price!K$2:K8)</f>
        <v>0</v>
      </c>
    </row>
    <row r="8" spans="1:11" x14ac:dyDescent="0.4">
      <c r="A8" s="6">
        <v>43040</v>
      </c>
      <c r="B8">
        <f>(mpf_monthly_price!B9-MAX(mpf_monthly_price!B$2:B9))/MAX(mpf_monthly_price!B$2:B9)</f>
        <v>0</v>
      </c>
      <c r="C8">
        <f>(mpf_monthly_price!C9-MAX(mpf_monthly_price!C$2:C9))/MAX(mpf_monthly_price!C$2:C9)</f>
        <v>-1.7376337035367326E-2</v>
      </c>
      <c r="D8">
        <f>(mpf_monthly_price!D9-MAX(mpf_monthly_price!D$2:D9))/MAX(mpf_monthly_price!D$2:D9)</f>
        <v>-2.5011579434923207E-3</v>
      </c>
      <c r="E8">
        <f>(mpf_monthly_price!E9-MAX(mpf_monthly_price!E$2:E9))/MAX(mpf_monthly_price!E$2:E9)</f>
        <v>0</v>
      </c>
      <c r="F8">
        <f>(mpf_monthly_price!F9-MAX(mpf_monthly_price!F$2:F9))/MAX(mpf_monthly_price!F$2:F9)</f>
        <v>0</v>
      </c>
      <c r="G8">
        <f>(mpf_monthly_price!G9-MAX(mpf_monthly_price!G$2:G9))/MAX(mpf_monthly_price!G$2:G9)</f>
        <v>0</v>
      </c>
      <c r="H8">
        <f>(mpf_monthly_price!H9-MAX(mpf_monthly_price!H$2:H9))/MAX(mpf_monthly_price!H$2:H9)</f>
        <v>0</v>
      </c>
      <c r="I8">
        <f>(mpf_monthly_price!I9-MAX(mpf_monthly_price!I$2:I9))/MAX(mpf_monthly_price!I$2:I9)</f>
        <v>0</v>
      </c>
      <c r="J8">
        <f>(mpf_monthly_price!J9-MAX(mpf_monthly_price!J$2:J9))/MAX(mpf_monthly_price!J$2:J9)</f>
        <v>0</v>
      </c>
      <c r="K8">
        <f>(mpf_monthly_price!K9-MAX(mpf_monthly_price!K$2:K9))/MAX(mpf_monthly_price!K$2:K9)</f>
        <v>0</v>
      </c>
    </row>
    <row r="9" spans="1:11" x14ac:dyDescent="0.4">
      <c r="A9" s="6">
        <v>43070</v>
      </c>
      <c r="B9">
        <f>(mpf_monthly_price!B10-MAX(mpf_monthly_price!B$2:B10))/MAX(mpf_monthly_price!B$2:B10)</f>
        <v>0</v>
      </c>
      <c r="C9">
        <f>(mpf_monthly_price!C10-MAX(mpf_monthly_price!C$2:C10))/MAX(mpf_monthly_price!C$2:C10)</f>
        <v>0</v>
      </c>
      <c r="D9">
        <f>(mpf_monthly_price!D10-MAX(mpf_monthly_price!D$2:D10))/MAX(mpf_monthly_price!D$2:D10)</f>
        <v>0</v>
      </c>
      <c r="E9">
        <f>(mpf_monthly_price!E10-MAX(mpf_monthly_price!E$2:E10))/MAX(mpf_monthly_price!E$2:E10)</f>
        <v>0</v>
      </c>
      <c r="F9">
        <f>(mpf_monthly_price!F10-MAX(mpf_monthly_price!F$2:F10))/MAX(mpf_monthly_price!F$2:F10)</f>
        <v>0</v>
      </c>
      <c r="G9">
        <f>(mpf_monthly_price!G10-MAX(mpf_monthly_price!G$2:G10))/MAX(mpf_monthly_price!G$2:G10)</f>
        <v>0</v>
      </c>
      <c r="H9">
        <f>(mpf_monthly_price!H10-MAX(mpf_monthly_price!H$2:H10))/MAX(mpf_monthly_price!H$2:H10)</f>
        <v>0</v>
      </c>
      <c r="I9">
        <f>(mpf_monthly_price!I10-MAX(mpf_monthly_price!I$2:I10))/MAX(mpf_monthly_price!I$2:I10)</f>
        <v>0</v>
      </c>
      <c r="J9">
        <f>(mpf_monthly_price!J10-MAX(mpf_monthly_price!J$2:J10))/MAX(mpf_monthly_price!J$2:J10)</f>
        <v>0</v>
      </c>
      <c r="K9">
        <f>(mpf_monthly_price!K10-MAX(mpf_monthly_price!K$2:K10))/MAX(mpf_monthly_price!K$2:K10)</f>
        <v>0</v>
      </c>
    </row>
    <row r="10" spans="1:11" x14ac:dyDescent="0.4">
      <c r="A10" s="6">
        <v>43101</v>
      </c>
      <c r="B10">
        <f>(mpf_monthly_price!B11-MAX(mpf_monthly_price!B$2:B11))/MAX(mpf_monthly_price!B$2:B11)</f>
        <v>0</v>
      </c>
      <c r="C10">
        <f>(mpf_monthly_price!C11-MAX(mpf_monthly_price!C$2:C11))/MAX(mpf_monthly_price!C$2:C11)</f>
        <v>0</v>
      </c>
      <c r="D10">
        <f>(mpf_monthly_price!D11-MAX(mpf_monthly_price!D$2:D11))/MAX(mpf_monthly_price!D$2:D11)</f>
        <v>0</v>
      </c>
      <c r="E10">
        <f>(mpf_monthly_price!E11-MAX(mpf_monthly_price!E$2:E11))/MAX(mpf_monthly_price!E$2:E11)</f>
        <v>0</v>
      </c>
      <c r="F10">
        <f>(mpf_monthly_price!F11-MAX(mpf_monthly_price!F$2:F11))/MAX(mpf_monthly_price!F$2:F11)</f>
        <v>0</v>
      </c>
      <c r="G10">
        <f>(mpf_monthly_price!G11-MAX(mpf_monthly_price!G$2:G11))/MAX(mpf_monthly_price!G$2:G11)</f>
        <v>0</v>
      </c>
      <c r="H10">
        <f>(mpf_monthly_price!H11-MAX(mpf_monthly_price!H$2:H11))/MAX(mpf_monthly_price!H$2:H11)</f>
        <v>0</v>
      </c>
      <c r="I10">
        <f>(mpf_monthly_price!I11-MAX(mpf_monthly_price!I$2:I11))/MAX(mpf_monthly_price!I$2:I11)</f>
        <v>0</v>
      </c>
      <c r="J10">
        <f>(mpf_monthly_price!J11-MAX(mpf_monthly_price!J$2:J11))/MAX(mpf_monthly_price!J$2:J11)</f>
        <v>0</v>
      </c>
      <c r="K10">
        <f>(mpf_monthly_price!K11-MAX(mpf_monthly_price!K$2:K11))/MAX(mpf_monthly_price!K$2:K11)</f>
        <v>0</v>
      </c>
    </row>
    <row r="11" spans="1:11" x14ac:dyDescent="0.4">
      <c r="A11" s="6">
        <v>43132</v>
      </c>
      <c r="B11">
        <f>(mpf_monthly_price!B12-MAX(mpf_monthly_price!B$2:B12))/MAX(mpf_monthly_price!B$2:B12)</f>
        <v>-5.4530545305453128E-2</v>
      </c>
      <c r="C11">
        <f>(mpf_monthly_price!C12-MAX(mpf_monthly_price!C$2:C12))/MAX(mpf_monthly_price!C$2:C12)</f>
        <v>-4.1006776379477264E-2</v>
      </c>
      <c r="D11">
        <f>(mpf_monthly_price!D12-MAX(mpf_monthly_price!D$2:D12))/MAX(mpf_monthly_price!D$2:D12)</f>
        <v>-8.9424217538096908E-3</v>
      </c>
      <c r="E11">
        <f>(mpf_monthly_price!E12-MAX(mpf_monthly_price!E$2:E12))/MAX(mpf_monthly_price!E$2:E12)</f>
        <v>-3.0470420527441203E-2</v>
      </c>
      <c r="F11">
        <f>(mpf_monthly_price!F12-MAX(mpf_monthly_price!F$2:F12))/MAX(mpf_monthly_price!F$2:F12)</f>
        <v>-4.9873782906599294E-2</v>
      </c>
      <c r="G11">
        <f>(mpf_monthly_price!G12-MAX(mpf_monthly_price!G$2:G12))/MAX(mpf_monthly_price!G$2:G12)</f>
        <v>-4.8300087818341421E-2</v>
      </c>
      <c r="H11">
        <f>(mpf_monthly_price!H12-MAX(mpf_monthly_price!H$2:H12))/MAX(mpf_monthly_price!H$2:H12)</f>
        <v>-4.4617273843634869E-2</v>
      </c>
      <c r="I11">
        <f>(mpf_monthly_price!I12-MAX(mpf_monthly_price!I$2:I12))/MAX(mpf_monthly_price!I$2:I12)</f>
        <v>-4.9058592439994164E-2</v>
      </c>
      <c r="J11">
        <f>(mpf_monthly_price!J12-MAX(mpf_monthly_price!J$2:J12))/MAX(mpf_monthly_price!J$2:J12)</f>
        <v>0</v>
      </c>
      <c r="K11">
        <f>(mpf_monthly_price!K12-MAX(mpf_monthly_price!K$2:K12))/MAX(mpf_monthly_price!K$2:K12)</f>
        <v>-3.0335618586727526E-2</v>
      </c>
    </row>
    <row r="12" spans="1:11" x14ac:dyDescent="0.4">
      <c r="A12" s="6">
        <v>43160</v>
      </c>
      <c r="B12">
        <f>(mpf_monthly_price!B13-MAX(mpf_monthly_price!B$2:B13))/MAX(mpf_monthly_price!B$2:B13)</f>
        <v>-8.3640836408364047E-2</v>
      </c>
      <c r="C12">
        <f>(mpf_monthly_price!C13-MAX(mpf_monthly_price!C$2:C13))/MAX(mpf_monthly_price!C$2:C13)</f>
        <v>-5.6456921587608955E-2</v>
      </c>
      <c r="D12">
        <f>(mpf_monthly_price!D13-MAX(mpf_monthly_price!D$2:D13))/MAX(mpf_monthly_price!D$2:D13)</f>
        <v>-1.8249840313897512E-3</v>
      </c>
      <c r="E12">
        <f>(mpf_monthly_price!E13-MAX(mpf_monthly_price!E$2:E13))/MAX(mpf_monthly_price!E$2:E13)</f>
        <v>-3.2252316464718468E-2</v>
      </c>
      <c r="F12">
        <f>(mpf_monthly_price!F13-MAX(mpf_monthly_price!F$2:F13))/MAX(mpf_monthly_price!F$2:F13)</f>
        <v>-6.5957446808510706E-2</v>
      </c>
      <c r="G12">
        <f>(mpf_monthly_price!G13-MAX(mpf_monthly_price!G$2:G13))/MAX(mpf_monthly_price!G$2:G13)</f>
        <v>-6.2267385940701657E-2</v>
      </c>
      <c r="H12">
        <f>(mpf_monthly_price!H13-MAX(mpf_monthly_price!H$2:H13))/MAX(mpf_monthly_price!H$2:H13)</f>
        <v>-5.8739255014326593E-2</v>
      </c>
      <c r="I12">
        <f>(mpf_monthly_price!I13-MAX(mpf_monthly_price!I$2:I13))/MAX(mpf_monthly_price!I$2:I13)</f>
        <v>-5.8352896085852438E-2</v>
      </c>
      <c r="J12">
        <f>(mpf_monthly_price!J13-MAX(mpf_monthly_price!J$2:J13))/MAX(mpf_monthly_price!J$2:J13)</f>
        <v>0</v>
      </c>
      <c r="K12">
        <f>(mpf_monthly_price!K13-MAX(mpf_monthly_price!K$2:K13))/MAX(mpf_monthly_price!K$2:K13)</f>
        <v>-3.7280996549715437E-2</v>
      </c>
    </row>
    <row r="13" spans="1:11" x14ac:dyDescent="0.4">
      <c r="A13" s="6">
        <v>43191</v>
      </c>
      <c r="B13">
        <f>(mpf_monthly_price!B14-MAX(mpf_monthly_price!B$2:B14))/MAX(mpf_monthly_price!B$2:B14)</f>
        <v>-6.0168101681016856E-2</v>
      </c>
      <c r="C13">
        <f>(mpf_monthly_price!C14-MAX(mpf_monthly_price!C$2:C14))/MAX(mpf_monthly_price!C$2:C14)</f>
        <v>-3.4269119070667937E-2</v>
      </c>
      <c r="D13">
        <f>(mpf_monthly_price!D14-MAX(mpf_monthly_price!D$2:D14))/MAX(mpf_monthly_price!D$2:D14)</f>
        <v>-1.5877361073090693E-2</v>
      </c>
      <c r="E13">
        <f>(mpf_monthly_price!E14-MAX(mpf_monthly_price!E$2:E14))/MAX(mpf_monthly_price!E$2:E14)</f>
        <v>-2.8866714183891647E-2</v>
      </c>
      <c r="F13">
        <f>(mpf_monthly_price!F14-MAX(mpf_monthly_price!F$2:F14))/MAX(mpf_monthly_price!F$2:F14)</f>
        <v>-5.614857554994588E-2</v>
      </c>
      <c r="G13">
        <f>(mpf_monthly_price!G14-MAX(mpf_monthly_price!G$2:G14))/MAX(mpf_monthly_price!G$2:G14)</f>
        <v>-5.3652824823317798E-2</v>
      </c>
      <c r="H13">
        <f>(mpf_monthly_price!H14-MAX(mpf_monthly_price!H$2:H14))/MAX(mpf_monthly_price!H$2:H14)</f>
        <v>-5.1064265247646283E-2</v>
      </c>
      <c r="I13">
        <f>(mpf_monthly_price!I14-MAX(mpf_monthly_price!I$2:I14))/MAX(mpf_monthly_price!I$2:I14)</f>
        <v>-6.1610693240070839E-2</v>
      </c>
      <c r="J13">
        <f>(mpf_monthly_price!J14-MAX(mpf_monthly_price!J$2:J14))/MAX(mpf_monthly_price!J$2:J14)</f>
        <v>0</v>
      </c>
      <c r="K13">
        <f>(mpf_monthly_price!K14-MAX(mpf_monthly_price!K$2:K14))/MAX(mpf_monthly_price!K$2:K14)</f>
        <v>-3.692252542904504E-2</v>
      </c>
    </row>
    <row r="14" spans="1:11" x14ac:dyDescent="0.4">
      <c r="A14" s="6">
        <v>43221</v>
      </c>
      <c r="B14">
        <f>(mpf_monthly_price!B15-MAX(mpf_monthly_price!B$2:B15))/MAX(mpf_monthly_price!B$2:B15)</f>
        <v>-6.6779417794177939E-2</v>
      </c>
      <c r="C14">
        <f>(mpf_monthly_price!C15-MAX(mpf_monthly_price!C$2:C15))/MAX(mpf_monthly_price!C$2:C15)</f>
        <v>-4.0271055179090048E-2</v>
      </c>
      <c r="D14">
        <f>(mpf_monthly_price!D15-MAX(mpf_monthly_price!D$2:D15))/MAX(mpf_monthly_price!D$2:D15)</f>
        <v>-1.8979833926453128E-2</v>
      </c>
      <c r="E14">
        <f>(mpf_monthly_price!E15-MAX(mpf_monthly_price!E$2:E15))/MAX(mpf_monthly_price!E$2:E15)</f>
        <v>-2.5213827512473263E-2</v>
      </c>
      <c r="F14">
        <f>(mpf_monthly_price!F15-MAX(mpf_monthly_price!F$2:F15))/MAX(mpf_monthly_price!F$2:F15)</f>
        <v>-5.7194374323837047E-2</v>
      </c>
      <c r="G14">
        <f>(mpf_monthly_price!G15-MAX(mpf_monthly_price!G$2:G15))/MAX(mpf_monthly_price!G$2:G15)</f>
        <v>-2.0616401120729339E-2</v>
      </c>
      <c r="H14">
        <f>(mpf_monthly_price!H15-MAX(mpf_monthly_price!H$2:H15))/MAX(mpf_monthly_price!H$2:H15)</f>
        <v>-5.2599263200982405E-2</v>
      </c>
      <c r="I14">
        <f>(mpf_monthly_price!I15-MAX(mpf_monthly_price!I$2:I15))/MAX(mpf_monthly_price!I$2:I15)</f>
        <v>-6.6593206534757712E-2</v>
      </c>
      <c r="J14">
        <f>(mpf_monthly_price!J15-MAX(mpf_monthly_price!J$2:J15))/MAX(mpf_monthly_price!J$2:J15)</f>
        <v>0</v>
      </c>
      <c r="K14">
        <f>(mpf_monthly_price!K15-MAX(mpf_monthly_price!K$2:K15))/MAX(mpf_monthly_price!K$2:K15)</f>
        <v>-4.2165165568848847E-2</v>
      </c>
    </row>
    <row r="15" spans="1:11" x14ac:dyDescent="0.4">
      <c r="A15" s="6">
        <v>43252</v>
      </c>
      <c r="B15">
        <f>(mpf_monthly_price!B16-MAX(mpf_monthly_price!B$2:B16))/MAX(mpf_monthly_price!B$2:B16)</f>
        <v>-0.11767117671176716</v>
      </c>
      <c r="C15">
        <f>(mpf_monthly_price!C16-MAX(mpf_monthly_price!C$2:C16))/MAX(mpf_monthly_price!C$2:C16)</f>
        <v>-7.1636011616650536E-2</v>
      </c>
      <c r="D15">
        <f>(mpf_monthly_price!D16-MAX(mpf_monthly_price!D$2:D16))/MAX(mpf_monthly_price!D$2:D16)</f>
        <v>-3.2940961766584537E-2</v>
      </c>
      <c r="E15">
        <f>(mpf_monthly_price!E16-MAX(mpf_monthly_price!E$2:E16))/MAX(mpf_monthly_price!E$2:E16)</f>
        <v>-3.2519600855310027E-2</v>
      </c>
      <c r="F15">
        <f>(mpf_monthly_price!F16-MAX(mpf_monthly_price!F$2:F16))/MAX(mpf_monthly_price!F$2:F16)</f>
        <v>-8.7991345113595396E-2</v>
      </c>
      <c r="G15">
        <f>(mpf_monthly_price!G16-MAX(mpf_monthly_price!G$2:G16))/MAX(mpf_monthly_price!G$2:G16)</f>
        <v>-3.9309162380295262E-2</v>
      </c>
      <c r="H15">
        <f>(mpf_monthly_price!H16-MAX(mpf_monthly_price!H$2:H16))/MAX(mpf_monthly_price!H$2:H16)</f>
        <v>-8.457838722881704E-2</v>
      </c>
      <c r="I15">
        <f>(mpf_monthly_price!I16-MAX(mpf_monthly_price!I$2:I16))/MAX(mpf_monthly_price!I$2:I16)</f>
        <v>-8.0199300531787393E-2</v>
      </c>
      <c r="J15">
        <f>(mpf_monthly_price!J16-MAX(mpf_monthly_price!J$2:J16))/MAX(mpf_monthly_price!J$2:J16)</f>
        <v>0</v>
      </c>
      <c r="K15">
        <f>(mpf_monthly_price!K16-MAX(mpf_monthly_price!K$2:K16))/MAX(mpf_monthly_price!K$2:K16)</f>
        <v>-6.3046108347896201E-2</v>
      </c>
    </row>
    <row r="16" spans="1:11" x14ac:dyDescent="0.4">
      <c r="A16" s="6">
        <v>43282</v>
      </c>
      <c r="B16">
        <f>(mpf_monthly_price!B17-MAX(mpf_monthly_price!B$2:B17))/MAX(mpf_monthly_price!B$2:B17)</f>
        <v>-0.12710127101271018</v>
      </c>
      <c r="C16">
        <f>(mpf_monthly_price!C17-MAX(mpf_monthly_price!C$2:C17))/MAX(mpf_monthly_price!C$2:C17)</f>
        <v>-4.2090997095837385E-2</v>
      </c>
      <c r="D16">
        <f>(mpf_monthly_price!D17-MAX(mpf_monthly_price!D$2:D17))/MAX(mpf_monthly_price!D$2:D17)</f>
        <v>-3.1754722146181254E-2</v>
      </c>
      <c r="E16">
        <f>(mpf_monthly_price!E17-MAX(mpf_monthly_price!E$2:E17))/MAX(mpf_monthly_price!E$2:E17)</f>
        <v>-1.8264433357091912E-2</v>
      </c>
      <c r="F16">
        <f>(mpf_monthly_price!F17-MAX(mpf_monthly_price!F$2:F17))/MAX(mpf_monthly_price!F$2:F17)</f>
        <v>-7.9985575189325656E-2</v>
      </c>
      <c r="G16">
        <f>(mpf_monthly_price!G17-MAX(mpf_monthly_price!G$2:G17))/MAX(mpf_monthly_price!G$2:G17)</f>
        <v>-7.0254673190315179E-3</v>
      </c>
      <c r="H16">
        <f>(mpf_monthly_price!H17-MAX(mpf_monthly_price!H$2:H17))/MAX(mpf_monthly_price!H$2:H17)</f>
        <v>-7.5931232091690559E-2</v>
      </c>
      <c r="I16">
        <f>(mpf_monthly_price!I17-MAX(mpf_monthly_price!I$2:I17))/MAX(mpf_monthly_price!I$2:I17)</f>
        <v>-3.7225123365112738E-2</v>
      </c>
      <c r="J16">
        <f>(mpf_monthly_price!J17-MAX(mpf_monthly_price!J$2:J17))/MAX(mpf_monthly_price!J$2:J17)</f>
        <v>0</v>
      </c>
      <c r="K16">
        <f>(mpf_monthly_price!K17-MAX(mpf_monthly_price!K$2:K17))/MAX(mpf_monthly_price!K$2:K17)</f>
        <v>-5.941658825110898E-2</v>
      </c>
    </row>
    <row r="17" spans="1:11" x14ac:dyDescent="0.4">
      <c r="A17" s="6">
        <v>43313</v>
      </c>
      <c r="B17">
        <f>(mpf_monthly_price!B18-MAX(mpf_monthly_price!B$2:B18))/MAX(mpf_monthly_price!B$2:B18)</f>
        <v>-0.13730012300122996</v>
      </c>
      <c r="C17">
        <f>(mpf_monthly_price!C18-MAX(mpf_monthly_price!C$2:C18))/MAX(mpf_monthly_price!C$2:C18)</f>
        <v>-5.6418199419167446E-2</v>
      </c>
      <c r="D17">
        <f>(mpf_monthly_price!D18-MAX(mpf_monthly_price!D$2:D18))/MAX(mpf_monthly_price!D$2:D18)</f>
        <v>-2.8925996897527163E-2</v>
      </c>
      <c r="E17">
        <f>(mpf_monthly_price!E18-MAX(mpf_monthly_price!E$2:E18))/MAX(mpf_monthly_price!E$2:E18)</f>
        <v>-1.1404133998574612E-2</v>
      </c>
      <c r="F17">
        <f>(mpf_monthly_price!F18-MAX(mpf_monthly_price!F$2:F18))/MAX(mpf_monthly_price!F$2:F18)</f>
        <v>-8.6007933645870976E-2</v>
      </c>
      <c r="G17">
        <f>(mpf_monthly_price!G18-MAX(mpf_monthly_price!G$2:G18))/MAX(mpf_monthly_price!G$2:G18)</f>
        <v>0</v>
      </c>
      <c r="H17">
        <f>(mpf_monthly_price!H18-MAX(mpf_monthly_price!H$2:H18))/MAX(mpf_monthly_price!H$2:H18)</f>
        <v>-8.1099058534588597E-2</v>
      </c>
      <c r="I17">
        <f>(mpf_monthly_price!I18-MAX(mpf_monthly_price!I$2:I18))/MAX(mpf_monthly_price!I$2:I18)</f>
        <v>-2.5679106980309421E-2</v>
      </c>
      <c r="J17">
        <f>(mpf_monthly_price!J18-MAX(mpf_monthly_price!J$2:J18))/MAX(mpf_monthly_price!J$2:J18)</f>
        <v>0</v>
      </c>
      <c r="K17">
        <f>(mpf_monthly_price!K18-MAX(mpf_monthly_price!K$2:K18))/MAX(mpf_monthly_price!K$2:K18)</f>
        <v>-6.2866872787561062E-2</v>
      </c>
    </row>
    <row r="18" spans="1:11" x14ac:dyDescent="0.4">
      <c r="A18" s="6">
        <v>43344</v>
      </c>
      <c r="B18">
        <f>(mpf_monthly_price!B19-MAX(mpf_monthly_price!B$2:B19))/MAX(mpf_monthly_price!B$2:B19)</f>
        <v>-0.13545510455104554</v>
      </c>
      <c r="C18">
        <f>(mpf_monthly_price!C19-MAX(mpf_monthly_price!C$2:C19))/MAX(mpf_monthly_price!C$2:C19)</f>
        <v>-7.9690222652468584E-2</v>
      </c>
      <c r="D18">
        <f>(mpf_monthly_price!D19-MAX(mpf_monthly_price!D$2:D19))/MAX(mpf_monthly_price!D$2:D19)</f>
        <v>-3.5313441007391227E-2</v>
      </c>
      <c r="E18">
        <f>(mpf_monthly_price!E19-MAX(mpf_monthly_price!E$2:E19))/MAX(mpf_monthly_price!E$2:E19)</f>
        <v>-1.2918745545260119E-2</v>
      </c>
      <c r="F18">
        <f>(mpf_monthly_price!F19-MAX(mpf_monthly_price!F$2:F19))/MAX(mpf_monthly_price!F$2:F19)</f>
        <v>-8.7414352686621011E-2</v>
      </c>
      <c r="G18">
        <f>(mpf_monthly_price!G19-MAX(mpf_monthly_price!G$2:G19))/MAX(mpf_monthly_price!G$2:G19)</f>
        <v>0</v>
      </c>
      <c r="H18">
        <f>(mpf_monthly_price!H19-MAX(mpf_monthly_price!H$2:H19))/MAX(mpf_monthly_price!H$2:H19)</f>
        <v>-8.222472370036836E-2</v>
      </c>
      <c r="I18">
        <f>(mpf_monthly_price!I19-MAX(mpf_monthly_price!I$2:I19))/MAX(mpf_monthly_price!I$2:I19)</f>
        <v>-1.8492789728357138E-2</v>
      </c>
      <c r="J18">
        <f>(mpf_monthly_price!J19-MAX(mpf_monthly_price!J$2:J19))/MAX(mpf_monthly_price!J$2:J19)</f>
        <v>0</v>
      </c>
      <c r="K18">
        <f>(mpf_monthly_price!K19-MAX(mpf_monthly_price!K$2:K19))/MAX(mpf_monthly_price!K$2:K19)</f>
        <v>-6.6496392884348152E-2</v>
      </c>
    </row>
    <row r="19" spans="1:11" x14ac:dyDescent="0.4">
      <c r="A19" s="6">
        <v>43374</v>
      </c>
      <c r="B19">
        <f>(mpf_monthly_price!B20-MAX(mpf_monthly_price!B$2:B20))/MAX(mpf_monthly_price!B$2:B20)</f>
        <v>-0.20418204182041821</v>
      </c>
      <c r="C19">
        <f>(mpf_monthly_price!C20-MAX(mpf_monthly_price!C$2:C20))/MAX(mpf_monthly_price!C$2:C20)</f>
        <v>-0.15961277831558568</v>
      </c>
      <c r="D19">
        <f>(mpf_monthly_price!D20-MAX(mpf_monthly_price!D$2:D20))/MAX(mpf_monthly_price!D$2:D20)</f>
        <v>-3.9328405876448598E-2</v>
      </c>
      <c r="E19">
        <f>(mpf_monthly_price!E20-MAX(mpf_monthly_price!E$2:E20))/MAX(mpf_monthly_price!E$2:E20)</f>
        <v>-5.2031361368496086E-2</v>
      </c>
      <c r="F19">
        <f>(mpf_monthly_price!F20-MAX(mpf_monthly_price!F$2:F20))/MAX(mpf_monthly_price!F$2:F20)</f>
        <v>-0.15593220338983055</v>
      </c>
      <c r="G19">
        <f>(mpf_monthly_price!G20-MAX(mpf_monthly_price!G$2:G20))/MAX(mpf_monthly_price!G$2:G20)</f>
        <v>-6.1392816512270493E-2</v>
      </c>
      <c r="H19">
        <f>(mpf_monthly_price!H20-MAX(mpf_monthly_price!H$2:H20))/MAX(mpf_monthly_price!H$2:H20)</f>
        <v>-0.13988948014735983</v>
      </c>
      <c r="I19">
        <f>(mpf_monthly_price!I20-MAX(mpf_monthly_price!I$2:I20))/MAX(mpf_monthly_price!I$2:I20)</f>
        <v>-5.0543764672064312E-2</v>
      </c>
      <c r="J19">
        <f>(mpf_monthly_price!J20-MAX(mpf_monthly_price!J$2:J20))/MAX(mpf_monthly_price!J$2:J20)</f>
        <v>0</v>
      </c>
      <c r="K19">
        <f>(mpf_monthly_price!K20-MAX(mpf_monthly_price!K$2:K20))/MAX(mpf_monthly_price!K$2:K20)</f>
        <v>-0.11063314961688399</v>
      </c>
    </row>
    <row r="20" spans="1:11" x14ac:dyDescent="0.4">
      <c r="A20" s="6">
        <v>43405</v>
      </c>
      <c r="B20">
        <f>(mpf_monthly_price!B21-MAX(mpf_monthly_price!B$2:B21))/MAX(mpf_monthly_price!B$2:B21)</f>
        <v>-0.17066420664206647</v>
      </c>
      <c r="C20">
        <f>(mpf_monthly_price!C21-MAX(mpf_monthly_price!C$2:C21))/MAX(mpf_monthly_price!C$2:C21)</f>
        <v>-0.14822846079380445</v>
      </c>
      <c r="D20">
        <f>(mpf_monthly_price!D21-MAX(mpf_monthly_price!D$2:D21))/MAX(mpf_monthly_price!D$2:D21)</f>
        <v>-2.7374760470845878E-2</v>
      </c>
      <c r="E20">
        <f>(mpf_monthly_price!E21-MAX(mpf_monthly_price!E$2:E21))/MAX(mpf_monthly_price!E$2:E21)</f>
        <v>-4.8823948681396966E-2</v>
      </c>
      <c r="F20">
        <f>(mpf_monthly_price!F21-MAX(mpf_monthly_price!F$2:F21))/MAX(mpf_monthly_price!F$2:F21)</f>
        <v>-0.14976559682654164</v>
      </c>
      <c r="G20">
        <f>(mpf_monthly_price!G21-MAX(mpf_monthly_price!G$2:G21))/MAX(mpf_monthly_price!G$2:G21)</f>
        <v>-6.7568665691532567E-2</v>
      </c>
      <c r="H20">
        <f>(mpf_monthly_price!H21-MAX(mpf_monthly_price!H$2:H21))/MAX(mpf_monthly_price!H$2:H21)</f>
        <v>-0.13451698731068354</v>
      </c>
      <c r="I20">
        <f>(mpf_monthly_price!I21-MAX(mpf_monthly_price!I$2:I21))/MAX(mpf_monthly_price!I$2:I21)</f>
        <v>-5.6197000910266803E-2</v>
      </c>
      <c r="J20">
        <f>(mpf_monthly_price!J21-MAX(mpf_monthly_price!J$2:J21))/MAX(mpf_monthly_price!J$2:J21)</f>
        <v>0</v>
      </c>
      <c r="K20">
        <f>(mpf_monthly_price!K21-MAX(mpf_monthly_price!K$2:K21))/MAX(mpf_monthly_price!K$2:K21)</f>
        <v>-0.10758614509118605</v>
      </c>
    </row>
    <row r="21" spans="1:11" x14ac:dyDescent="0.4">
      <c r="A21" s="6">
        <v>43435</v>
      </c>
      <c r="B21">
        <f>(mpf_monthly_price!B22-MAX(mpf_monthly_price!B$2:B22))/MAX(mpf_monthly_price!B$2:B22)</f>
        <v>-0.19546945469454702</v>
      </c>
      <c r="C21">
        <f>(mpf_monthly_price!C22-MAX(mpf_monthly_price!C$2:C22))/MAX(mpf_monthly_price!C$2:C22)</f>
        <v>-0.1659632139399807</v>
      </c>
      <c r="D21">
        <f>(mpf_monthly_price!D22-MAX(mpf_monthly_price!D$2:D22))/MAX(mpf_monthly_price!D$2:D22)</f>
        <v>-1.459987225111788E-2</v>
      </c>
      <c r="E21">
        <f>(mpf_monthly_price!E22-MAX(mpf_monthly_price!E$2:E22))/MAX(mpf_monthly_price!E$2:E22)</f>
        <v>-8.3125445473984455E-2</v>
      </c>
      <c r="F21">
        <f>(mpf_monthly_price!F22-MAX(mpf_monthly_price!F$2:F22))/MAX(mpf_monthly_price!F$2:F22)</f>
        <v>-0.18882077172737111</v>
      </c>
      <c r="G21">
        <f>(mpf_monthly_price!G22-MAX(mpf_monthly_price!G$2:G22))/MAX(mpf_monthly_price!G$2:G22)</f>
        <v>-0.15273037542662118</v>
      </c>
      <c r="H21">
        <f>(mpf_monthly_price!H22-MAX(mpf_monthly_price!H$2:H22))/MAX(mpf_monthly_price!H$2:H22)</f>
        <v>-0.16306794924273438</v>
      </c>
      <c r="I21">
        <f>(mpf_monthly_price!I22-MAX(mpf_monthly_price!I$2:I22))/MAX(mpf_monthly_price!I$2:I22)</f>
        <v>-0.13074306520385184</v>
      </c>
      <c r="J21">
        <f>(mpf_monthly_price!J22-MAX(mpf_monthly_price!J$2:J22))/MAX(mpf_monthly_price!J$2:J22)</f>
        <v>0</v>
      </c>
      <c r="K21">
        <f>(mpf_monthly_price!K22-MAX(mpf_monthly_price!K$2:K22))/MAX(mpf_monthly_price!K$2:K22)</f>
        <v>-0.12537527445445174</v>
      </c>
    </row>
    <row r="22" spans="1:11" x14ac:dyDescent="0.4">
      <c r="A22" s="6">
        <v>43466</v>
      </c>
      <c r="B22">
        <f>(mpf_monthly_price!B23-MAX(mpf_monthly_price!B$2:B23))/MAX(mpf_monthly_price!B$2:B23)</f>
        <v>-0.13063755637556379</v>
      </c>
      <c r="C22">
        <f>(mpf_monthly_price!C23-MAX(mpf_monthly_price!C$2:C23))/MAX(mpf_monthly_price!C$2:C23)</f>
        <v>-0.12538238141335914</v>
      </c>
      <c r="D22">
        <f>(mpf_monthly_price!D23-MAX(mpf_monthly_price!D$2:D23))/MAX(mpf_monthly_price!D$2:D23)</f>
        <v>0</v>
      </c>
      <c r="E22">
        <f>(mpf_monthly_price!E23-MAX(mpf_monthly_price!E$2:E23))/MAX(mpf_monthly_price!E$2:E23)</f>
        <v>-3.929080541696367E-2</v>
      </c>
      <c r="F22">
        <f>(mpf_monthly_price!F23-MAX(mpf_monthly_price!F$2:F23))/MAX(mpf_monthly_price!F$2:F23)</f>
        <v>-0.13346556076451502</v>
      </c>
      <c r="G22">
        <f>(mpf_monthly_price!G23-MAX(mpf_monthly_price!G$2:G23))/MAX(mpf_monthly_price!G$2:G23)</f>
        <v>-8.625873557614179E-2</v>
      </c>
      <c r="H22">
        <f>(mpf_monthly_price!H23-MAX(mpf_monthly_price!H$2:H23))/MAX(mpf_monthly_price!H$2:H23)</f>
        <v>-0.11272001637331151</v>
      </c>
      <c r="I22">
        <f>(mpf_monthly_price!I23-MAX(mpf_monthly_price!I$2:I23))/MAX(mpf_monthly_price!I$2:I23)</f>
        <v>-4.977722416518942E-2</v>
      </c>
      <c r="J22">
        <f>(mpf_monthly_price!J23-MAX(mpf_monthly_price!J$2:J23))/MAX(mpf_monthly_price!J$2:J23)</f>
        <v>0</v>
      </c>
      <c r="K22">
        <f>(mpf_monthly_price!K23-MAX(mpf_monthly_price!K$2:K23))/MAX(mpf_monthly_price!K$2:K23)</f>
        <v>-8.4733611148451848E-2</v>
      </c>
    </row>
    <row r="23" spans="1:11" x14ac:dyDescent="0.4">
      <c r="A23" s="6">
        <v>43497</v>
      </c>
      <c r="B23">
        <f>(mpf_monthly_price!B24-MAX(mpf_monthly_price!B$2:B24))/MAX(mpf_monthly_price!B$2:B24)</f>
        <v>-9.9477244772447709E-2</v>
      </c>
      <c r="C23">
        <f>(mpf_monthly_price!C24-MAX(mpf_monthly_price!C$2:C24))/MAX(mpf_monthly_price!C$2:C24)</f>
        <v>-0.11426911907066792</v>
      </c>
      <c r="D23">
        <f>(mpf_monthly_price!D24-MAX(mpf_monthly_price!D$2:D24))/MAX(mpf_monthly_price!D$2:D24)</f>
        <v>-3.9044765277398766E-3</v>
      </c>
      <c r="E23">
        <f>(mpf_monthly_price!E24-MAX(mpf_monthly_price!E$2:E24))/MAX(mpf_monthly_price!E$2:E24)</f>
        <v>-2.2808267997149027E-2</v>
      </c>
      <c r="F23">
        <f>(mpf_monthly_price!F24-MAX(mpf_monthly_price!F$2:F24))/MAX(mpf_monthly_price!F$2:F24)</f>
        <v>-0.10973674720519296</v>
      </c>
      <c r="G23">
        <f>(mpf_monthly_price!G24-MAX(mpf_monthly_price!G$2:G24))/MAX(mpf_monthly_price!G$2:G24)</f>
        <v>-5.2413456850316939E-2</v>
      </c>
      <c r="H23">
        <f>(mpf_monthly_price!H24-MAX(mpf_monthly_price!H$2:H24))/MAX(mpf_monthly_price!H$2:H24)</f>
        <v>-9.3174375767499013E-2</v>
      </c>
      <c r="I23">
        <f>(mpf_monthly_price!I24-MAX(mpf_monthly_price!I$2:I24))/MAX(mpf_monthly_price!I$2:I24)</f>
        <v>-3.1859339816988345E-2</v>
      </c>
      <c r="J23">
        <f>(mpf_monthly_price!J24-MAX(mpf_monthly_price!J$2:J24))/MAX(mpf_monthly_price!J$2:J24)</f>
        <v>0</v>
      </c>
      <c r="K23">
        <f>(mpf_monthly_price!K24-MAX(mpf_monthly_price!K$2:K24))/MAX(mpf_monthly_price!K$2:K24)</f>
        <v>-7.1156517453062673E-2</v>
      </c>
    </row>
    <row r="24" spans="1:11" x14ac:dyDescent="0.4">
      <c r="A24" s="6">
        <v>43525</v>
      </c>
      <c r="B24">
        <f>(mpf_monthly_price!B25-MAX(mpf_monthly_price!B$2:B25))/MAX(mpf_monthly_price!B$2:B25)</f>
        <v>-7.9233292332923366E-2</v>
      </c>
      <c r="C24">
        <f>(mpf_monthly_price!C25-MAX(mpf_monthly_price!C$2:C25))/MAX(mpf_monthly_price!C$2:C25)</f>
        <v>-9.5914811229428881E-2</v>
      </c>
      <c r="D24">
        <f>(mpf_monthly_price!D25-MAX(mpf_monthly_price!D$2:D25))/MAX(mpf_monthly_price!D$2:D25)</f>
        <v>0</v>
      </c>
      <c r="E24">
        <f>(mpf_monthly_price!E25-MAX(mpf_monthly_price!E$2:E25))/MAX(mpf_monthly_price!E$2:E25)</f>
        <v>-6.5039201710620845E-3</v>
      </c>
      <c r="F24">
        <f>(mpf_monthly_price!F25-MAX(mpf_monthly_price!F$2:F25))/MAX(mpf_monthly_price!F$2:F25)</f>
        <v>-9.4410385863685553E-2</v>
      </c>
      <c r="G24">
        <f>(mpf_monthly_price!G25-MAX(mpf_monthly_price!G$2:G25))/MAX(mpf_monthly_price!G$2:G25)</f>
        <v>-4.4531123029416579E-2</v>
      </c>
      <c r="H24">
        <f>(mpf_monthly_price!H25-MAX(mpf_monthly_price!H$2:H25))/MAX(mpf_monthly_price!H$2:H25)</f>
        <v>-7.7312730249692929E-2</v>
      </c>
      <c r="I24">
        <f>(mpf_monthly_price!I25-MAX(mpf_monthly_price!I$2:I25))/MAX(mpf_monthly_price!I$2:I25)</f>
        <v>-1.4899631102380996E-2</v>
      </c>
      <c r="J24">
        <f>(mpf_monthly_price!J25-MAX(mpf_monthly_price!J$2:J25))/MAX(mpf_monthly_price!J$2:J25)</f>
        <v>0</v>
      </c>
      <c r="K24">
        <f>(mpf_monthly_price!K25-MAX(mpf_monthly_price!K$2:K25))/MAX(mpf_monthly_price!K$2:K25)</f>
        <v>-5.6638437065913823E-2</v>
      </c>
    </row>
    <row r="25" spans="1:11" x14ac:dyDescent="0.4">
      <c r="A25" s="6">
        <v>43556</v>
      </c>
      <c r="B25">
        <f>(mpf_monthly_price!B26-MAX(mpf_monthly_price!B$2:B26))/MAX(mpf_monthly_price!B$2:B26)</f>
        <v>-7.7388273882738792E-2</v>
      </c>
      <c r="C25">
        <f>(mpf_monthly_price!C26-MAX(mpf_monthly_price!C$2:C26))/MAX(mpf_monthly_price!C$2:C26)</f>
        <v>-9.1655372700871207E-2</v>
      </c>
      <c r="D25">
        <f>(mpf_monthly_price!D26-MAX(mpf_monthly_price!D$2:D26))/MAX(mpf_monthly_price!D$2:D26)</f>
        <v>-9.5409540954094346E-3</v>
      </c>
      <c r="E25">
        <f>(mpf_monthly_price!E26-MAX(mpf_monthly_price!E$2:E26))/MAX(mpf_monthly_price!E$2:E26)</f>
        <v>0</v>
      </c>
      <c r="F25">
        <f>(mpf_monthly_price!F26-MAX(mpf_monthly_price!F$2:F26))/MAX(mpf_monthly_price!F$2:F26)</f>
        <v>-8.745041471330689E-2</v>
      </c>
      <c r="G25">
        <f>(mpf_monthly_price!G26-MAX(mpf_monthly_price!G$2:G26))/MAX(mpf_monthly_price!G$2:G26)</f>
        <v>-3.0513570615959659E-2</v>
      </c>
      <c r="H25">
        <f>(mpf_monthly_price!H26-MAX(mpf_monthly_price!H$2:H26))/MAX(mpf_monthly_price!H$2:H26)</f>
        <v>-7.1172738436348734E-2</v>
      </c>
      <c r="I25">
        <f>(mpf_monthly_price!I26-MAX(mpf_monthly_price!I$2:I26))/MAX(mpf_monthly_price!I$2:I26)</f>
        <v>0</v>
      </c>
      <c r="J25">
        <f>(mpf_monthly_price!J26-MAX(mpf_monthly_price!J$2:J26))/MAX(mpf_monthly_price!J$2:J26)</f>
        <v>0</v>
      </c>
      <c r="K25">
        <f>(mpf_monthly_price!K26-MAX(mpf_monthly_price!K$2:K26))/MAX(mpf_monthly_price!K$2:K26)</f>
        <v>-5.2023121387283176E-2</v>
      </c>
    </row>
    <row r="26" spans="1:11" x14ac:dyDescent="0.4">
      <c r="A26" s="6">
        <v>43586</v>
      </c>
      <c r="B26">
        <f>(mpf_monthly_price!B27-MAX(mpf_monthly_price!B$2:B27))/MAX(mpf_monthly_price!B$2:B27)</f>
        <v>-0.15682656826568261</v>
      </c>
      <c r="C26">
        <f>(mpf_monthly_price!C27-MAX(mpf_monthly_price!C$2:C27))/MAX(mpf_monthly_price!C$2:C27)</f>
        <v>-0.13572120038722174</v>
      </c>
      <c r="D26">
        <f>(mpf_monthly_price!D27-MAX(mpf_monthly_price!D$2:D27))/MAX(mpf_monthly_price!D$2:D27)</f>
        <v>-6.0306030603059181E-3</v>
      </c>
      <c r="E26">
        <f>(mpf_monthly_price!E27-MAX(mpf_monthly_price!E$2:E27))/MAX(mpf_monthly_price!E$2:E27)</f>
        <v>-3.0281565432973268E-2</v>
      </c>
      <c r="F26">
        <f>(mpf_monthly_price!F27-MAX(mpf_monthly_price!F$2:F27))/MAX(mpf_monthly_price!F$2:F27)</f>
        <v>-0.14255319148936171</v>
      </c>
      <c r="G26">
        <f>(mpf_monthly_price!G27-MAX(mpf_monthly_price!G$2:G27))/MAX(mpf_monthly_price!G$2:G27)</f>
        <v>-9.4750528197627137E-2</v>
      </c>
      <c r="H26">
        <f>(mpf_monthly_price!H27-MAX(mpf_monthly_price!H$2:H27))/MAX(mpf_monthly_price!H$2:H27)</f>
        <v>-0.11517601309864915</v>
      </c>
      <c r="I26">
        <f>(mpf_monthly_price!I27-MAX(mpf_monthly_price!I$2:I27))/MAX(mpf_monthly_price!I$2:I27)</f>
        <v>-5.8166722336212236E-2</v>
      </c>
      <c r="J26">
        <f>(mpf_monthly_price!J27-MAX(mpf_monthly_price!J$2:J27))/MAX(mpf_monthly_price!J$2:J27)</f>
        <v>0</v>
      </c>
      <c r="K26">
        <f>(mpf_monthly_price!K27-MAX(mpf_monthly_price!K$2:K27))/MAX(mpf_monthly_price!K$2:K27)</f>
        <v>-8.2627593314513595E-2</v>
      </c>
    </row>
    <row r="27" spans="1:11" x14ac:dyDescent="0.4">
      <c r="A27" s="6">
        <v>43617</v>
      </c>
      <c r="B27">
        <f>(mpf_monthly_price!B28-MAX(mpf_monthly_price!B$2:B28))/MAX(mpf_monthly_price!B$2:B28)</f>
        <v>-0.10424354243542437</v>
      </c>
      <c r="C27">
        <f>(mpf_monthly_price!C28-MAX(mpf_monthly_price!C$2:C28))/MAX(mpf_monthly_price!C$2:C28)</f>
        <v>-9.6224588576960285E-2</v>
      </c>
      <c r="D27">
        <f>(mpf_monthly_price!D28-MAX(mpf_monthly_price!D$2:D28))/MAX(mpf_monthly_price!D$2:D28)</f>
        <v>0</v>
      </c>
      <c r="E27">
        <f>(mpf_monthly_price!E28-MAX(mpf_monthly_price!E$2:E28))/MAX(mpf_monthly_price!E$2:E28)</f>
        <v>0</v>
      </c>
      <c r="F27">
        <f>(mpf_monthly_price!F28-MAX(mpf_monthly_price!F$2:F28))/MAX(mpf_monthly_price!F$2:F28)</f>
        <v>-9.8232960692390944E-2</v>
      </c>
      <c r="G27">
        <f>(mpf_monthly_price!G28-MAX(mpf_monthly_price!G$2:G28))/MAX(mpf_monthly_price!G$2:G28)</f>
        <v>-3.6730050381927483E-2</v>
      </c>
      <c r="H27">
        <f>(mpf_monthly_price!H28-MAX(mpf_monthly_price!H$2:H28))/MAX(mpf_monthly_price!H$2:H28)</f>
        <v>-7.4140401146131851E-2</v>
      </c>
      <c r="I27">
        <f>(mpf_monthly_price!I28-MAX(mpf_monthly_price!I$2:I28))/MAX(mpf_monthly_price!I$2:I28)</f>
        <v>-1.86095338073191E-3</v>
      </c>
      <c r="J27">
        <f>(mpf_monthly_price!J28-MAX(mpf_monthly_price!J$2:J28))/MAX(mpf_monthly_price!J$2:J28)</f>
        <v>0</v>
      </c>
      <c r="K27">
        <f>(mpf_monthly_price!K28-MAX(mpf_monthly_price!K$2:K28))/MAX(mpf_monthly_price!K$2:K28)</f>
        <v>-4.7990321279741809E-2</v>
      </c>
    </row>
    <row r="28" spans="1:11" x14ac:dyDescent="0.4">
      <c r="A28" s="6">
        <v>43647</v>
      </c>
      <c r="B28">
        <f>(mpf_monthly_price!B29-MAX(mpf_monthly_price!B$2:B29))/MAX(mpf_monthly_price!B$2:B29)</f>
        <v>-0.1277162771627717</v>
      </c>
      <c r="C28">
        <f>(mpf_monthly_price!C29-MAX(mpf_monthly_price!C$2:C29))/MAX(mpf_monthly_price!C$2:C29)</f>
        <v>-0.11136495643756048</v>
      </c>
      <c r="D28">
        <f>(mpf_monthly_price!D29-MAX(mpf_monthly_price!D$2:D29))/MAX(mpf_monthly_price!D$2:D29)</f>
        <v>-1.5089650275164363E-3</v>
      </c>
      <c r="E28">
        <f>(mpf_monthly_price!E29-MAX(mpf_monthly_price!E$2:E29))/MAX(mpf_monthly_price!E$2:E29)</f>
        <v>0</v>
      </c>
      <c r="F28">
        <f>(mpf_monthly_price!F29-MAX(mpf_monthly_price!F$2:F29))/MAX(mpf_monthly_price!F$2:F29)</f>
        <v>-0.10869094843130189</v>
      </c>
      <c r="G28">
        <f>(mpf_monthly_price!G29-MAX(mpf_monthly_price!G$2:G29))/MAX(mpf_monthly_price!G$2:G29)</f>
        <v>-3.6283113928165148E-2</v>
      </c>
      <c r="H28">
        <f>(mpf_monthly_price!H29-MAX(mpf_monthly_price!H$2:H29))/MAX(mpf_monthly_price!H$2:H29)</f>
        <v>-8.2992222677036431E-2</v>
      </c>
      <c r="I28">
        <f>(mpf_monthly_price!I29-MAX(mpf_monthly_price!I$2:I29))/MAX(mpf_monthly_price!I$2:I29)</f>
        <v>-3.6741900081117612E-3</v>
      </c>
      <c r="J28">
        <f>(mpf_monthly_price!J29-MAX(mpf_monthly_price!J$2:J29))/MAX(mpf_monthly_price!J$2:J29)</f>
        <v>0</v>
      </c>
      <c r="K28">
        <f>(mpf_monthly_price!K29-MAX(mpf_monthly_price!K$2:K29))/MAX(mpf_monthly_price!K$2:K29)</f>
        <v>-5.4173948111305173E-2</v>
      </c>
    </row>
    <row r="29" spans="1:11" x14ac:dyDescent="0.4">
      <c r="A29" s="6">
        <v>43678</v>
      </c>
      <c r="B29">
        <f>(mpf_monthly_price!B30-MAX(mpf_monthly_price!B$2:B30))/MAX(mpf_monthly_price!B$2:B30)</f>
        <v>-0.18117056170561702</v>
      </c>
      <c r="C29">
        <f>(mpf_monthly_price!C30-MAX(mpf_monthly_price!C$2:C30))/MAX(mpf_monthly_price!C$2:C30)</f>
        <v>-0.14358180058083259</v>
      </c>
      <c r="D29">
        <f>(mpf_monthly_price!D30-MAX(mpf_monthly_price!D$2:D30))/MAX(mpf_monthly_price!D$2:D30)</f>
        <v>0</v>
      </c>
      <c r="E29">
        <f>(mpf_monthly_price!E30-MAX(mpf_monthly_price!E$2:E30))/MAX(mpf_monthly_price!E$2:E30)</f>
        <v>-1.4004376367615281E-3</v>
      </c>
      <c r="F29">
        <f>(mpf_monthly_price!F30-MAX(mpf_monthly_price!F$2:F30))/MAX(mpf_monthly_price!F$2:F30)</f>
        <v>-0.13346556076451502</v>
      </c>
      <c r="G29">
        <f>(mpf_monthly_price!G30-MAX(mpf_monthly_price!G$2:G30))/MAX(mpf_monthly_price!G$2:G30)</f>
        <v>-5.3673005038192785E-2</v>
      </c>
      <c r="H29">
        <f>(mpf_monthly_price!H30-MAX(mpf_monthly_price!H$2:H30))/MAX(mpf_monthly_price!H$2:H30)</f>
        <v>-0.10151453131395827</v>
      </c>
      <c r="I29">
        <f>(mpf_monthly_price!I30-MAX(mpf_monthly_price!I$2:I30))/MAX(mpf_monthly_price!I$2:I30)</f>
        <v>-2.0709070954812253E-2</v>
      </c>
      <c r="J29">
        <f>(mpf_monthly_price!J30-MAX(mpf_monthly_price!J$2:J30))/MAX(mpf_monthly_price!J$2:J30)</f>
        <v>0</v>
      </c>
      <c r="K29">
        <f>(mpf_monthly_price!K30-MAX(mpf_monthly_price!K$2:K30))/MAX(mpf_monthly_price!K$2:K30)</f>
        <v>-6.3359770578482716E-2</v>
      </c>
    </row>
    <row r="30" spans="1:11" x14ac:dyDescent="0.4">
      <c r="A30" s="6">
        <v>43709</v>
      </c>
      <c r="B30">
        <f>(mpf_monthly_price!B31-MAX(mpf_monthly_price!B$2:B31))/MAX(mpf_monthly_price!B$2:B31)</f>
        <v>-0.16851168511685113</v>
      </c>
      <c r="C30">
        <f>(mpf_monthly_price!C31-MAX(mpf_monthly_price!C$2:C31))/MAX(mpf_monthly_price!C$2:C31)</f>
        <v>-0.11361084220716361</v>
      </c>
      <c r="D30">
        <f>(mpf_monthly_price!D31-MAX(mpf_monthly_price!D$2:D31))/MAX(mpf_monthly_price!D$2:D31)</f>
        <v>-2.1968365553602814E-3</v>
      </c>
      <c r="E30">
        <f>(mpf_monthly_price!E31-MAX(mpf_monthly_price!E$2:E31))/MAX(mpf_monthly_price!E$2:E31)</f>
        <v>0</v>
      </c>
      <c r="F30">
        <f>(mpf_monthly_price!F31-MAX(mpf_monthly_price!F$2:F31))/MAX(mpf_monthly_price!F$2:F31)</f>
        <v>-0.11943743238369997</v>
      </c>
      <c r="G30">
        <f>(mpf_monthly_price!G31-MAX(mpf_monthly_price!G$2:G31))/MAX(mpf_monthly_price!G$2:G31)</f>
        <v>-3.4617259873232609E-2</v>
      </c>
      <c r="H30">
        <f>(mpf_monthly_price!H31-MAX(mpf_monthly_price!H$2:H31))/MAX(mpf_monthly_price!H$2:H31)</f>
        <v>-9.2713876381498181E-2</v>
      </c>
      <c r="I30">
        <f>(mpf_monthly_price!I31-MAX(mpf_monthly_price!I$2:I31))/MAX(mpf_monthly_price!I$2:I31)</f>
        <v>-1.4315026005629764E-3</v>
      </c>
      <c r="J30">
        <f>(mpf_monthly_price!J31-MAX(mpf_monthly_price!J$2:J31))/MAX(mpf_monthly_price!J$2:J31)</f>
        <v>0</v>
      </c>
      <c r="K30">
        <f>(mpf_monthly_price!K31-MAX(mpf_monthly_price!K$2:K31))/MAX(mpf_monthly_price!K$2:K31)</f>
        <v>-5.856521933951693E-2</v>
      </c>
    </row>
    <row r="31" spans="1:11" x14ac:dyDescent="0.4">
      <c r="A31" s="6">
        <v>43739</v>
      </c>
      <c r="B31">
        <f>(mpf_monthly_price!B32-MAX(mpf_monthly_price!B$2:B32))/MAX(mpf_monthly_price!B$2:B32)</f>
        <v>-0.1344300943009431</v>
      </c>
      <c r="C31">
        <f>(mpf_monthly_price!C32-MAX(mpf_monthly_price!C$2:C32))/MAX(mpf_monthly_price!C$2:C32)</f>
        <v>-7.3533397870280764E-2</v>
      </c>
      <c r="D31">
        <f>(mpf_monthly_price!D32-MAX(mpf_monthly_price!D$2:D32))/MAX(mpf_monthly_price!D$2:D32)</f>
        <v>0</v>
      </c>
      <c r="E31">
        <f>(mpf_monthly_price!E32-MAX(mpf_monthly_price!E$2:E32))/MAX(mpf_monthly_price!E$2:E32)</f>
        <v>0</v>
      </c>
      <c r="F31">
        <f>(mpf_monthly_price!F32-MAX(mpf_monthly_price!F$2:F32))/MAX(mpf_monthly_price!F$2:F32)</f>
        <v>-8.8532275513883915E-2</v>
      </c>
      <c r="G31">
        <f>(mpf_monthly_price!G32-MAX(mpf_monthly_price!G$2:G32))/MAX(mpf_monthly_price!G$2:G32)</f>
        <v>-9.3856655290102484E-3</v>
      </c>
      <c r="H31">
        <f>(mpf_monthly_price!H32-MAX(mpf_monthly_price!H$2:H32))/MAX(mpf_monthly_price!H$2:H32)</f>
        <v>-6.6107245190339683E-2</v>
      </c>
      <c r="I31">
        <f>(mpf_monthly_price!I32-MAX(mpf_monthly_price!I$2:I32))/MAX(mpf_monthly_price!I$2:I32)</f>
        <v>0</v>
      </c>
      <c r="J31">
        <f>(mpf_monthly_price!J32-MAX(mpf_monthly_price!J$2:J32))/MAX(mpf_monthly_price!J$2:J32)</f>
        <v>0</v>
      </c>
      <c r="K31">
        <f>(mpf_monthly_price!K32-MAX(mpf_monthly_price!K$2:K32))/MAX(mpf_monthly_price!K$2:K32)</f>
        <v>-3.7236187659631555E-2</v>
      </c>
    </row>
    <row r="32" spans="1:11" x14ac:dyDescent="0.4">
      <c r="A32" s="6">
        <v>43770</v>
      </c>
      <c r="B32">
        <f>(mpf_monthly_price!B33-MAX(mpf_monthly_price!B$2:B33))/MAX(mpf_monthly_price!B$2:B33)</f>
        <v>-0.15990159901599024</v>
      </c>
      <c r="C32">
        <f>(mpf_monthly_price!C33-MAX(mpf_monthly_price!C$2:C33))/MAX(mpf_monthly_price!C$2:C33)</f>
        <v>-7.802516940948695E-2</v>
      </c>
      <c r="D32">
        <f>(mpf_monthly_price!D33-MAX(mpf_monthly_price!D$2:D33))/MAX(mpf_monthly_price!D$2:D33)</f>
        <v>-5.4371656581601729E-3</v>
      </c>
      <c r="E32">
        <f>(mpf_monthly_price!E33-MAX(mpf_monthly_price!E$2:E33))/MAX(mpf_monthly_price!E$2:E33)</f>
        <v>0</v>
      </c>
      <c r="F32">
        <f>(mpf_monthly_price!F33-MAX(mpf_monthly_price!F$2:F33))/MAX(mpf_monthly_price!F$2:F33)</f>
        <v>-8.9397764154345541E-2</v>
      </c>
      <c r="G32">
        <f>(mpf_monthly_price!G33-MAX(mpf_monthly_price!G$2:G33))/MAX(mpf_monthly_price!G$2:G33)</f>
        <v>0</v>
      </c>
      <c r="H32">
        <f>(mpf_monthly_price!H33-MAX(mpf_monthly_price!H$2:H33))/MAX(mpf_monthly_price!H$2:H33)</f>
        <v>-6.8000409332787518E-2</v>
      </c>
      <c r="I32">
        <f>(mpf_monthly_price!I33-MAX(mpf_monthly_price!I$2:I33))/MAX(mpf_monthly_price!I$2:I33)</f>
        <v>0</v>
      </c>
      <c r="J32">
        <f>(mpf_monthly_price!J33-MAX(mpf_monthly_price!J$2:J33))/MAX(mpf_monthly_price!J$2:J33)</f>
        <v>0</v>
      </c>
      <c r="K32">
        <f>(mpf_monthly_price!K33-MAX(mpf_monthly_price!K$2:K33))/MAX(mpf_monthly_price!K$2:K33)</f>
        <v>-4.149303221759193E-2</v>
      </c>
    </row>
    <row r="33" spans="1:11" x14ac:dyDescent="0.4">
      <c r="A33" s="6">
        <v>43800</v>
      </c>
      <c r="B33">
        <f>(mpf_monthly_price!B34-MAX(mpf_monthly_price!B$2:B34))/MAX(mpf_monthly_price!B$2:B34)</f>
        <v>-9.7478474784747901E-2</v>
      </c>
      <c r="C33">
        <f>(mpf_monthly_price!C34-MAX(mpf_monthly_price!C$2:C34))/MAX(mpf_monthly_price!C$2:C34)</f>
        <v>-3.5508228460793753E-2</v>
      </c>
      <c r="D33">
        <f>(mpf_monthly_price!D34-MAX(mpf_monthly_price!D$2:D34))/MAX(mpf_monthly_price!D$2:D34)</f>
        <v>-2.0170130667368585E-3</v>
      </c>
      <c r="E33">
        <f>(mpf_monthly_price!E34-MAX(mpf_monthly_price!E$2:E34))/MAX(mpf_monthly_price!E$2:E34)</f>
        <v>0</v>
      </c>
      <c r="F33">
        <f>(mpf_monthly_price!F34-MAX(mpf_monthly_price!F$2:F34))/MAX(mpf_monthly_price!F$2:F34)</f>
        <v>-5.5030652722682982E-2</v>
      </c>
      <c r="G33">
        <f>(mpf_monthly_price!G34-MAX(mpf_monthly_price!G$2:G34))/MAX(mpf_monthly_price!G$2:G34)</f>
        <v>0</v>
      </c>
      <c r="H33">
        <f>(mpf_monthly_price!H34-MAX(mpf_monthly_price!H$2:H34))/MAX(mpf_monthly_price!H$2:H34)</f>
        <v>-3.4076954564060562E-2</v>
      </c>
      <c r="I33">
        <f>(mpf_monthly_price!I34-MAX(mpf_monthly_price!I$2:I34))/MAX(mpf_monthly_price!I$2:I34)</f>
        <v>0</v>
      </c>
      <c r="J33">
        <f>(mpf_monthly_price!J34-MAX(mpf_monthly_price!J$2:J34))/MAX(mpf_monthly_price!J$2:J34)</f>
        <v>0</v>
      </c>
      <c r="K33">
        <f>(mpf_monthly_price!K34-MAX(mpf_monthly_price!K$2:K34))/MAX(mpf_monthly_price!K$2:K34)</f>
        <v>-1.9491867186449768E-2</v>
      </c>
    </row>
    <row r="34" spans="1:11" x14ac:dyDescent="0.4">
      <c r="A34" s="6">
        <v>43831</v>
      </c>
      <c r="B34">
        <f>(mpf_monthly_price!B35-MAX(mpf_monthly_price!B$2:B35))/MAX(mpf_monthly_price!B$2:B35)</f>
        <v>-0.1629766297662977</v>
      </c>
      <c r="C34">
        <f>(mpf_monthly_price!C35-MAX(mpf_monthly_price!C$2:C35))/MAX(mpf_monthly_price!C$2:C35)</f>
        <v>-7.4617618586640885E-2</v>
      </c>
      <c r="D34">
        <f>(mpf_monthly_price!D35-MAX(mpf_monthly_price!D$2:D35))/MAX(mpf_monthly_price!D$2:D35)</f>
        <v>-2.6308866087872612E-4</v>
      </c>
      <c r="E34">
        <f>(mpf_monthly_price!E35-MAX(mpf_monthly_price!E$2:E35))/MAX(mpf_monthly_price!E$2:E35)</f>
        <v>-6.6600066600077746E-4</v>
      </c>
      <c r="F34">
        <f>(mpf_monthly_price!F35-MAX(mpf_monthly_price!F$2:F35))/MAX(mpf_monthly_price!F$2:F35)</f>
        <v>-8.5214569058781192E-2</v>
      </c>
      <c r="G34">
        <f>(mpf_monthly_price!G35-MAX(mpf_monthly_price!G$2:G35))/MAX(mpf_monthly_price!G$2:G35)</f>
        <v>-4.9067713444553487E-3</v>
      </c>
      <c r="H34">
        <f>(mpf_monthly_price!H35-MAX(mpf_monthly_price!H$2:H35))/MAX(mpf_monthly_price!H$2:H35)</f>
        <v>-6.4469914040114581E-2</v>
      </c>
      <c r="I34">
        <f>(mpf_monthly_price!I35-MAX(mpf_monthly_price!I$2:I35))/MAX(mpf_monthly_price!I$2:I35)</f>
        <v>-1.761529609630871E-2</v>
      </c>
      <c r="J34">
        <f>(mpf_monthly_price!J35-MAX(mpf_monthly_price!J$2:J35))/MAX(mpf_monthly_price!J$2:J35)</f>
        <v>0</v>
      </c>
      <c r="K34">
        <f>(mpf_monthly_price!K35-MAX(mpf_monthly_price!K$2:K35))/MAX(mpf_monthly_price!K$2:K35)</f>
        <v>-3.3741094233095854E-2</v>
      </c>
    </row>
    <row r="35" spans="1:11" x14ac:dyDescent="0.4">
      <c r="A35" s="6">
        <v>43862</v>
      </c>
      <c r="B35">
        <f>(mpf_monthly_price!B36-MAX(mpf_monthly_price!B$2:B36))/MAX(mpf_monthly_price!B$2:B36)</f>
        <v>-0.16307913079130787</v>
      </c>
      <c r="C35">
        <f>(mpf_monthly_price!C36-MAX(mpf_monthly_price!C$2:C36))/MAX(mpf_monthly_price!C$2:C36)</f>
        <v>-0.14338818973862535</v>
      </c>
      <c r="D35">
        <f>(mpf_monthly_price!D36-MAX(mpf_monthly_price!D$2:D36))/MAX(mpf_monthly_price!D$2:D36)</f>
        <v>0</v>
      </c>
      <c r="E35">
        <f>(mpf_monthly_price!E36-MAX(mpf_monthly_price!E$2:E36))/MAX(mpf_monthly_price!E$2:E36)</f>
        <v>-4.087579087579099E-2</v>
      </c>
      <c r="F35">
        <f>(mpf_monthly_price!F36-MAX(mpf_monthly_price!F$2:F36))/MAX(mpf_monthly_price!F$2:F36)</f>
        <v>-0.13079697078975841</v>
      </c>
      <c r="G35">
        <f>(mpf_monthly_price!G36-MAX(mpf_monthly_price!G$2:G36))/MAX(mpf_monthly_price!G$2:G36)</f>
        <v>-8.6555446516192389E-2</v>
      </c>
      <c r="H35">
        <f>(mpf_monthly_price!H36-MAX(mpf_monthly_price!H$2:H36))/MAX(mpf_monthly_price!H$2:H36)</f>
        <v>-0.10571019238641013</v>
      </c>
      <c r="I35">
        <f>(mpf_monthly_price!I36-MAX(mpf_monthly_price!I$2:I36))/MAX(mpf_monthly_price!I$2:I36)</f>
        <v>-0.10290342568823582</v>
      </c>
      <c r="J35">
        <f>(mpf_monthly_price!J36-MAX(mpf_monthly_price!J$2:J36))/MAX(mpf_monthly_price!J$2:J36)</f>
        <v>0</v>
      </c>
      <c r="K35">
        <f>(mpf_monthly_price!K36-MAX(mpf_monthly_price!K$2:K36))/MAX(mpf_monthly_price!K$2:K36)</f>
        <v>-5.8923690460187202E-2</v>
      </c>
    </row>
    <row r="36" spans="1:11" x14ac:dyDescent="0.4">
      <c r="A36" s="6">
        <v>43891</v>
      </c>
      <c r="B36">
        <f>(mpf_monthly_price!B37-MAX(mpf_monthly_price!B$2:B37))/MAX(mpf_monthly_price!B$2:B37)</f>
        <v>-0.25840508405084056</v>
      </c>
      <c r="C36">
        <f>(mpf_monthly_price!C37-MAX(mpf_monthly_price!C$2:C37))/MAX(mpf_monthly_price!C$2:C37)</f>
        <v>-0.31097773475314616</v>
      </c>
      <c r="D36">
        <f>(mpf_monthly_price!D37-MAX(mpf_monthly_price!D$2:D37))/MAX(mpf_monthly_price!D$2:D37)</f>
        <v>-2.6877954824023755E-2</v>
      </c>
      <c r="E36">
        <f>(mpf_monthly_price!E37-MAX(mpf_monthly_price!E$2:E37))/MAX(mpf_monthly_price!E$2:E37)</f>
        <v>-0.13719613719613724</v>
      </c>
      <c r="F36">
        <f>(mpf_monthly_price!F37-MAX(mpf_monthly_price!F$2:F37))/MAX(mpf_monthly_price!F$2:F37)</f>
        <v>-0.25077533357374693</v>
      </c>
      <c r="G36">
        <f>(mpf_monthly_price!G37-MAX(mpf_monthly_price!G$2:G37))/MAX(mpf_monthly_price!G$2:G37)</f>
        <v>-0.24294406280667316</v>
      </c>
      <c r="H36">
        <f>(mpf_monthly_price!H37-MAX(mpf_monthly_price!H$2:H37))/MAX(mpf_monthly_price!H$2:H37)</f>
        <v>-0.19765656979124024</v>
      </c>
      <c r="I36">
        <f>(mpf_monthly_price!I37-MAX(mpf_monthly_price!I$2:I37))/MAX(mpf_monthly_price!I$2:I37)</f>
        <v>-0.28711162255466055</v>
      </c>
      <c r="J36">
        <f>(mpf_monthly_price!J37-MAX(mpf_monthly_price!J$2:J37))/MAX(mpf_monthly_price!J$2:J37)</f>
        <v>0</v>
      </c>
      <c r="K36">
        <f>(mpf_monthly_price!K37-MAX(mpf_monthly_price!K$2:K37))/MAX(mpf_monthly_price!K$2:K37)</f>
        <v>-0.1447327149706501</v>
      </c>
    </row>
    <row r="37" spans="1:11" x14ac:dyDescent="0.4">
      <c r="A37" s="6">
        <v>43922</v>
      </c>
      <c r="B37">
        <f>(mpf_monthly_price!B38-MAX(mpf_monthly_price!B$2:B38))/MAX(mpf_monthly_price!B$2:B38)</f>
        <v>-0.20976834768347685</v>
      </c>
      <c r="C37">
        <f>(mpf_monthly_price!C38-MAX(mpf_monthly_price!C$2:C38))/MAX(mpf_monthly_price!C$2:C38)</f>
        <v>-0.22489835430784128</v>
      </c>
      <c r="D37">
        <f>(mpf_monthly_price!D38-MAX(mpf_monthly_price!D$2:D38))/MAX(mpf_monthly_price!D$2:D38)</f>
        <v>-2.7140605848363008E-3</v>
      </c>
      <c r="E37">
        <f>(mpf_monthly_price!E38-MAX(mpf_monthly_price!E$2:E38))/MAX(mpf_monthly_price!E$2:E38)</f>
        <v>-5.6193806193806289E-2</v>
      </c>
      <c r="F37">
        <f>(mpf_monthly_price!F38-MAX(mpf_monthly_price!F$2:F38))/MAX(mpf_monthly_price!F$2:F38)</f>
        <v>-0.17497295347998559</v>
      </c>
      <c r="G37">
        <f>(mpf_monthly_price!G38-MAX(mpf_monthly_price!G$2:G38))/MAX(mpf_monthly_price!G$2:G38)</f>
        <v>-9.4367026496565226E-2</v>
      </c>
      <c r="H37">
        <f>(mpf_monthly_price!H38-MAX(mpf_monthly_price!H$2:H38))/MAX(mpf_monthly_price!H$2:H38)</f>
        <v>-0.15242529676627095</v>
      </c>
      <c r="I37">
        <f>(mpf_monthly_price!I38-MAX(mpf_monthly_price!I$2:I38))/MAX(mpf_monthly_price!I$2:I38)</f>
        <v>-0.15597061166681425</v>
      </c>
      <c r="J37">
        <f>(mpf_monthly_price!J38-MAX(mpf_monthly_price!J$2:J38))/MAX(mpf_monthly_price!J$2:J38)</f>
        <v>0</v>
      </c>
      <c r="K37">
        <f>(mpf_monthly_price!K38-MAX(mpf_monthly_price!K$2:K38))/MAX(mpf_monthly_price!K$2:K38)</f>
        <v>-9.1634180221355874E-2</v>
      </c>
    </row>
    <row r="38" spans="1:11" x14ac:dyDescent="0.4">
      <c r="A38" s="6">
        <v>43952</v>
      </c>
      <c r="B38">
        <f>(mpf_monthly_price!B39-MAX(mpf_monthly_price!B$2:B39))/MAX(mpf_monthly_price!B$2:B39)</f>
        <v>-0.23195981959819592</v>
      </c>
      <c r="C38">
        <f>(mpf_monthly_price!C39-MAX(mpf_monthly_price!C$2:C39))/MAX(mpf_monthly_price!C$2:C39)</f>
        <v>-0.17084220716360118</v>
      </c>
      <c r="D38">
        <f>(mpf_monthly_price!D39-MAX(mpf_monthly_price!D$2:D39))/MAX(mpf_monthly_price!D$2:D39)</f>
        <v>0</v>
      </c>
      <c r="E38">
        <f>(mpf_monthly_price!E39-MAX(mpf_monthly_price!E$2:E39))/MAX(mpf_monthly_price!E$2:E39)</f>
        <v>-3.046953046953044E-2</v>
      </c>
      <c r="F38">
        <f>(mpf_monthly_price!F39-MAX(mpf_monthly_price!F$2:F39))/MAX(mpf_monthly_price!F$2:F39)</f>
        <v>-0.14305805986296435</v>
      </c>
      <c r="G38">
        <f>(mpf_monthly_price!G39-MAX(mpf_monthly_price!G$2:G39))/MAX(mpf_monthly_price!G$2:G39)</f>
        <v>-5.9352306182531914E-2</v>
      </c>
      <c r="H38">
        <f>(mpf_monthly_price!H39-MAX(mpf_monthly_price!H$2:H39))/MAX(mpf_monthly_price!H$2:H39)</f>
        <v>-0.1276094965206713</v>
      </c>
      <c r="I38">
        <f>(mpf_monthly_price!I39-MAX(mpf_monthly_price!I$2:I39))/MAX(mpf_monthly_price!I$2:I39)</f>
        <v>-0.11919093564663188</v>
      </c>
      <c r="J38">
        <f>(mpf_monthly_price!J39-MAX(mpf_monthly_price!J$2:J39))/MAX(mpf_monthly_price!J$2:J39)</f>
        <v>0</v>
      </c>
      <c r="K38">
        <f>(mpf_monthly_price!K39-MAX(mpf_monthly_price!K$2:K39))/MAX(mpf_monthly_price!K$2:K39)</f>
        <v>-6.869202849845403E-2</v>
      </c>
    </row>
    <row r="39" spans="1:11" x14ac:dyDescent="0.4">
      <c r="A39" s="6">
        <v>43983</v>
      </c>
      <c r="B39">
        <f>(mpf_monthly_price!B40-MAX(mpf_monthly_price!B$2:B40))/MAX(mpf_monthly_price!B$2:B40)</f>
        <v>-0.20869208692086919</v>
      </c>
      <c r="C39">
        <f>(mpf_monthly_price!C40-MAX(mpf_monthly_price!C$2:C40))/MAX(mpf_monthly_price!C$2:C40)</f>
        <v>-0.13413359148112289</v>
      </c>
      <c r="D39">
        <f>(mpf_monthly_price!D40-MAX(mpf_monthly_price!D$2:D40))/MAX(mpf_monthly_price!D$2:D40)</f>
        <v>0</v>
      </c>
      <c r="E39">
        <f>(mpf_monthly_price!E40-MAX(mpf_monthly_price!E$2:E40))/MAX(mpf_monthly_price!E$2:E40)</f>
        <v>-1.6067266067266144E-2</v>
      </c>
      <c r="F39">
        <f>(mpf_monthly_price!F40-MAX(mpf_monthly_price!F$2:F40))/MAX(mpf_monthly_price!F$2:F40)</f>
        <v>-0.1139199423007573</v>
      </c>
      <c r="G39">
        <f>(mpf_monthly_price!G40-MAX(mpf_monthly_price!G$2:G40))/MAX(mpf_monthly_price!G$2:G40)</f>
        <v>-4.2551521099116793E-2</v>
      </c>
      <c r="H39">
        <f>(mpf_monthly_price!H40-MAX(mpf_monthly_price!H$2:H40))/MAX(mpf_monthly_price!H$2:H40)</f>
        <v>-0.10386819484240693</v>
      </c>
      <c r="I39">
        <f>(mpf_monthly_price!I40-MAX(mpf_monthly_price!I$2:I40))/MAX(mpf_monthly_price!I$2:I40)</f>
        <v>-0.1056917765778525</v>
      </c>
      <c r="J39">
        <f>(mpf_monthly_price!J40-MAX(mpf_monthly_price!J$2:J40))/MAX(mpf_monthly_price!J$2:J40)</f>
        <v>0</v>
      </c>
      <c r="K39">
        <f>(mpf_monthly_price!K40-MAX(mpf_monthly_price!K$2:K40))/MAX(mpf_monthly_price!K$2:K40)</f>
        <v>-4.7497423488820162E-2</v>
      </c>
    </row>
    <row r="40" spans="1:11" x14ac:dyDescent="0.4">
      <c r="A40" s="6">
        <v>44013</v>
      </c>
      <c r="B40">
        <f>(mpf_monthly_price!B41-MAX(mpf_monthly_price!B$2:B41))/MAX(mpf_monthly_price!B$2:B41)</f>
        <v>-0.19300943009430091</v>
      </c>
      <c r="C40">
        <f>(mpf_monthly_price!C41-MAX(mpf_monthly_price!C$2:C41))/MAX(mpf_monthly_price!C$2:C41)</f>
        <v>-5.122942884801545E-2</v>
      </c>
      <c r="D40">
        <f>(mpf_monthly_price!D41-MAX(mpf_monthly_price!D$2:D41))/MAX(mpf_monthly_price!D$2:D41)</f>
        <v>0</v>
      </c>
      <c r="E40">
        <f>(mpf_monthly_price!E41-MAX(mpf_monthly_price!E$2:E41))/MAX(mpf_monthly_price!E$2:E41)</f>
        <v>0</v>
      </c>
      <c r="F40">
        <f>(mpf_monthly_price!F41-MAX(mpf_monthly_price!F$2:F41))/MAX(mpf_monthly_price!F$2:F41)</f>
        <v>-7.44680851063831E-2</v>
      </c>
      <c r="G40">
        <f>(mpf_monthly_price!G41-MAX(mpf_monthly_price!G$2:G41))/MAX(mpf_monthly_price!G$2:G41)</f>
        <v>0</v>
      </c>
      <c r="H40">
        <f>(mpf_monthly_price!H41-MAX(mpf_monthly_price!H$2:H41))/MAX(mpf_monthly_price!H$2:H41)</f>
        <v>-6.7795742939009418E-2</v>
      </c>
      <c r="I40">
        <f>(mpf_monthly_price!I41-MAX(mpf_monthly_price!I$2:I41))/MAX(mpf_monthly_price!I$2:I41)</f>
        <v>-5.0677170930335434E-2</v>
      </c>
      <c r="J40">
        <f>(mpf_monthly_price!J41-MAX(mpf_monthly_price!J$2:J41))/MAX(mpf_monthly_price!J$2:J41)</f>
        <v>0</v>
      </c>
      <c r="K40">
        <f>(mpf_monthly_price!K41-MAX(mpf_monthly_price!K$2:K41))/MAX(mpf_monthly_price!K$2:K41)</f>
        <v>-1.2815342563964625E-2</v>
      </c>
    </row>
    <row r="41" spans="1:11" x14ac:dyDescent="0.4">
      <c r="A41" s="6">
        <v>44044</v>
      </c>
      <c r="B41">
        <f>(mpf_monthly_price!B42-MAX(mpf_monthly_price!B$2:B42))/MAX(mpf_monthly_price!B$2:B42)</f>
        <v>-0.17860803608036077</v>
      </c>
      <c r="C41">
        <f>(mpf_monthly_price!C42-MAX(mpf_monthly_price!C$2:C42))/MAX(mpf_monthly_price!C$2:C42)</f>
        <v>-2.5827686350435575E-2</v>
      </c>
      <c r="D41">
        <f>(mpf_monthly_price!D42-MAX(mpf_monthly_price!D$2:D42))/MAX(mpf_monthly_price!D$2:D42)</f>
        <v>-5.8788947677830842E-4</v>
      </c>
      <c r="E41">
        <f>(mpf_monthly_price!E42-MAX(mpf_monthly_price!E$2:E42))/MAX(mpf_monthly_price!E$2:E42)</f>
        <v>0</v>
      </c>
      <c r="F41">
        <f>(mpf_monthly_price!F42-MAX(mpf_monthly_price!F$2:F42))/MAX(mpf_monthly_price!F$2:F42)</f>
        <v>-2.1168409664623168E-2</v>
      </c>
      <c r="G41">
        <f>(mpf_monthly_price!G42-MAX(mpf_monthly_price!G$2:G42))/MAX(mpf_monthly_price!G$2:G42)</f>
        <v>0</v>
      </c>
      <c r="H41">
        <f>(mpf_monthly_price!H42-MAX(mpf_monthly_price!H$2:H42))/MAX(mpf_monthly_price!H$2:H42)</f>
        <v>-2.9267294310274247E-2</v>
      </c>
      <c r="I41">
        <f>(mpf_monthly_price!I42-MAX(mpf_monthly_price!I$2:I42))/MAX(mpf_monthly_price!I$2:I42)</f>
        <v>0</v>
      </c>
      <c r="J41">
        <f>(mpf_monthly_price!J42-MAX(mpf_monthly_price!J$2:J42))/MAX(mpf_monthly_price!J$2:J42)</f>
        <v>0</v>
      </c>
      <c r="K41">
        <f>(mpf_monthly_price!K42-MAX(mpf_monthly_price!K$2:K42))/MAX(mpf_monthly_price!K$2:K42)</f>
        <v>0</v>
      </c>
    </row>
    <row r="42" spans="1:11" x14ac:dyDescent="0.4">
      <c r="A42" s="6">
        <v>44075</v>
      </c>
      <c r="B42">
        <f>(mpf_monthly_price!B43-MAX(mpf_monthly_price!B$2:B43))/MAX(mpf_monthly_price!B$2:B43)</f>
        <v>-0.22924354243542444</v>
      </c>
      <c r="C42">
        <f>(mpf_monthly_price!C43-MAX(mpf_monthly_price!C$2:C43))/MAX(mpf_monthly_price!C$2:C43)</f>
        <v>-4.1161665053242966E-2</v>
      </c>
      <c r="D42">
        <f>(mpf_monthly_price!D43-MAX(mpf_monthly_price!D$2:D43))/MAX(mpf_monthly_price!D$2:D43)</f>
        <v>-4.199210548416659E-4</v>
      </c>
      <c r="E42">
        <f>(mpf_monthly_price!E43-MAX(mpf_monthly_price!E$2:E43))/MAX(mpf_monthly_price!E$2:E43)</f>
        <v>-2.0709825310252155E-2</v>
      </c>
      <c r="F42">
        <f>(mpf_monthly_price!F43-MAX(mpf_monthly_price!F$2:F43))/MAX(mpf_monthly_price!F$2:F43)</f>
        <v>-5.2758745041471315E-2</v>
      </c>
      <c r="G42">
        <f>(mpf_monthly_price!G43-MAX(mpf_monthly_price!G$2:G43))/MAX(mpf_monthly_price!G$2:G43)</f>
        <v>-5.0077907018879042E-2</v>
      </c>
      <c r="H42">
        <f>(mpf_monthly_price!H43-MAX(mpf_monthly_price!H$2:H43))/MAX(mpf_monthly_price!H$2:H43)</f>
        <v>-5.4543593941874725E-2</v>
      </c>
      <c r="I42">
        <f>(mpf_monthly_price!I43-MAX(mpf_monthly_price!I$2:I43))/MAX(mpf_monthly_price!I$2:I43)</f>
        <v>-5.3007403513383372E-2</v>
      </c>
      <c r="J42">
        <f>(mpf_monthly_price!J43-MAX(mpf_monthly_price!J$2:J43))/MAX(mpf_monthly_price!J$2:J43)</f>
        <v>0</v>
      </c>
      <c r="K42">
        <f>(mpf_monthly_price!K43-MAX(mpf_monthly_price!K$2:K43))/MAX(mpf_monthly_price!K$2:K43)</f>
        <v>-2.0304792107117626E-2</v>
      </c>
    </row>
    <row r="43" spans="1:11" x14ac:dyDescent="0.4">
      <c r="A43" s="6">
        <v>44105</v>
      </c>
      <c r="B43">
        <f>(mpf_monthly_price!B44-MAX(mpf_monthly_price!B$2:B44))/MAX(mpf_monthly_price!B$2:B44)</f>
        <v>-0.20838458384583844</v>
      </c>
      <c r="C43">
        <f>(mpf_monthly_price!C44-MAX(mpf_monthly_price!C$2:C44))/MAX(mpf_monthly_price!C$2:C44)</f>
        <v>-2.4975798644724059E-2</v>
      </c>
      <c r="D43">
        <f>(mpf_monthly_price!D44-MAX(mpf_monthly_price!D$2:D44))/MAX(mpf_monthly_price!D$2:D44)</f>
        <v>0</v>
      </c>
      <c r="E43">
        <f>(mpf_monthly_price!E44-MAX(mpf_monthly_price!E$2:E44))/MAX(mpf_monthly_price!E$2:E44)</f>
        <v>-3.5886491186467383E-2</v>
      </c>
      <c r="F43">
        <f>(mpf_monthly_price!F44-MAX(mpf_monthly_price!F$2:F44))/MAX(mpf_monthly_price!F$2:F44)</f>
        <v>-5.5138838802740786E-2</v>
      </c>
      <c r="G43">
        <f>(mpf_monthly_price!G44-MAX(mpf_monthly_price!G$2:G44))/MAX(mpf_monthly_price!G$2:G44)</f>
        <v>-7.5225567996521428E-2</v>
      </c>
      <c r="H43">
        <f>(mpf_monthly_price!H44-MAX(mpf_monthly_price!H$2:H44))/MAX(mpf_monthly_price!H$2:H44)</f>
        <v>-5.8432255423659374E-2</v>
      </c>
      <c r="I43">
        <f>(mpf_monthly_price!I44-MAX(mpf_monthly_price!I$2:I44))/MAX(mpf_monthly_price!I$2:I44)</f>
        <v>-7.4210364918736574E-2</v>
      </c>
      <c r="J43">
        <f>(mpf_monthly_price!J44-MAX(mpf_monthly_price!J$2:J44))/MAX(mpf_monthly_price!J$2:J44)</f>
        <v>0</v>
      </c>
      <c r="K43">
        <f>(mpf_monthly_price!K44-MAX(mpf_monthly_price!K$2:K44))/MAX(mpf_monthly_price!K$2:K44)</f>
        <v>-2.3476039464411489E-2</v>
      </c>
    </row>
    <row r="44" spans="1:11" x14ac:dyDescent="0.4">
      <c r="A44" s="6">
        <v>44136</v>
      </c>
      <c r="B44">
        <f>(mpf_monthly_price!B45-MAX(mpf_monthly_price!B$2:B45))/MAX(mpf_monthly_price!B$2:B45)</f>
        <v>-0.13181631816318162</v>
      </c>
      <c r="C44">
        <f>(mpf_monthly_price!C45-MAX(mpf_monthly_price!C$2:C45))/MAX(mpf_monthly_price!C$2:C45)</f>
        <v>0</v>
      </c>
      <c r="D44">
        <f>(mpf_monthly_price!D45-MAX(mpf_monthly_price!D$2:D45))/MAX(mpf_monthly_price!D$2:D45)</f>
        <v>0</v>
      </c>
      <c r="E44">
        <f>(mpf_monthly_price!E45-MAX(mpf_monthly_price!E$2:E45))/MAX(mpf_monthly_price!E$2:E45)</f>
        <v>0</v>
      </c>
      <c r="F44">
        <f>(mpf_monthly_price!F45-MAX(mpf_monthly_price!F$2:F45))/MAX(mpf_monthly_price!F$2:F45)</f>
        <v>0</v>
      </c>
      <c r="G44">
        <f>(mpf_monthly_price!G45-MAX(mpf_monthly_price!G$2:G45))/MAX(mpf_monthly_price!G$2:G45)</f>
        <v>0</v>
      </c>
      <c r="H44">
        <f>(mpf_monthly_price!H45-MAX(mpf_monthly_price!H$2:H45))/MAX(mpf_monthly_price!H$2:H45)</f>
        <v>0</v>
      </c>
      <c r="I44">
        <f>(mpf_monthly_price!I45-MAX(mpf_monthly_price!I$2:I45))/MAX(mpf_monthly_price!I$2:I45)</f>
        <v>0</v>
      </c>
      <c r="J44">
        <f>(mpf_monthly_price!J45-MAX(mpf_monthly_price!J$2:J45))/MAX(mpf_monthly_price!J$2:J45)</f>
        <v>0</v>
      </c>
      <c r="K44">
        <f>(mpf_monthly_price!K45-MAX(mpf_monthly_price!K$2:K45))/MAX(mpf_monthly_price!K$2:K45)</f>
        <v>0</v>
      </c>
    </row>
    <row r="45" spans="1:11" x14ac:dyDescent="0.4">
      <c r="A45" s="6">
        <v>44166</v>
      </c>
      <c r="B45">
        <f>(mpf_monthly_price!B46-MAX(mpf_monthly_price!B$2:B46))/MAX(mpf_monthly_price!B$2:B46)</f>
        <v>-0.11346863468634694</v>
      </c>
      <c r="C45">
        <f>(mpf_monthly_price!C46-MAX(mpf_monthly_price!C$2:C46))/MAX(mpf_monthly_price!C$2:C46)</f>
        <v>0</v>
      </c>
      <c r="D45">
        <f>(mpf_monthly_price!D46-MAX(mpf_monthly_price!D$2:D46))/MAX(mpf_monthly_price!D$2:D46)</f>
        <v>0</v>
      </c>
      <c r="E45">
        <f>(mpf_monthly_price!E46-MAX(mpf_monthly_price!E$2:E46))/MAX(mpf_monthly_price!E$2:E46)</f>
        <v>0</v>
      </c>
      <c r="F45">
        <f>(mpf_monthly_price!F46-MAX(mpf_monthly_price!F$2:F46))/MAX(mpf_monthly_price!F$2:F46)</f>
        <v>0</v>
      </c>
      <c r="G45">
        <f>(mpf_monthly_price!G46-MAX(mpf_monthly_price!G$2:G46))/MAX(mpf_monthly_price!G$2:G46)</f>
        <v>0</v>
      </c>
      <c r="H45">
        <f>(mpf_monthly_price!H46-MAX(mpf_monthly_price!H$2:H46))/MAX(mpf_monthly_price!H$2:H46)</f>
        <v>0</v>
      </c>
      <c r="I45">
        <f>(mpf_monthly_price!I46-MAX(mpf_monthly_price!I$2:I46))/MAX(mpf_monthly_price!I$2:I46)</f>
        <v>0</v>
      </c>
      <c r="J45">
        <f>(mpf_monthly_price!J46-MAX(mpf_monthly_price!J$2:J46))/MAX(mpf_monthly_price!J$2:J46)</f>
        <v>0</v>
      </c>
      <c r="K45">
        <f>(mpf_monthly_price!K46-MAX(mpf_monthly_price!K$2:K46))/MAX(mpf_monthly_price!K$2:K46)</f>
        <v>0</v>
      </c>
    </row>
    <row r="46" spans="1:11" x14ac:dyDescent="0.4">
      <c r="A46" s="6">
        <v>44197</v>
      </c>
      <c r="B46">
        <f>(mpf_monthly_price!B47-MAX(mpf_monthly_price!B$2:B47))/MAX(mpf_monthly_price!B$2:B47)</f>
        <v>-5.9501845018450253E-2</v>
      </c>
      <c r="C46">
        <f>(mpf_monthly_price!C47-MAX(mpf_monthly_price!C$2:C47))/MAX(mpf_monthly_price!C$2:C47)</f>
        <v>0</v>
      </c>
      <c r="D46">
        <f>(mpf_monthly_price!D47-MAX(mpf_monthly_price!D$2:D47))/MAX(mpf_monthly_price!D$2:D47)</f>
        <v>-7.8881027892981938E-3</v>
      </c>
      <c r="E46">
        <f>(mpf_monthly_price!E47-MAX(mpf_monthly_price!E$2:E47))/MAX(mpf_monthly_price!E$2:E47)</f>
        <v>0</v>
      </c>
      <c r="F46">
        <f>(mpf_monthly_price!F47-MAX(mpf_monthly_price!F$2:F47))/MAX(mpf_monthly_price!F$2:F47)</f>
        <v>0</v>
      </c>
      <c r="G46">
        <f>(mpf_monthly_price!G47-MAX(mpf_monthly_price!G$2:G47))/MAX(mpf_monthly_price!G$2:G47)</f>
        <v>0</v>
      </c>
      <c r="H46">
        <f>(mpf_monthly_price!H47-MAX(mpf_monthly_price!H$2:H47))/MAX(mpf_monthly_price!H$2:H47)</f>
        <v>0</v>
      </c>
      <c r="I46">
        <f>(mpf_monthly_price!I47-MAX(mpf_monthly_price!I$2:I47))/MAX(mpf_monthly_price!I$2:I47)</f>
        <v>-3.6037478978137487E-3</v>
      </c>
      <c r="J46">
        <f>(mpf_monthly_price!J47-MAX(mpf_monthly_price!J$2:J47))/MAX(mpf_monthly_price!J$2:J47)</f>
        <v>0</v>
      </c>
      <c r="K46">
        <f>(mpf_monthly_price!K47-MAX(mpf_monthly_price!K$2:K47))/MAX(mpf_monthly_price!K$2:K47)</f>
        <v>0</v>
      </c>
    </row>
    <row r="47" spans="1:11" x14ac:dyDescent="0.4">
      <c r="A47" s="6">
        <v>44228</v>
      </c>
      <c r="B47">
        <f>(mpf_monthly_price!B48-MAX(mpf_monthly_price!B$2:B48))/MAX(mpf_monthly_price!B$2:B48)</f>
        <v>-4.6791717917179149E-2</v>
      </c>
      <c r="C47">
        <f>(mpf_monthly_price!C48-MAX(mpf_monthly_price!C$2:C48))/MAX(mpf_monthly_price!C$2:C48)</f>
        <v>0</v>
      </c>
      <c r="D47">
        <f>(mpf_monthly_price!D48-MAX(mpf_monthly_price!D$2:D48))/MAX(mpf_monthly_price!D$2:D48)</f>
        <v>-2.3826949662519255E-2</v>
      </c>
      <c r="E47">
        <f>(mpf_monthly_price!E48-MAX(mpf_monthly_price!E$2:E48))/MAX(mpf_monthly_price!E$2:E48)</f>
        <v>0</v>
      </c>
      <c r="F47">
        <f>(mpf_monthly_price!F48-MAX(mpf_monthly_price!F$2:F48))/MAX(mpf_monthly_price!F$2:F48)</f>
        <v>0</v>
      </c>
      <c r="G47">
        <f>(mpf_monthly_price!G48-MAX(mpf_monthly_price!G$2:G48))/MAX(mpf_monthly_price!G$2:G48)</f>
        <v>0</v>
      </c>
      <c r="H47">
        <f>(mpf_monthly_price!H48-MAX(mpf_monthly_price!H$2:H48))/MAX(mpf_monthly_price!H$2:H48)</f>
        <v>0</v>
      </c>
      <c r="I47">
        <f>(mpf_monthly_price!I48-MAX(mpf_monthly_price!I$2:I48))/MAX(mpf_monthly_price!I$2:I48)</f>
        <v>0</v>
      </c>
      <c r="J47">
        <f>(mpf_monthly_price!J48-MAX(mpf_monthly_price!J$2:J48))/MAX(mpf_monthly_price!J$2:J48)</f>
        <v>0</v>
      </c>
      <c r="K47">
        <f>(mpf_monthly_price!K48-MAX(mpf_monthly_price!K$2:K48))/MAX(mpf_monthly_price!K$2:K48)</f>
        <v>0</v>
      </c>
    </row>
    <row r="48" spans="1:11" x14ac:dyDescent="0.4">
      <c r="A48" s="6">
        <v>44256</v>
      </c>
      <c r="B48">
        <f>(mpf_monthly_price!B49-MAX(mpf_monthly_price!B$2:B49))/MAX(mpf_monthly_price!B$2:B49)</f>
        <v>-6.2525625256252645E-2</v>
      </c>
      <c r="C48">
        <f>(mpf_monthly_price!C49-MAX(mpf_monthly_price!C$2:C49))/MAX(mpf_monthly_price!C$2:C49)</f>
        <v>0</v>
      </c>
      <c r="D48">
        <f>(mpf_monthly_price!D49-MAX(mpf_monthly_price!D$2:D49))/MAX(mpf_monthly_price!D$2:D49)</f>
        <v>-4.0579003008863912E-2</v>
      </c>
      <c r="E48">
        <f>(mpf_monthly_price!E49-MAX(mpf_monthly_price!E$2:E49))/MAX(mpf_monthly_price!E$2:E49)</f>
        <v>0</v>
      </c>
      <c r="F48">
        <f>(mpf_monthly_price!F49-MAX(mpf_monthly_price!F$2:F49))/MAX(mpf_monthly_price!F$2:F49)</f>
        <v>0</v>
      </c>
      <c r="G48">
        <f>(mpf_monthly_price!G49-MAX(mpf_monthly_price!G$2:G49))/MAX(mpf_monthly_price!G$2:G49)</f>
        <v>0</v>
      </c>
      <c r="H48">
        <f>(mpf_monthly_price!H49-MAX(mpf_monthly_price!H$2:H49))/MAX(mpf_monthly_price!H$2:H49)</f>
        <v>0</v>
      </c>
      <c r="I48">
        <f>(mpf_monthly_price!I49-MAX(mpf_monthly_price!I$2:I49))/MAX(mpf_monthly_price!I$2:I49)</f>
        <v>0</v>
      </c>
      <c r="J48">
        <f>(mpf_monthly_price!J49-MAX(mpf_monthly_price!J$2:J49))/MAX(mpf_monthly_price!J$2:J49)</f>
        <v>0</v>
      </c>
      <c r="K48">
        <f>(mpf_monthly_price!K49-MAX(mpf_monthly_price!K$2:K49))/MAX(mpf_monthly_price!K$2:K49)</f>
        <v>-2.0949158004995982E-3</v>
      </c>
    </row>
    <row r="49" spans="1:11" x14ac:dyDescent="0.4">
      <c r="A49" s="6">
        <v>44287</v>
      </c>
      <c r="B49">
        <f>(mpf_monthly_price!B50-MAX(mpf_monthly_price!B$2:B50))/MAX(mpf_monthly_price!B$2:B50)</f>
        <v>-7.5389503895038984E-2</v>
      </c>
      <c r="C49">
        <f>(mpf_monthly_price!C50-MAX(mpf_monthly_price!C$2:C50))/MAX(mpf_monthly_price!C$2:C50)</f>
        <v>0</v>
      </c>
      <c r="D49">
        <f>(mpf_monthly_price!D50-MAX(mpf_monthly_price!D$2:D50))/MAX(mpf_monthly_price!D$2:D50)</f>
        <v>-3.0820525331381573E-2</v>
      </c>
      <c r="E49">
        <f>(mpf_monthly_price!E50-MAX(mpf_monthly_price!E$2:E50))/MAX(mpf_monthly_price!E$2:E50)</f>
        <v>0</v>
      </c>
      <c r="F49">
        <f>(mpf_monthly_price!F50-MAX(mpf_monthly_price!F$2:F50))/MAX(mpf_monthly_price!F$2:F50)</f>
        <v>0</v>
      </c>
      <c r="G49">
        <f>(mpf_monthly_price!G50-MAX(mpf_monthly_price!G$2:G50))/MAX(mpf_monthly_price!G$2:G50)</f>
        <v>0</v>
      </c>
      <c r="H49">
        <f>(mpf_monthly_price!H50-MAX(mpf_monthly_price!H$2:H50))/MAX(mpf_monthly_price!H$2:H50)</f>
        <v>0</v>
      </c>
      <c r="I49">
        <f>(mpf_monthly_price!I50-MAX(mpf_monthly_price!I$2:I50))/MAX(mpf_monthly_price!I$2:I50)</f>
        <v>0</v>
      </c>
      <c r="J49">
        <f>(mpf_monthly_price!J50-MAX(mpf_monthly_price!J$2:J50))/MAX(mpf_monthly_price!J$2:J50)</f>
        <v>0</v>
      </c>
      <c r="K49">
        <f>(mpf_monthly_price!K50-MAX(mpf_monthly_price!K$2:K50))/MAX(mpf_monthly_price!K$2:K50)</f>
        <v>0</v>
      </c>
    </row>
    <row r="50" spans="1:11" x14ac:dyDescent="0.4">
      <c r="A50" s="6">
        <v>44317</v>
      </c>
      <c r="B50">
        <f>(mpf_monthly_price!B51-MAX(mpf_monthly_price!B$2:B51))/MAX(mpf_monthly_price!B$2:B51)</f>
        <v>-4.699671996719975E-2</v>
      </c>
      <c r="C50">
        <f>(mpf_monthly_price!C51-MAX(mpf_monthly_price!C$2:C51))/MAX(mpf_monthly_price!C$2:C51)</f>
        <v>0</v>
      </c>
      <c r="D50">
        <f>(mpf_monthly_price!D51-MAX(mpf_monthly_price!D$2:D51))/MAX(mpf_monthly_price!D$2:D51)</f>
        <v>-2.699845490770101E-2</v>
      </c>
      <c r="E50">
        <f>(mpf_monthly_price!E51-MAX(mpf_monthly_price!E$2:E51))/MAX(mpf_monthly_price!E$2:E51)</f>
        <v>0</v>
      </c>
      <c r="F50">
        <f>(mpf_monthly_price!F51-MAX(mpf_monthly_price!F$2:F51))/MAX(mpf_monthly_price!F$2:F51)</f>
        <v>0</v>
      </c>
      <c r="G50">
        <f>(mpf_monthly_price!G51-MAX(mpf_monthly_price!G$2:G51))/MAX(mpf_monthly_price!G$2:G51)</f>
        <v>0</v>
      </c>
      <c r="H50">
        <f>(mpf_monthly_price!H51-MAX(mpf_monthly_price!H$2:H51))/MAX(mpf_monthly_price!H$2:H51)</f>
        <v>0</v>
      </c>
      <c r="I50">
        <f>(mpf_monthly_price!I51-MAX(mpf_monthly_price!I$2:I51))/MAX(mpf_monthly_price!I$2:I51)</f>
        <v>0</v>
      </c>
      <c r="J50">
        <f>(mpf_monthly_price!J51-MAX(mpf_monthly_price!J$2:J51))/MAX(mpf_monthly_price!J$2:J51)</f>
        <v>0</v>
      </c>
      <c r="K50">
        <f>(mpf_monthly_price!K51-MAX(mpf_monthly_price!K$2:K51))/MAX(mpf_monthly_price!K$2:K51)</f>
        <v>0</v>
      </c>
    </row>
    <row r="51" spans="1:11" x14ac:dyDescent="0.4">
      <c r="A51" s="6">
        <v>44348</v>
      </c>
      <c r="B51">
        <f>(mpf_monthly_price!B52-MAX(mpf_monthly_price!B$2:B52))/MAX(mpf_monthly_price!B$2:B52)</f>
        <v>-6.5446904469044748E-2</v>
      </c>
      <c r="C51">
        <f>(mpf_monthly_price!C52-MAX(mpf_monthly_price!C$2:C52))/MAX(mpf_monthly_price!C$2:C52)</f>
        <v>-1.1344942991661467E-2</v>
      </c>
      <c r="D51">
        <f>(mpf_monthly_price!D52-MAX(mpf_monthly_price!D$2:D52))/MAX(mpf_monthly_price!D$2:D52)</f>
        <v>-3.7814101000244009E-2</v>
      </c>
      <c r="E51">
        <f>(mpf_monthly_price!E52-MAX(mpf_monthly_price!E$2:E52))/MAX(mpf_monthly_price!E$2:E52)</f>
        <v>0</v>
      </c>
      <c r="F51">
        <f>(mpf_monthly_price!F52-MAX(mpf_monthly_price!F$2:F52))/MAX(mpf_monthly_price!F$2:F52)</f>
        <v>-8.1391830559757877E-3</v>
      </c>
      <c r="G51">
        <f>(mpf_monthly_price!G52-MAX(mpf_monthly_price!G$2:G52))/MAX(mpf_monthly_price!G$2:G52)</f>
        <v>0</v>
      </c>
      <c r="H51">
        <f>(mpf_monthly_price!H52-MAX(mpf_monthly_price!H$2:H52))/MAX(mpf_monthly_price!H$2:H52)</f>
        <v>-6.9764321810294808E-3</v>
      </c>
      <c r="I51">
        <f>(mpf_monthly_price!I52-MAX(mpf_monthly_price!I$2:I52))/MAX(mpf_monthly_price!I$2:I52)</f>
        <v>0</v>
      </c>
      <c r="J51">
        <f>(mpf_monthly_price!J52-MAX(mpf_monthly_price!J$2:J52))/MAX(mpf_monthly_price!J$2:J52)</f>
        <v>0</v>
      </c>
      <c r="K51">
        <f>(mpf_monthly_price!K52-MAX(mpf_monthly_price!K$2:K52))/MAX(mpf_monthly_price!K$2:K52)</f>
        <v>-5.7246634292707514E-3</v>
      </c>
    </row>
    <row r="52" spans="1:11" x14ac:dyDescent="0.4">
      <c r="A52" s="6">
        <v>44378</v>
      </c>
      <c r="B52">
        <f>(mpf_monthly_price!B53-MAX(mpf_monthly_price!B$2:B53))/MAX(mpf_monthly_price!B$2:B53)</f>
        <v>-0.154110291102911</v>
      </c>
      <c r="C52">
        <f>(mpf_monthly_price!C53-MAX(mpf_monthly_price!C$2:C53))/MAX(mpf_monthly_price!C$2:C53)</f>
        <v>-3.3495944182880488E-2</v>
      </c>
      <c r="D52">
        <f>(mpf_monthly_price!D53-MAX(mpf_monthly_price!D$2:D53))/MAX(mpf_monthly_price!D$2:D53)</f>
        <v>-3.5455802228185729E-2</v>
      </c>
      <c r="E52">
        <f>(mpf_monthly_price!E53-MAX(mpf_monthly_price!E$2:E53))/MAX(mpf_monthly_price!E$2:E53)</f>
        <v>0</v>
      </c>
      <c r="F52">
        <f>(mpf_monthly_price!F53-MAX(mpf_monthly_price!F$2:F53))/MAX(mpf_monthly_price!F$2:F53)</f>
        <v>-3.5794251134644427E-2</v>
      </c>
      <c r="G52">
        <f>(mpf_monthly_price!G53-MAX(mpf_monthly_price!G$2:G53))/MAX(mpf_monthly_price!G$2:G53)</f>
        <v>0</v>
      </c>
      <c r="H52">
        <f>(mpf_monthly_price!H53-MAX(mpf_monthly_price!H$2:H53))/MAX(mpf_monthly_price!H$2:H53)</f>
        <v>-2.8129332319663788E-2</v>
      </c>
      <c r="I52">
        <f>(mpf_monthly_price!I53-MAX(mpf_monthly_price!I$2:I53))/MAX(mpf_monthly_price!I$2:I53)</f>
        <v>0</v>
      </c>
      <c r="J52">
        <f>(mpf_monthly_price!J53-MAX(mpf_monthly_price!J$2:J53))/MAX(mpf_monthly_price!J$2:J53)</f>
        <v>0</v>
      </c>
      <c r="K52">
        <f>(mpf_monthly_price!K53-MAX(mpf_monthly_price!K$2:K53))/MAX(mpf_monthly_price!K$2:K53)</f>
        <v>-1.7213470725255579E-2</v>
      </c>
    </row>
    <row r="53" spans="1:11" x14ac:dyDescent="0.4">
      <c r="A53" s="6">
        <v>44409</v>
      </c>
      <c r="B53">
        <f>(mpf_monthly_price!B54-MAX(mpf_monthly_price!B$2:B54))/MAX(mpf_monthly_price!B$2:B54)</f>
        <v>-0.15211152111521117</v>
      </c>
      <c r="C53">
        <f>(mpf_monthly_price!C54-MAX(mpf_monthly_price!C$2:C54))/MAX(mpf_monthly_price!C$2:C54)</f>
        <v>-1.0040274547620295E-2</v>
      </c>
      <c r="D53">
        <f>(mpf_monthly_price!D54-MAX(mpf_monthly_price!D$2:D54))/MAX(mpf_monthly_price!D$2:D54)</f>
        <v>-3.3097503456127456E-2</v>
      </c>
      <c r="E53">
        <f>(mpf_monthly_price!E54-MAX(mpf_monthly_price!E$2:E54))/MAX(mpf_monthly_price!E$2:E54)</f>
        <v>0</v>
      </c>
      <c r="F53">
        <f>(mpf_monthly_price!F54-MAX(mpf_monthly_price!F$2:F54))/MAX(mpf_monthly_price!F$2:F54)</f>
        <v>-1.5128593040847202E-2</v>
      </c>
      <c r="G53">
        <f>(mpf_monthly_price!G54-MAX(mpf_monthly_price!G$2:G54))/MAX(mpf_monthly_price!G$2:G54)</f>
        <v>0</v>
      </c>
      <c r="H53">
        <f>(mpf_monthly_price!H54-MAX(mpf_monthly_price!H$2:H54))/MAX(mpf_monthly_price!H$2:H54)</f>
        <v>-1.2790125665220756E-2</v>
      </c>
      <c r="I53">
        <f>(mpf_monthly_price!I54-MAX(mpf_monthly_price!I$2:I54))/MAX(mpf_monthly_price!I$2:I54)</f>
        <v>0</v>
      </c>
      <c r="J53">
        <f>(mpf_monthly_price!J54-MAX(mpf_monthly_price!J$2:J54))/MAX(mpf_monthly_price!J$2:J54)</f>
        <v>0</v>
      </c>
      <c r="K53">
        <f>(mpf_monthly_price!K54-MAX(mpf_monthly_price!K$2:K54))/MAX(mpf_monthly_price!K$2:K54)</f>
        <v>-6.5537526155789675E-3</v>
      </c>
    </row>
    <row r="54" spans="1:11" x14ac:dyDescent="0.4">
      <c r="A54" s="6">
        <v>44440</v>
      </c>
      <c r="B54">
        <f>(mpf_monthly_price!B55-MAX(mpf_monthly_price!B$2:B55))/MAX(mpf_monthly_price!B$2:B55)</f>
        <v>-0.19680196801968022</v>
      </c>
      <c r="C54">
        <f>(mpf_monthly_price!C55-MAX(mpf_monthly_price!C$2:C55))/MAX(mpf_monthly_price!C$2:C55)</f>
        <v>-4.535140960916674E-2</v>
      </c>
      <c r="D54">
        <f>(mpf_monthly_price!D55-MAX(mpf_monthly_price!D$2:D55))/MAX(mpf_monthly_price!D$2:D55)</f>
        <v>-5.1882572985280928E-2</v>
      </c>
      <c r="E54">
        <f>(mpf_monthly_price!E55-MAX(mpf_monthly_price!E$2:E55))/MAX(mpf_monthly_price!E$2:E55)</f>
        <v>-3.0968006562756435E-2</v>
      </c>
      <c r="F54">
        <f>(mpf_monthly_price!F55-MAX(mpf_monthly_price!F$2:F55))/MAX(mpf_monthly_price!F$2:F55)</f>
        <v>-5.4856278366111941E-2</v>
      </c>
      <c r="G54">
        <f>(mpf_monthly_price!G55-MAX(mpf_monthly_price!G$2:G55))/MAX(mpf_monthly_price!G$2:G55)</f>
        <v>-4.9375709421112308E-2</v>
      </c>
      <c r="H54">
        <f>(mpf_monthly_price!H55-MAX(mpf_monthly_price!H$2:H55))/MAX(mpf_monthly_price!H$2:H55)</f>
        <v>-4.387102544608918E-2</v>
      </c>
      <c r="I54">
        <f>(mpf_monthly_price!I55-MAX(mpf_monthly_price!I$2:I55))/MAX(mpf_monthly_price!I$2:I55)</f>
        <v>-4.7746243739565979E-2</v>
      </c>
      <c r="J54">
        <f>(mpf_monthly_price!J55-MAX(mpf_monthly_price!J$2:J55))/MAX(mpf_monthly_price!J$2:J55)</f>
        <v>0</v>
      </c>
      <c r="K54">
        <f>(mpf_monthly_price!K55-MAX(mpf_monthly_price!K$2:K55))/MAX(mpf_monthly_price!K$2:K55)</f>
        <v>-3.5690315448695144E-2</v>
      </c>
    </row>
    <row r="55" spans="1:11" x14ac:dyDescent="0.4">
      <c r="A55" s="6">
        <v>44470</v>
      </c>
      <c r="B55">
        <f>(mpf_monthly_price!B56-MAX(mpf_monthly_price!B$2:B56))/MAX(mpf_monthly_price!B$2:B56)</f>
        <v>-0.17763427634276341</v>
      </c>
      <c r="C55">
        <f>(mpf_monthly_price!C56-MAX(mpf_monthly_price!C$2:C56))/MAX(mpf_monthly_price!C$2:C56)</f>
        <v>-3.1113506154631491E-2</v>
      </c>
      <c r="D55">
        <f>(mpf_monthly_price!D56-MAX(mpf_monthly_price!D$2:D56))/MAX(mpf_monthly_price!D$2:D56)</f>
        <v>-5.6192567292835623E-2</v>
      </c>
      <c r="E55">
        <f>(mpf_monthly_price!E56-MAX(mpf_monthly_price!E$2:E56))/MAX(mpf_monthly_price!E$2:E56)</f>
        <v>-8.8870659010122967E-4</v>
      </c>
      <c r="F55">
        <f>(mpf_monthly_price!F56-MAX(mpf_monthly_price!F$2:F56))/MAX(mpf_monthly_price!F$2:F56)</f>
        <v>-2.8472012102874509E-2</v>
      </c>
      <c r="G55">
        <f>(mpf_monthly_price!G56-MAX(mpf_monthly_price!G$2:G56))/MAX(mpf_monthly_price!G$2:G56)</f>
        <v>0</v>
      </c>
      <c r="H55">
        <f>(mpf_monthly_price!H56-MAX(mpf_monthly_price!H$2:H56))/MAX(mpf_monthly_price!H$2:H56)</f>
        <v>-2.9560395331156984E-2</v>
      </c>
      <c r="I55">
        <f>(mpf_monthly_price!I56-MAX(mpf_monthly_price!I$2:I56))/MAX(mpf_monthly_price!I$2:I56)</f>
        <v>0</v>
      </c>
      <c r="J55">
        <f>(mpf_monthly_price!J56-MAX(mpf_monthly_price!J$2:J56))/MAX(mpf_monthly_price!J$2:J56)</f>
        <v>0</v>
      </c>
      <c r="K55">
        <f>(mpf_monthly_price!K56-MAX(mpf_monthly_price!K$2:K56))/MAX(mpf_monthly_price!K$2:K56)</f>
        <v>-2.4004105965494037E-2</v>
      </c>
    </row>
    <row r="56" spans="1:11" x14ac:dyDescent="0.4">
      <c r="A56" s="6">
        <v>44501</v>
      </c>
      <c r="B56">
        <f>(mpf_monthly_price!B57-MAX(mpf_monthly_price!B$2:B57))/MAX(mpf_monthly_price!B$2:B57)</f>
        <v>-0.22437474374743749</v>
      </c>
      <c r="C56">
        <f>(mpf_monthly_price!C57-MAX(mpf_monthly_price!C$2:C57))/MAX(mpf_monthly_price!C$2:C57)</f>
        <v>-5.6582903170911539E-2</v>
      </c>
      <c r="D56">
        <f>(mpf_monthly_price!D57-MAX(mpf_monthly_price!D$2:D57))/MAX(mpf_monthly_price!D$2:D57)</f>
        <v>-6.3267463609010338E-2</v>
      </c>
      <c r="E56">
        <f>(mpf_monthly_price!E57-MAX(mpf_monthly_price!E$2:E57))/MAX(mpf_monthly_price!E$2:E57)</f>
        <v>-1.4287667487011307E-2</v>
      </c>
      <c r="F56">
        <f>(mpf_monthly_price!F57-MAX(mpf_monthly_price!F$2:F57))/MAX(mpf_monthly_price!F$2:F57)</f>
        <v>-5.8698940998487069E-2</v>
      </c>
      <c r="G56">
        <f>(mpf_monthly_price!G57-MAX(mpf_monthly_price!G$2:G57))/MAX(mpf_monthly_price!G$2:G57)</f>
        <v>-1.6499985993220837E-2</v>
      </c>
      <c r="H56">
        <f>(mpf_monthly_price!H57-MAX(mpf_monthly_price!H$2:H57))/MAX(mpf_monthly_price!H$2:H57)</f>
        <v>-4.7717007289477281E-2</v>
      </c>
      <c r="I56">
        <f>(mpf_monthly_price!I57-MAX(mpf_monthly_price!I$2:I57))/MAX(mpf_monthly_price!I$2:I57)</f>
        <v>-2.0405489502472954E-2</v>
      </c>
      <c r="J56">
        <f>(mpf_monthly_price!J57-MAX(mpf_monthly_price!J$2:J57))/MAX(mpf_monthly_price!J$2:J57)</f>
        <v>0</v>
      </c>
      <c r="K56">
        <f>(mpf_monthly_price!K57-MAX(mpf_monthly_price!K$2:K57))/MAX(mpf_monthly_price!K$2:K57)</f>
        <v>-4.0033163567452276E-2</v>
      </c>
    </row>
    <row r="57" spans="1:11" x14ac:dyDescent="0.4">
      <c r="A57" s="6">
        <v>44531</v>
      </c>
      <c r="B57">
        <f>(mpf_monthly_price!B58-MAX(mpf_monthly_price!B$2:B58))/MAX(mpf_monthly_price!B$2:B58)</f>
        <v>-0.23441984419844203</v>
      </c>
      <c r="C57">
        <f>(mpf_monthly_price!C58-MAX(mpf_monthly_price!C$2:C58))/MAX(mpf_monthly_price!C$2:C58)</f>
        <v>-3.8459356741732384E-2</v>
      </c>
      <c r="D57">
        <f>(mpf_monthly_price!D58-MAX(mpf_monthly_price!D$2:D58))/MAX(mpf_monthly_price!D$2:D58)</f>
        <v>-5.7249735707896168E-2</v>
      </c>
      <c r="E57">
        <f>(mpf_monthly_price!E58-MAX(mpf_monthly_price!E$2:E58))/MAX(mpf_monthly_price!E$2:E58)</f>
        <v>0</v>
      </c>
      <c r="F57">
        <f>(mpf_monthly_price!F58-MAX(mpf_monthly_price!F$2:F58))/MAX(mpf_monthly_price!F$2:F58)</f>
        <v>-4.8169440242057535E-2</v>
      </c>
      <c r="G57">
        <f>(mpf_monthly_price!G58-MAX(mpf_monthly_price!G$2:G58))/MAX(mpf_monthly_price!G$2:G58)</f>
        <v>0</v>
      </c>
      <c r="H57">
        <f>(mpf_monthly_price!H58-MAX(mpf_monthly_price!H$2:H58))/MAX(mpf_monthly_price!H$2:H58)</f>
        <v>-4.0785295827556925E-2</v>
      </c>
      <c r="I57">
        <f>(mpf_monthly_price!I58-MAX(mpf_monthly_price!I$2:I58))/MAX(mpf_monthly_price!I$2:I58)</f>
        <v>0</v>
      </c>
      <c r="J57">
        <f>(mpf_monthly_price!J58-MAX(mpf_monthly_price!J$2:J58))/MAX(mpf_monthly_price!J$2:J58)</f>
        <v>0</v>
      </c>
      <c r="K57">
        <f>(mpf_monthly_price!K58-MAX(mpf_monthly_price!K$2:K58))/MAX(mpf_monthly_price!K$2:K58)</f>
        <v>-3.5256030636819369E-2</v>
      </c>
    </row>
    <row r="58" spans="1:11" x14ac:dyDescent="0.4">
      <c r="A58" s="6">
        <v>44562</v>
      </c>
      <c r="B58">
        <f>(mpf_monthly_price!B59-MAX(mpf_monthly_price!B$2:B59))/MAX(mpf_monthly_price!B$2:B59)</f>
        <v>-0.22017220172201726</v>
      </c>
      <c r="C58">
        <f>(mpf_monthly_price!C59-MAX(mpf_monthly_price!C$2:C59))/MAX(mpf_monthly_price!C$2:C59)</f>
        <v>-7.7372511203131128E-2</v>
      </c>
      <c r="D58">
        <f>(mpf_monthly_price!D59-MAX(mpf_monthly_price!D$2:D59))/MAX(mpf_monthly_price!D$2:D59)</f>
        <v>-7.5384240058550836E-2</v>
      </c>
      <c r="E58">
        <f>(mpf_monthly_price!E59-MAX(mpf_monthly_price!E$2:E59))/MAX(mpf_monthly_price!E$2:E59)</f>
        <v>-3.5193598698040167E-2</v>
      </c>
      <c r="F58">
        <f>(mpf_monthly_price!F59-MAX(mpf_monthly_price!F$2:F59))/MAX(mpf_monthly_price!F$2:F59)</f>
        <v>-7.5158850226928822E-2</v>
      </c>
      <c r="G58">
        <f>(mpf_monthly_price!G59-MAX(mpf_monthly_price!G$2:G59))/MAX(mpf_monthly_price!G$2:G59)</f>
        <v>-4.3165273658668082E-2</v>
      </c>
      <c r="H58">
        <f>(mpf_monthly_price!H59-MAX(mpf_monthly_price!H$2:H59))/MAX(mpf_monthly_price!H$2:H59)</f>
        <v>-6.3503421135011923E-2</v>
      </c>
      <c r="I58">
        <f>(mpf_monthly_price!I59-MAX(mpf_monthly_price!I$2:I59))/MAX(mpf_monthly_price!I$2:I59)</f>
        <v>-5.3274666835491244E-2</v>
      </c>
      <c r="J58">
        <f>(mpf_monthly_price!J59-MAX(mpf_monthly_price!J$2:J59))/MAX(mpf_monthly_price!J$2:J59)</f>
        <v>0</v>
      </c>
      <c r="K58">
        <f>(mpf_monthly_price!K59-MAX(mpf_monthly_price!K$2:K59))/MAX(mpf_monthly_price!K$2:K59)</f>
        <v>-5.8588969165778375E-2</v>
      </c>
    </row>
    <row r="59" spans="1:11" x14ac:dyDescent="0.4">
      <c r="A59" s="6">
        <v>44593</v>
      </c>
      <c r="B59">
        <f>(mpf_monthly_price!B60-MAX(mpf_monthly_price!B$2:B60))/MAX(mpf_monthly_price!B$2:B60)</f>
        <v>-0.25609881098810988</v>
      </c>
      <c r="C59">
        <f>(mpf_monthly_price!C60-MAX(mpf_monthly_price!C$2:C60))/MAX(mpf_monthly_price!C$2:C60)</f>
        <v>-7.9698224516421709E-2</v>
      </c>
      <c r="D59">
        <f>(mpf_monthly_price!D60-MAX(mpf_monthly_price!D$2:D60))/MAX(mpf_monthly_price!D$2:D60)</f>
        <v>-7.0748963161746795E-2</v>
      </c>
      <c r="E59">
        <f>(mpf_monthly_price!E60-MAX(mpf_monthly_price!E$2:E60))/MAX(mpf_monthly_price!E$2:E60)</f>
        <v>-5.5875771343323936E-2</v>
      </c>
      <c r="F59">
        <f>(mpf_monthly_price!F60-MAX(mpf_monthly_price!F$2:F60))/MAX(mpf_monthly_price!F$2:F60)</f>
        <v>-0.10950075642965204</v>
      </c>
      <c r="G59">
        <f>(mpf_monthly_price!G60-MAX(mpf_monthly_price!G$2:G60))/MAX(mpf_monthly_price!G$2:G60)</f>
        <v>-7.8215152332164986E-2</v>
      </c>
      <c r="H59">
        <f>(mpf_monthly_price!H60-MAX(mpf_monthly_price!H$2:H60))/MAX(mpf_monthly_price!H$2:H60)</f>
        <v>-8.5953222127811937E-2</v>
      </c>
      <c r="I59">
        <f>(mpf_monthly_price!I60-MAX(mpf_monthly_price!I$2:I60))/MAX(mpf_monthly_price!I$2:I60)</f>
        <v>-9.4109081700484362E-2</v>
      </c>
      <c r="J59">
        <f>(mpf_monthly_price!J60-MAX(mpf_monthly_price!J$2:J60))/MAX(mpf_monthly_price!J$2:J60)</f>
        <v>0</v>
      </c>
      <c r="K59">
        <f>(mpf_monthly_price!K60-MAX(mpf_monthly_price!K$2:K60))/MAX(mpf_monthly_price!K$2:K60)</f>
        <v>-8.042165107189389E-2</v>
      </c>
    </row>
    <row r="60" spans="1:11" x14ac:dyDescent="0.4">
      <c r="A60" s="6">
        <v>44621</v>
      </c>
      <c r="B60">
        <f>(mpf_monthly_price!B61-MAX(mpf_monthly_price!B$2:B61))/MAX(mpf_monthly_price!B$2:B61)</f>
        <v>-0.27905904059040598</v>
      </c>
      <c r="C60">
        <f>(mpf_monthly_price!C61-MAX(mpf_monthly_price!C$2:C61))/MAX(mpf_monthly_price!C$2:C61)</f>
        <v>-6.4722899767428649E-2</v>
      </c>
      <c r="D60">
        <f>(mpf_monthly_price!D61-MAX(mpf_monthly_price!D$2:D61))/MAX(mpf_monthly_price!D$2:D61)</f>
        <v>-8.8802146865089054E-2</v>
      </c>
      <c r="E60">
        <f>(mpf_monthly_price!E61-MAX(mpf_monthly_price!E$2:E61))/MAX(mpf_monthly_price!E$2:E61)</f>
        <v>-4.6924798264053658E-2</v>
      </c>
      <c r="F60">
        <f>(mpf_monthly_price!F61-MAX(mpf_monthly_price!F$2:F61))/MAX(mpf_monthly_price!F$2:F61)</f>
        <v>-0.11228441754916797</v>
      </c>
      <c r="G60">
        <f>(mpf_monthly_price!G61-MAX(mpf_monthly_price!G$2:G61))/MAX(mpf_monthly_price!G$2:G61)</f>
        <v>-2.976543542733881E-2</v>
      </c>
      <c r="H60">
        <f>(mpf_monthly_price!H61-MAX(mpf_monthly_price!H$2:H61))/MAX(mpf_monthly_price!H$2:H61)</f>
        <v>-0.10768749161486521</v>
      </c>
      <c r="I60">
        <f>(mpf_monthly_price!I61-MAX(mpf_monthly_price!I$2:I61))/MAX(mpf_monthly_price!I$2:I61)</f>
        <v>-4.3113544996992825E-2</v>
      </c>
      <c r="J60">
        <f>(mpf_monthly_price!J61-MAX(mpf_monthly_price!J$2:J61))/MAX(mpf_monthly_price!J$2:J61)</f>
        <v>0</v>
      </c>
      <c r="K60">
        <f>(mpf_monthly_price!K61-MAX(mpf_monthly_price!K$2:K61))/MAX(mpf_monthly_price!K$2:K61)</f>
        <v>-9.7003434798057536E-2</v>
      </c>
    </row>
    <row r="61" spans="1:11" x14ac:dyDescent="0.4">
      <c r="A61" s="6">
        <v>44652</v>
      </c>
      <c r="B61">
        <f>(mpf_monthly_price!B62-MAX(mpf_monthly_price!B$2:B62))/MAX(mpf_monthly_price!B$2:B62)</f>
        <v>-0.31006560065600658</v>
      </c>
      <c r="C61">
        <f>(mpf_monthly_price!C62-MAX(mpf_monthly_price!C$2:C62))/MAX(mpf_monthly_price!C$2:C62)</f>
        <v>-0.12575869306256729</v>
      </c>
      <c r="D61">
        <f>(mpf_monthly_price!D62-MAX(mpf_monthly_price!D$2:D62))/MAX(mpf_monthly_price!D$2:D62)</f>
        <v>-0.12141172643734238</v>
      </c>
      <c r="E61">
        <f>(mpf_monthly_price!E62-MAX(mpf_monthly_price!E$2:E62))/MAX(mpf_monthly_price!E$2:E62)</f>
        <v>-0.10239370719468353</v>
      </c>
      <c r="F61">
        <f>(mpf_monthly_price!F62-MAX(mpf_monthly_price!F$2:F62))/MAX(mpf_monthly_price!F$2:F62)</f>
        <v>-0.1623903177004539</v>
      </c>
      <c r="G61">
        <f>(mpf_monthly_price!G62-MAX(mpf_monthly_price!G$2:G62))/MAX(mpf_monthly_price!G$2:G62)</f>
        <v>-0.11056888649231597</v>
      </c>
      <c r="H61">
        <f>(mpf_monthly_price!H62-MAX(mpf_monthly_price!H$2:H62))/MAX(mpf_monthly_price!H$2:H62)</f>
        <v>-0.14878583247618626</v>
      </c>
      <c r="I61">
        <f>(mpf_monthly_price!I62-MAX(mpf_monthly_price!I$2:I62))/MAX(mpf_monthly_price!I$2:I62)</f>
        <v>-0.12921401665031196</v>
      </c>
      <c r="J61">
        <f>(mpf_monthly_price!J62-MAX(mpf_monthly_price!J$2:J62))/MAX(mpf_monthly_price!J$2:J62)</f>
        <v>0</v>
      </c>
      <c r="K61">
        <f>(mpf_monthly_price!K62-MAX(mpf_monthly_price!K$2:K62))/MAX(mpf_monthly_price!K$2:K62)</f>
        <v>-0.13956334636187767</v>
      </c>
    </row>
    <row r="62" spans="1:11" x14ac:dyDescent="0.4">
      <c r="A62" s="6">
        <v>44682</v>
      </c>
      <c r="B62">
        <f>(mpf_monthly_price!B63-MAX(mpf_monthly_price!B$2:B63))/MAX(mpf_monthly_price!B$2:B63)</f>
        <v>-0.30099425994259948</v>
      </c>
      <c r="C62">
        <f>(mpf_monthly_price!C63-MAX(mpf_monthly_price!C$2:C63))/MAX(mpf_monthly_price!C$2:C63)</f>
        <v>-0.1265812014294628</v>
      </c>
      <c r="D62">
        <f>(mpf_monthly_price!D63-MAX(mpf_monthly_price!D$2:D63))/MAX(mpf_monthly_price!D$2:D63)</f>
        <v>-0.11905342766528422</v>
      </c>
      <c r="E62">
        <f>(mpf_monthly_price!E63-MAX(mpf_monthly_price!E$2:E63))/MAX(mpf_monthly_price!E$2:E63)</f>
        <v>-0.10944598901471486</v>
      </c>
      <c r="F62">
        <f>(mpf_monthly_price!F63-MAX(mpf_monthly_price!F$2:F63))/MAX(mpf_monthly_price!F$2:F63)</f>
        <v>-0.15845688350983361</v>
      </c>
      <c r="G62">
        <f>(mpf_monthly_price!G63-MAX(mpf_monthly_price!G$2:G63))/MAX(mpf_monthly_price!G$2:G63)</f>
        <v>-0.11469398759773515</v>
      </c>
      <c r="H62">
        <f>(mpf_monthly_price!H63-MAX(mpf_monthly_price!H$2:H63))/MAX(mpf_monthly_price!H$2:H63)</f>
        <v>-0.15012745404946121</v>
      </c>
      <c r="I62">
        <f>(mpf_monthly_price!I63-MAX(mpf_monthly_price!I$2:I63))/MAX(mpf_monthly_price!I$2:I63)</f>
        <v>-0.13472191446931087</v>
      </c>
      <c r="J62">
        <f>(mpf_monthly_price!J63-MAX(mpf_monthly_price!J$2:J63))/MAX(mpf_monthly_price!J$2:J63)</f>
        <v>0</v>
      </c>
      <c r="K62">
        <f>(mpf_monthly_price!K63-MAX(mpf_monthly_price!K$2:K63))/MAX(mpf_monthly_price!K$2:K63)</f>
        <v>-0.14078723992261832</v>
      </c>
    </row>
    <row r="63" spans="1:11" x14ac:dyDescent="0.4">
      <c r="A63" s="6">
        <v>44713</v>
      </c>
      <c r="B63">
        <f>(mpf_monthly_price!B64-MAX(mpf_monthly_price!B$2:B64))/MAX(mpf_monthly_price!B$2:B64)</f>
        <v>-0.27675276752767525</v>
      </c>
      <c r="C63">
        <f>(mpf_monthly_price!C64-MAX(mpf_monthly_price!C$2:C64))/MAX(mpf_monthly_price!C$2:C64)</f>
        <v>-0.22687049747575022</v>
      </c>
      <c r="D63">
        <f>(mpf_monthly_price!D64-MAX(mpf_monthly_price!D$2:D64))/MAX(mpf_monthly_price!D$2:D64)</f>
        <v>-0.14206717085467999</v>
      </c>
      <c r="E63">
        <f>(mpf_monthly_price!E64-MAX(mpf_monthly_price!E$2:E64))/MAX(mpf_monthly_price!E$2:E64)</f>
        <v>-0.15413304400895086</v>
      </c>
      <c r="F63">
        <f>(mpf_monthly_price!F64-MAX(mpf_monthly_price!F$2:F64))/MAX(mpf_monthly_price!F$2:F64)</f>
        <v>-0.19673222390317696</v>
      </c>
      <c r="G63">
        <f>(mpf_monthly_price!G64-MAX(mpf_monthly_price!G$2:G64))/MAX(mpf_monthly_price!G$2:G64)</f>
        <v>-0.18843354003774601</v>
      </c>
      <c r="H63">
        <f>(mpf_monthly_price!H64-MAX(mpf_monthly_price!H$2:H64))/MAX(mpf_monthly_price!H$2:H64)</f>
        <v>-0.17481329099771925</v>
      </c>
      <c r="I63">
        <f>(mpf_monthly_price!I64-MAX(mpf_monthly_price!I$2:I64))/MAX(mpf_monthly_price!I$2:I64)</f>
        <v>-0.20116488873413316</v>
      </c>
      <c r="J63">
        <f>(mpf_monthly_price!J64-MAX(mpf_monthly_price!J$2:J64))/MAX(mpf_monthly_price!J$2:J64)</f>
        <v>0</v>
      </c>
      <c r="K63">
        <f>(mpf_monthly_price!K64-MAX(mpf_monthly_price!K$2:K64))/MAX(mpf_monthly_price!K$2:K64)</f>
        <v>-0.16751549607169638</v>
      </c>
    </row>
    <row r="64" spans="1:11" x14ac:dyDescent="0.4">
      <c r="A64" s="6">
        <v>44743</v>
      </c>
      <c r="B64">
        <f>(mpf_monthly_price!B65-MAX(mpf_monthly_price!B$2:B65))/MAX(mpf_monthly_price!B$2:B65)</f>
        <v>-0.32923329233292337</v>
      </c>
      <c r="C64">
        <f>(mpf_monthly_price!C65-MAX(mpf_monthly_price!C$2:C65))/MAX(mpf_monthly_price!C$2:C65)</f>
        <v>-0.1845538601168529</v>
      </c>
      <c r="D64">
        <f>(mpf_monthly_price!D65-MAX(mpf_monthly_price!D$2:D65))/MAX(mpf_monthly_price!D$2:D65)</f>
        <v>-0.12149304708465478</v>
      </c>
      <c r="E64">
        <f>(mpf_monthly_price!E65-MAX(mpf_monthly_price!E$2:E65))/MAX(mpf_monthly_price!E$2:E65)</f>
        <v>-0.11032752424221866</v>
      </c>
      <c r="F64">
        <f>(mpf_monthly_price!F65-MAX(mpf_monthly_price!F$2:F65))/MAX(mpf_monthly_price!F$2:F65)</f>
        <v>-0.1908018154311649</v>
      </c>
      <c r="G64">
        <f>(mpf_monthly_price!G65-MAX(mpf_monthly_price!G$2:G65))/MAX(mpf_monthly_price!G$2:G65)</f>
        <v>-0.12116473442976544</v>
      </c>
      <c r="H64">
        <f>(mpf_monthly_price!H65-MAX(mpf_monthly_price!H$2:H65))/MAX(mpf_monthly_price!H$2:H65)</f>
        <v>-0.16233621036626272</v>
      </c>
      <c r="I64">
        <f>(mpf_monthly_price!I65-MAX(mpf_monthly_price!I$2:I65))/MAX(mpf_monthly_price!I$2:I65)</f>
        <v>-0.13070178215314493</v>
      </c>
      <c r="J64">
        <f>(mpf_monthly_price!J65-MAX(mpf_monthly_price!J$2:J65))/MAX(mpf_monthly_price!J$2:J65)</f>
        <v>0</v>
      </c>
      <c r="K64">
        <f>(mpf_monthly_price!K65-MAX(mpf_monthly_price!K$2:K65))/MAX(mpf_monthly_price!K$2:K65)</f>
        <v>-0.15732954321133877</v>
      </c>
    </row>
    <row r="65" spans="1:11" x14ac:dyDescent="0.4">
      <c r="A65" s="6">
        <v>44774</v>
      </c>
      <c r="B65">
        <f>(mpf_monthly_price!B66-MAX(mpf_monthly_price!B$2:B66))/MAX(mpf_monthly_price!B$2:B66)</f>
        <v>-0.34547970479704804</v>
      </c>
      <c r="C65">
        <f>(mpf_monthly_price!C66-MAX(mpf_monthly_price!C$2:C66))/MAX(mpf_monthly_price!C$2:C66)</f>
        <v>-0.21025015599296612</v>
      </c>
      <c r="D65">
        <f>(mpf_monthly_price!D66-MAX(mpf_monthly_price!D$2:D66))/MAX(mpf_monthly_price!D$2:D66)</f>
        <v>-0.15036187688053992</v>
      </c>
      <c r="E65">
        <f>(mpf_monthly_price!E66-MAX(mpf_monthly_price!E$2:E66))/MAX(mpf_monthly_price!E$2:E66)</f>
        <v>-0.14931850545873734</v>
      </c>
      <c r="F65">
        <f>(mpf_monthly_price!F66-MAX(mpf_monthly_price!F$2:F66))/MAX(mpf_monthly_price!F$2:F66)</f>
        <v>-0.22278366111951586</v>
      </c>
      <c r="G65">
        <f>(mpf_monthly_price!G66-MAX(mpf_monthly_price!G$2:G66))/MAX(mpf_monthly_price!G$2:G66)</f>
        <v>-0.15125370719870576</v>
      </c>
      <c r="H65">
        <f>(mpf_monthly_price!H66-MAX(mpf_monthly_price!H$2:H66))/MAX(mpf_monthly_price!H$2:H66)</f>
        <v>-0.19766557846250174</v>
      </c>
      <c r="I65">
        <f>(mpf_monthly_price!I66-MAX(mpf_monthly_price!I$2:I66))/MAX(mpf_monthly_price!I$2:I66)</f>
        <v>-0.16219809439397298</v>
      </c>
      <c r="J65">
        <f>(mpf_monthly_price!J66-MAX(mpf_monthly_price!J$2:J66))/MAX(mpf_monthly_price!J$2:J66)</f>
        <v>0</v>
      </c>
      <c r="K65">
        <f>(mpf_monthly_price!K66-MAX(mpf_monthly_price!K$2:K66))/MAX(mpf_monthly_price!K$2:K66)</f>
        <v>-0.19341466303446636</v>
      </c>
    </row>
    <row r="66" spans="1:11" x14ac:dyDescent="0.4">
      <c r="A66" s="6">
        <v>44805</v>
      </c>
      <c r="B66">
        <f>(mpf_monthly_price!B67-MAX(mpf_monthly_price!B$2:B67))/MAX(mpf_monthly_price!B$2:B67)</f>
        <v>-0.42030545305453054</v>
      </c>
      <c r="C66">
        <f>(mpf_monthly_price!C67-MAX(mpf_monthly_price!C$2:C67))/MAX(mpf_monthly_price!C$2:C67)</f>
        <v>-0.28291451585455774</v>
      </c>
      <c r="D66">
        <f>(mpf_monthly_price!D67-MAX(mpf_monthly_price!D$2:D67))/MAX(mpf_monthly_price!D$2:D67)</f>
        <v>-0.18866390176465808</v>
      </c>
      <c r="E66">
        <f>(mpf_monthly_price!E67-MAX(mpf_monthly_price!E$2:E67))/MAX(mpf_monthly_price!E$2:E67)</f>
        <v>-0.20404149996609477</v>
      </c>
      <c r="F66">
        <f>(mpf_monthly_price!F67-MAX(mpf_monthly_price!F$2:F67))/MAX(mpf_monthly_price!F$2:F67)</f>
        <v>-0.29016641452344932</v>
      </c>
      <c r="G66">
        <f>(mpf_monthly_price!G67-MAX(mpf_monthly_price!G$2:G67))/MAX(mpf_monthly_price!G$2:G67)</f>
        <v>-0.22968455109193853</v>
      </c>
      <c r="H66">
        <f>(mpf_monthly_price!H67-MAX(mpf_monthly_price!H$2:H67))/MAX(mpf_monthly_price!H$2:H67)</f>
        <v>-0.24216269397611914</v>
      </c>
      <c r="I66">
        <f>(mpf_monthly_price!I67-MAX(mpf_monthly_price!I$2:I67))/MAX(mpf_monthly_price!I$2:I67)</f>
        <v>-0.24345541451679281</v>
      </c>
      <c r="J66">
        <f>(mpf_monthly_price!J67-MAX(mpf_monthly_price!J$2:J67))/MAX(mpf_monthly_price!J$2:J67)</f>
        <v>0</v>
      </c>
      <c r="K66">
        <f>(mpf_monthly_price!K67-MAX(mpf_monthly_price!K$2:K67))/MAX(mpf_monthly_price!K$2:K67)</f>
        <v>-0.24406806427415215</v>
      </c>
    </row>
    <row r="67" spans="1:11" x14ac:dyDescent="0.4">
      <c r="A67" s="6">
        <v>44835</v>
      </c>
      <c r="B67">
        <f>(mpf_monthly_price!B68-MAX(mpf_monthly_price!B$2:B68))/MAX(mpf_monthly_price!B$2:B68)</f>
        <v>-0.47847478474784744</v>
      </c>
      <c r="C67">
        <f>(mpf_monthly_price!C68-MAX(mpf_monthly_price!C$2:C68))/MAX(mpf_monthly_price!C$2:C68)</f>
        <v>-0.2595722956492143</v>
      </c>
      <c r="D67">
        <f>(mpf_monthly_price!D68-MAX(mpf_monthly_price!D$2:D68))/MAX(mpf_monthly_price!D$2:D68)</f>
        <v>-0.18980239082703101</v>
      </c>
      <c r="E67">
        <f>(mpf_monthly_price!E68-MAX(mpf_monthly_price!E$2:E68))/MAX(mpf_monthly_price!E$2:E68)</f>
        <v>-0.17678171831558959</v>
      </c>
      <c r="F67">
        <f>(mpf_monthly_price!F68-MAX(mpf_monthly_price!F$2:F68))/MAX(mpf_monthly_price!F$2:F68)</f>
        <v>-0.28892586989409985</v>
      </c>
      <c r="G67">
        <f>(mpf_monthly_price!G68-MAX(mpf_monthly_price!G$2:G68))/MAX(mpf_monthly_price!G$2:G68)</f>
        <v>-0.1681854947425182</v>
      </c>
      <c r="H67">
        <f>(mpf_monthly_price!H68-MAX(mpf_monthly_price!H$2:H68))/MAX(mpf_monthly_price!H$2:H68)</f>
        <v>-0.24547202719019726</v>
      </c>
      <c r="I67">
        <f>(mpf_monthly_price!I68-MAX(mpf_monthly_price!I$2:I68))/MAX(mpf_monthly_price!I$2:I68)</f>
        <v>-0.1864455066316357</v>
      </c>
      <c r="J67">
        <f>(mpf_monthly_price!J68-MAX(mpf_monthly_price!J$2:J68))/MAX(mpf_monthly_price!J$2:J68)</f>
        <v>0</v>
      </c>
      <c r="K67">
        <f>(mpf_monthly_price!K68-MAX(mpf_monthly_price!K$2:K68))/MAX(mpf_monthly_price!K$2:K68)</f>
        <v>-0.24722649926961193</v>
      </c>
    </row>
    <row r="68" spans="1:11" x14ac:dyDescent="0.4">
      <c r="A68" s="6">
        <v>44866</v>
      </c>
      <c r="B68">
        <f>(mpf_monthly_price!B69-MAX(mpf_monthly_price!B$2:B69))/MAX(mpf_monthly_price!B$2:B69)</f>
        <v>-0.36977244772447726</v>
      </c>
      <c r="C68">
        <f>(mpf_monthly_price!C69-MAX(mpf_monthly_price!C$2:C69))/MAX(mpf_monthly_price!C$2:C69)</f>
        <v>-0.17269839469056664</v>
      </c>
      <c r="D68">
        <f>(mpf_monthly_price!D69-MAX(mpf_monthly_price!D$2:D69))/MAX(mpf_monthly_price!D$2:D69)</f>
        <v>-0.14092868179230705</v>
      </c>
      <c r="E68">
        <f>(mpf_monthly_price!E69-MAX(mpf_monthly_price!E$2:E69))/MAX(mpf_monthly_price!E$2:E69)</f>
        <v>-0.13134874889808096</v>
      </c>
      <c r="F68">
        <f>(mpf_monthly_price!F69-MAX(mpf_monthly_price!F$2:F69))/MAX(mpf_monthly_price!F$2:F69)</f>
        <v>-0.20468986384266255</v>
      </c>
      <c r="G68">
        <f>(mpf_monthly_price!G69-MAX(mpf_monthly_price!G$2:G69))/MAX(mpf_monthly_price!G$2:G69)</f>
        <v>-0.12803990293879741</v>
      </c>
      <c r="H68">
        <f>(mpf_monthly_price!H69-MAX(mpf_monthly_price!H$2:H69))/MAX(mpf_monthly_price!H$2:H69)</f>
        <v>-0.19037610124770815</v>
      </c>
      <c r="I68">
        <f>(mpf_monthly_price!I69-MAX(mpf_monthly_price!I$2:I69))/MAX(mpf_monthly_price!I$2:I69)</f>
        <v>-0.14396505333797605</v>
      </c>
      <c r="J68">
        <f>(mpf_monthly_price!J69-MAX(mpf_monthly_price!J$2:J69))/MAX(mpf_monthly_price!J$2:J69)</f>
        <v>0</v>
      </c>
      <c r="K68">
        <f>(mpf_monthly_price!K69-MAX(mpf_monthly_price!K$2:K69))/MAX(mpf_monthly_price!K$2:K69)</f>
        <v>-0.18429468198507631</v>
      </c>
    </row>
    <row r="69" spans="1:11" x14ac:dyDescent="0.4">
      <c r="A69" s="6">
        <v>44896</v>
      </c>
      <c r="B69">
        <f>(mpf_monthly_price!B70-MAX(mpf_monthly_price!B$2:B70))/MAX(mpf_monthly_price!B$2:B70)</f>
        <v>-0.33681836818368183</v>
      </c>
      <c r="C69">
        <f>(mpf_monthly_price!C70-MAX(mpf_monthly_price!C$2:C70))/MAX(mpf_monthly_price!C$2:C70)</f>
        <v>-0.21300130466844394</v>
      </c>
      <c r="D69">
        <f>(mpf_monthly_price!D70-MAX(mpf_monthly_price!D$2:D70))/MAX(mpf_monthly_price!D$2:D70)</f>
        <v>-0.13848906237293651</v>
      </c>
      <c r="E69">
        <f>(mpf_monthly_price!E70-MAX(mpf_monthly_price!E$2:E70))/MAX(mpf_monthly_price!E$2:E70)</f>
        <v>-0.16220248186071734</v>
      </c>
      <c r="F69">
        <f>(mpf_monthly_price!F70-MAX(mpf_monthly_price!F$2:F70))/MAX(mpf_monthly_price!F$2:F70)</f>
        <v>-0.20804841149773068</v>
      </c>
      <c r="G69">
        <f>(mpf_monthly_price!G70-MAX(mpf_monthly_price!G$2:G70))/MAX(mpf_monthly_price!G$2:G70)</f>
        <v>-0.17729846319762738</v>
      </c>
      <c r="H69">
        <f>(mpf_monthly_price!H70-MAX(mpf_monthly_price!H$2:H70))/MAX(mpf_monthly_price!H$2:H70)</f>
        <v>-0.19779974061982925</v>
      </c>
      <c r="I69">
        <f>(mpf_monthly_price!I70-MAX(mpf_monthly_price!I$2:I70))/MAX(mpf_monthly_price!I$2:I70)</f>
        <v>-0.19296635117596794</v>
      </c>
      <c r="J69">
        <f>(mpf_monthly_price!J70-MAX(mpf_monthly_price!J$2:J70))/MAX(mpf_monthly_price!J$2:J70)</f>
        <v>0</v>
      </c>
      <c r="K69">
        <f>(mpf_monthly_price!K70-MAX(mpf_monthly_price!K$2:K70))/MAX(mpf_monthly_price!K$2:K70)</f>
        <v>-0.19171700422440682</v>
      </c>
    </row>
    <row r="70" spans="1:11" x14ac:dyDescent="0.4">
      <c r="A70" s="6">
        <v>44927</v>
      </c>
      <c r="B70">
        <f>(mpf_monthly_price!B71-MAX(mpf_monthly_price!B$2:B71))/MAX(mpf_monthly_price!B$2:B71)</f>
        <v>-0.26276137761377616</v>
      </c>
      <c r="C70">
        <f>(mpf_monthly_price!C71-MAX(mpf_monthly_price!C$2:C71))/MAX(mpf_monthly_price!C$2:C71)</f>
        <v>-0.13982642237222762</v>
      </c>
      <c r="D70">
        <f>(mpf_monthly_price!D71-MAX(mpf_monthly_price!D$2:D71))/MAX(mpf_monthly_price!D$2:D71)</f>
        <v>-0.1013255265511913</v>
      </c>
      <c r="E70">
        <f>(mpf_monthly_price!E71-MAX(mpf_monthly_price!E$2:E71))/MAX(mpf_monthly_price!E$2:E71)</f>
        <v>-0.11148030107818532</v>
      </c>
      <c r="F70">
        <f>(mpf_monthly_price!F71-MAX(mpf_monthly_price!F$2:F71))/MAX(mpf_monthly_price!F$2:F71)</f>
        <v>-0.13633888048411499</v>
      </c>
      <c r="G70">
        <f>(mpf_monthly_price!G71-MAX(mpf_monthly_price!G$2:G71))/MAX(mpf_monthly_price!G$2:G71)</f>
        <v>-0.11162038285252084</v>
      </c>
      <c r="H70">
        <f>(mpf_monthly_price!H71-MAX(mpf_monthly_price!H$2:H71))/MAX(mpf_monthly_price!H$2:H71)</f>
        <v>-0.15366039085908506</v>
      </c>
      <c r="I70">
        <f>(mpf_monthly_price!I71-MAX(mpf_monthly_price!I$2:I71))/MAX(mpf_monthly_price!I$2:I71)</f>
        <v>-0.13025861796081173</v>
      </c>
      <c r="J70">
        <f>(mpf_monthly_price!J71-MAX(mpf_monthly_price!J$2:J71))/MAX(mpf_monthly_price!J$2:J71)</f>
        <v>0</v>
      </c>
      <c r="K70">
        <f>(mpf_monthly_price!K71-MAX(mpf_monthly_price!K$2:K71))/MAX(mpf_monthly_price!K$2:K71)</f>
        <v>-0.14066879861028858</v>
      </c>
    </row>
    <row r="71" spans="1:11" x14ac:dyDescent="0.4">
      <c r="A71" s="6">
        <v>44958</v>
      </c>
      <c r="B71">
        <f>(mpf_monthly_price!B72-MAX(mpf_monthly_price!B$2:B72))/MAX(mpf_monthly_price!B$2:B72)</f>
        <v>-0.31006560065600658</v>
      </c>
      <c r="C71">
        <f>(mpf_monthly_price!C72-MAX(mpf_monthly_price!C$2:C72))/MAX(mpf_monthly_price!C$2:C72)</f>
        <v>-0.1731805547677123</v>
      </c>
      <c r="D71">
        <f>(mpf_monthly_price!D72-MAX(mpf_monthly_price!D$2:D72))/MAX(mpf_monthly_price!D$2:D72)</f>
        <v>-0.13653736683743997</v>
      </c>
      <c r="E71">
        <f>(mpf_monthly_price!E72-MAX(mpf_monthly_price!E$2:E72))/MAX(mpf_monthly_price!E$2:E72)</f>
        <v>-0.14057096358581395</v>
      </c>
      <c r="F71">
        <f>(mpf_monthly_price!F72-MAX(mpf_monthly_price!F$2:F72))/MAX(mpf_monthly_price!F$2:F72)</f>
        <v>-0.17080181543116488</v>
      </c>
      <c r="G71">
        <f>(mpf_monthly_price!G72-MAX(mpf_monthly_price!G$2:G72))/MAX(mpf_monthly_price!G$2:G72)</f>
        <v>-0.14127797249932592</v>
      </c>
      <c r="H71">
        <f>(mpf_monthly_price!H72-MAX(mpf_monthly_price!H$2:H72))/MAX(mpf_monthly_price!H$2:H72)</f>
        <v>-0.18442824560618937</v>
      </c>
      <c r="I71">
        <f>(mpf_monthly_price!I72-MAX(mpf_monthly_price!I$2:I72))/MAX(mpf_monthly_price!I$2:I72)</f>
        <v>-0.1647937703776392</v>
      </c>
      <c r="J71">
        <f>(mpf_monthly_price!J72-MAX(mpf_monthly_price!J$2:J72))/MAX(mpf_monthly_price!J$2:J72)</f>
        <v>0</v>
      </c>
      <c r="K71">
        <f>(mpf_monthly_price!K72-MAX(mpf_monthly_price!K$2:K72))/MAX(mpf_monthly_price!K$2:K72)</f>
        <v>-0.17347704212562676</v>
      </c>
    </row>
    <row r="72" spans="1:11" x14ac:dyDescent="0.4">
      <c r="A72" s="6">
        <v>44986</v>
      </c>
      <c r="B72">
        <f>(mpf_monthly_price!B73-MAX(mpf_monthly_price!B$2:B73))/MAX(mpf_monthly_price!B$2:B73)</f>
        <v>-0.31621566215662167</v>
      </c>
      <c r="C72">
        <f>(mpf_monthly_price!C73-MAX(mpf_monthly_price!C$2:C73))/MAX(mpf_monthly_price!C$2:C73)</f>
        <v>-0.15780815701401096</v>
      </c>
      <c r="D72">
        <f>(mpf_monthly_price!D73-MAX(mpf_monthly_price!D$2:D73))/MAX(mpf_monthly_price!D$2:D73)</f>
        <v>-0.11393022688460605</v>
      </c>
      <c r="E72">
        <f>(mpf_monthly_price!E73-MAX(mpf_monthly_price!E$2:E73))/MAX(mpf_monthly_price!E$2:E73)</f>
        <v>-0.11466738997762245</v>
      </c>
      <c r="F72">
        <f>(mpf_monthly_price!F73-MAX(mpf_monthly_price!F$2:F73))/MAX(mpf_monthly_price!F$2:F73)</f>
        <v>-0.15951588502269298</v>
      </c>
      <c r="G72">
        <f>(mpf_monthly_price!G73-MAX(mpf_monthly_price!G$2:G73))/MAX(mpf_monthly_price!G$2:G73)</f>
        <v>-0.11442437314640065</v>
      </c>
      <c r="H72">
        <f>(mpf_monthly_price!H73-MAX(mpf_monthly_price!H$2:H73))/MAX(mpf_monthly_price!H$2:H73)</f>
        <v>-0.17110147131165876</v>
      </c>
      <c r="I72">
        <f>(mpf_monthly_price!I73-MAX(mpf_monthly_price!I$2:I73))/MAX(mpf_monthly_price!I$2:I73)</f>
        <v>-0.13228451141147801</v>
      </c>
      <c r="J72">
        <f>(mpf_monthly_price!J73-MAX(mpf_monthly_price!J$2:J73))/MAX(mpf_monthly_price!J$2:J73)</f>
        <v>0</v>
      </c>
      <c r="K72">
        <f>(mpf_monthly_price!K73-MAX(mpf_monthly_price!K$2:K73))/MAX(mpf_monthly_price!K$2:K73)</f>
        <v>-0.15942200639583085</v>
      </c>
    </row>
    <row r="73" spans="1:11" x14ac:dyDescent="0.4">
      <c r="A73" s="6">
        <v>45017</v>
      </c>
      <c r="B73">
        <f>(mpf_monthly_price!B74-MAX(mpf_monthly_price!B$2:B74))/MAX(mpf_monthly_price!B$2:B74)</f>
        <v>-0.33235957359573592</v>
      </c>
      <c r="C73">
        <f>(mpf_monthly_price!C74-MAX(mpf_monthly_price!C$2:C74))/MAX(mpf_monthly_price!C$2:C74)</f>
        <v>-0.15888592659821879</v>
      </c>
      <c r="D73">
        <f>(mpf_monthly_price!D74-MAX(mpf_monthly_price!D$2:D74))/MAX(mpf_monthly_price!D$2:D74)</f>
        <v>-0.11506871594697898</v>
      </c>
      <c r="E73">
        <f>(mpf_monthly_price!E74-MAX(mpf_monthly_price!E$2:E74))/MAX(mpf_monthly_price!E$2:E74)</f>
        <v>-0.10673357293008748</v>
      </c>
      <c r="F73">
        <f>(mpf_monthly_price!F74-MAX(mpf_monthly_price!F$2:F74))/MAX(mpf_monthly_price!F$2:F74)</f>
        <v>-0.16462934947049931</v>
      </c>
      <c r="G73">
        <f>(mpf_monthly_price!G74-MAX(mpf_monthly_price!G$2:G74))/MAX(mpf_monthly_price!G$2:G74)</f>
        <v>-0.10736047452143434</v>
      </c>
      <c r="H73">
        <f>(mpf_monthly_price!H74-MAX(mpf_monthly_price!H$2:H74))/MAX(mpf_monthly_price!H$2:H74)</f>
        <v>-0.17476857027861012</v>
      </c>
      <c r="I73">
        <f>(mpf_monthly_price!I74-MAX(mpf_monthly_price!I$2:I74))/MAX(mpf_monthly_price!I$2:I74)</f>
        <v>-0.11933778607831358</v>
      </c>
      <c r="J73">
        <f>(mpf_monthly_price!J74-MAX(mpf_monthly_price!J$2:J74))/MAX(mpf_monthly_price!J$2:J74)</f>
        <v>0</v>
      </c>
      <c r="K73">
        <f>(mpf_monthly_price!K74-MAX(mpf_monthly_price!K$2:K74))/MAX(mpf_monthly_price!K$2:K74)</f>
        <v>-0.16340953057759874</v>
      </c>
    </row>
    <row r="74" spans="1:11" x14ac:dyDescent="0.4">
      <c r="A74" s="6">
        <v>45047</v>
      </c>
      <c r="B74">
        <f>(mpf_monthly_price!B75-MAX(mpf_monthly_price!B$2:B75))/MAX(mpf_monthly_price!B$2:B75)</f>
        <v>-0.38509635096350964</v>
      </c>
      <c r="C74">
        <f>(mpf_monthly_price!C75-MAX(mpf_monthly_price!C$2:C75))/MAX(mpf_monthly_price!C$2:C75)</f>
        <v>-0.14998014634976459</v>
      </c>
      <c r="D74">
        <f>(mpf_monthly_price!D75-MAX(mpf_monthly_price!D$2:D75))/MAX(mpf_monthly_price!D$2:D75)</f>
        <v>-0.1271854923965195</v>
      </c>
      <c r="E74">
        <f>(mpf_monthly_price!E75-MAX(mpf_monthly_price!E$2:E75))/MAX(mpf_monthly_price!E$2:E75)</f>
        <v>-0.11046314504645001</v>
      </c>
      <c r="F74">
        <f>(mpf_monthly_price!F75-MAX(mpf_monthly_price!F$2:F75))/MAX(mpf_monthly_price!F$2:F75)</f>
        <v>-0.18883509833585485</v>
      </c>
      <c r="G74">
        <f>(mpf_monthly_price!G75-MAX(mpf_monthly_price!G$2:G75))/MAX(mpf_monthly_price!G$2:G75)</f>
        <v>-9.9649501213264977E-2</v>
      </c>
      <c r="H74">
        <f>(mpf_monthly_price!H75-MAX(mpf_monthly_price!H$2:H75))/MAX(mpf_monthly_price!H$2:H75)</f>
        <v>-0.1931487858324763</v>
      </c>
      <c r="I74">
        <f>(mpf_monthly_price!I75-MAX(mpf_monthly_price!I$2:I75))/MAX(mpf_monthly_price!I$2:I75)</f>
        <v>-0.10946155550631521</v>
      </c>
      <c r="J74">
        <f>(mpf_monthly_price!J75-MAX(mpf_monthly_price!J$2:J75))/MAX(mpf_monthly_price!J$2:J75)</f>
        <v>0</v>
      </c>
      <c r="K74">
        <f>(mpf_monthly_price!K75-MAX(mpf_monthly_price!K$2:K75))/MAX(mpf_monthly_price!K$2:K75)</f>
        <v>-0.18263650361246</v>
      </c>
    </row>
    <row r="75" spans="1:11" x14ac:dyDescent="0.4">
      <c r="A75" s="6">
        <v>45078</v>
      </c>
      <c r="B75">
        <f>(mpf_monthly_price!B76-MAX(mpf_monthly_price!B$2:B76))/MAX(mpf_monthly_price!B$2:B76)</f>
        <v>-0.35829233292332929</v>
      </c>
      <c r="C75">
        <f>(mpf_monthly_price!C76-MAX(mpf_monthly_price!C$2:C76))/MAX(mpf_monthly_price!C$2:C76)</f>
        <v>-0.12363151625163077</v>
      </c>
      <c r="D75">
        <f>(mpf_monthly_price!D76-MAX(mpf_monthly_price!D$2:D76))/MAX(mpf_monthly_price!D$2:D76)</f>
        <v>-0.1327152964137594</v>
      </c>
      <c r="E75">
        <f>(mpf_monthly_price!E76-MAX(mpf_monthly_price!E$2:E76))/MAX(mpf_monthly_price!E$2:E76)</f>
        <v>-8.8492574760968223E-2</v>
      </c>
      <c r="F75">
        <f>(mpf_monthly_price!F76-MAX(mpf_monthly_price!F$2:F76))/MAX(mpf_monthly_price!F$2:F76)</f>
        <v>-0.16081694402420568</v>
      </c>
      <c r="G75">
        <f>(mpf_monthly_price!G76-MAX(mpf_monthly_price!G$2:G76))/MAX(mpf_monthly_price!G$2:G76)</f>
        <v>-5.0768401186303547E-2</v>
      </c>
      <c r="H75">
        <f>(mpf_monthly_price!H76-MAX(mpf_monthly_price!H$2:H76))/MAX(mpf_monthly_price!H$2:H76)</f>
        <v>-0.18040338088636465</v>
      </c>
      <c r="I75">
        <f>(mpf_monthly_price!I76-MAX(mpf_monthly_price!I$2:I76))/MAX(mpf_monthly_price!I$2:I76)</f>
        <v>-6.2169605267323104E-2</v>
      </c>
      <c r="J75">
        <f>(mpf_monthly_price!J76-MAX(mpf_monthly_price!J$2:J76))/MAX(mpf_monthly_price!J$2:J76)</f>
        <v>0</v>
      </c>
      <c r="K75">
        <f>(mpf_monthly_price!K76-MAX(mpf_monthly_price!K$2:K76))/MAX(mpf_monthly_price!K$2:K76)</f>
        <v>-0.16873938963243706</v>
      </c>
    </row>
    <row r="76" spans="1:11" x14ac:dyDescent="0.4">
      <c r="A76" s="6">
        <v>45108</v>
      </c>
      <c r="B76">
        <f>(mpf_monthly_price!B77-MAX(mpf_monthly_price!B$2:B77))/MAX(mpf_monthly_price!B$2:B77)</f>
        <v>-0.31616441164411641</v>
      </c>
      <c r="C76">
        <f>(mpf_monthly_price!C77-MAX(mpf_monthly_price!C$2:C77))/MAX(mpf_monthly_price!C$2:C77)</f>
        <v>-9.9665324181745951E-2</v>
      </c>
      <c r="D76">
        <f>(mpf_monthly_price!D77-MAX(mpf_monthly_price!D$2:D77))/MAX(mpf_monthly_price!D$2:D77)</f>
        <v>-0.1271854923965195</v>
      </c>
      <c r="E76">
        <f>(mpf_monthly_price!E77-MAX(mpf_monthly_price!E$2:E77))/MAX(mpf_monthly_price!E$2:E77)</f>
        <v>-7.7575100020343013E-2</v>
      </c>
      <c r="F76">
        <f>(mpf_monthly_price!F77-MAX(mpf_monthly_price!F$2:F77))/MAX(mpf_monthly_price!F$2:F77)</f>
        <v>-0.13352496217851739</v>
      </c>
      <c r="G76">
        <f>(mpf_monthly_price!G77-MAX(mpf_monthly_price!G$2:G77))/MAX(mpf_monthly_price!G$2:G77)</f>
        <v>-2.5235912644917653E-2</v>
      </c>
      <c r="H76">
        <f>(mpf_monthly_price!H77-MAX(mpf_monthly_price!H$2:H77))/MAX(mpf_monthly_price!H$2:H77)</f>
        <v>-0.16586914717588661</v>
      </c>
      <c r="I76">
        <f>(mpf_monthly_price!I77-MAX(mpf_monthly_price!I$2:I77))/MAX(mpf_monthly_price!I$2:I77)</f>
        <v>-3.8808521414327016E-2</v>
      </c>
      <c r="J76">
        <f>(mpf_monthly_price!J77-MAX(mpf_monthly_price!J$2:J77))/MAX(mpf_monthly_price!J$2:J77)</f>
        <v>0</v>
      </c>
      <c r="K76">
        <f>(mpf_monthly_price!K77-MAX(mpf_monthly_price!K$2:K77))/MAX(mpf_monthly_price!K$2:K77)</f>
        <v>-0.15444747127798178</v>
      </c>
    </row>
    <row r="77" spans="1:11" x14ac:dyDescent="0.4">
      <c r="A77" s="6">
        <v>45139</v>
      </c>
      <c r="B77">
        <f>(mpf_monthly_price!B78-MAX(mpf_monthly_price!B$2:B78))/MAX(mpf_monthly_price!B$2:B78)</f>
        <v>-0.36966994669946701</v>
      </c>
      <c r="C77">
        <f>(mpf_monthly_price!C78-MAX(mpf_monthly_price!C$2:C78))/MAX(mpf_monthly_price!C$2:C78)</f>
        <v>-0.14042203187928978</v>
      </c>
      <c r="D77">
        <f>(mpf_monthly_price!D78-MAX(mpf_monthly_price!D$2:D78))/MAX(mpf_monthly_price!D$2:D78)</f>
        <v>-0.13360982353419526</v>
      </c>
      <c r="E77">
        <f>(mpf_monthly_price!E78-MAX(mpf_monthly_price!E$2:E78))/MAX(mpf_monthly_price!E$2:E78)</f>
        <v>-8.6390452295382086E-2</v>
      </c>
      <c r="F77">
        <f>(mpf_monthly_price!F78-MAX(mpf_monthly_price!F$2:F78))/MAX(mpf_monthly_price!F$2:F78)</f>
        <v>-0.16553706505295002</v>
      </c>
      <c r="G77">
        <f>(mpf_monthly_price!G78-MAX(mpf_monthly_price!G$2:G78))/MAX(mpf_monthly_price!G$2:G78)</f>
        <v>-3.5400377460231856E-2</v>
      </c>
      <c r="H77">
        <f>(mpf_monthly_price!H78-MAX(mpf_monthly_price!H$2:H78))/MAX(mpf_monthly_price!H$2:H78)</f>
        <v>-0.1833102276284603</v>
      </c>
      <c r="I77">
        <f>(mpf_monthly_price!I78-MAX(mpf_monthly_price!I$2:I78))/MAX(mpf_monthly_price!I$2:I78)</f>
        <v>-4.8811370326991912E-2</v>
      </c>
      <c r="J77">
        <f>(mpf_monthly_price!J78-MAX(mpf_monthly_price!J$2:J78))/MAX(mpf_monthly_price!J$2:J78)</f>
        <v>0</v>
      </c>
      <c r="K77">
        <f>(mpf_monthly_price!K78-MAX(mpf_monthly_price!K$2:K78))/MAX(mpf_monthly_price!K$2:K78)</f>
        <v>-0.17339808125074022</v>
      </c>
    </row>
    <row r="78" spans="1:11" x14ac:dyDescent="0.4">
      <c r="A78" s="6">
        <v>45170</v>
      </c>
      <c r="B78">
        <f>(mpf_monthly_price!B79-MAX(mpf_monthly_price!B$2:B79))/MAX(mpf_monthly_price!B$2:B79)</f>
        <v>-0.38658261582615827</v>
      </c>
      <c r="C78">
        <f>(mpf_monthly_price!C79-MAX(mpf_monthly_price!C$2:C79))/MAX(mpf_monthly_price!C$2:C79)</f>
        <v>-0.16146690112882187</v>
      </c>
      <c r="D78">
        <f>(mpf_monthly_price!D79-MAX(mpf_monthly_price!D$2:D79))/MAX(mpf_monthly_price!D$2:D79)</f>
        <v>-0.14971131170204113</v>
      </c>
      <c r="E78">
        <f>(mpf_monthly_price!E79-MAX(mpf_monthly_price!E$2:E79))/MAX(mpf_monthly_price!E$2:E79)</f>
        <v>-0.11683732284532442</v>
      </c>
      <c r="F78">
        <f>(mpf_monthly_price!F79-MAX(mpf_monthly_price!F$2:F79))/MAX(mpf_monthly_price!F$2:F79)</f>
        <v>-0.19282904689863847</v>
      </c>
      <c r="G78">
        <f>(mpf_monthly_price!G79-MAX(mpf_monthly_price!G$2:G79))/MAX(mpf_monthly_price!G$2:G79)</f>
        <v>-8.0479913723375485E-2</v>
      </c>
      <c r="H78">
        <f>(mpf_monthly_price!H79-MAX(mpf_monthly_price!H$2:H79))/MAX(mpf_monthly_price!H$2:H79)</f>
        <v>-0.20580474934036944</v>
      </c>
      <c r="I78">
        <f>(mpf_monthly_price!I79-MAX(mpf_monthly_price!I$2:I79))/MAX(mpf_monthly_price!I$2:I79)</f>
        <v>-9.7021303535817269E-2</v>
      </c>
      <c r="J78">
        <f>(mpf_monthly_price!J79-MAX(mpf_monthly_price!J$2:J79))/MAX(mpf_monthly_price!J$2:J79)</f>
        <v>0</v>
      </c>
      <c r="K78">
        <f>(mpf_monthly_price!K79-MAX(mpf_monthly_price!K$2:K79))/MAX(mpf_monthly_price!K$2:K79)</f>
        <v>-0.19846815902720197</v>
      </c>
    </row>
    <row r="79" spans="1:11" x14ac:dyDescent="0.4">
      <c r="A79" s="6">
        <v>45200</v>
      </c>
      <c r="B79">
        <f>(mpf_monthly_price!B80-MAX(mpf_monthly_price!B$2:B80))/MAX(mpf_monthly_price!B$2:B80)</f>
        <v>-0.41036285362853631</v>
      </c>
      <c r="C79">
        <f>(mpf_monthly_price!C80-MAX(mpf_monthly_price!C$2:C80))/MAX(mpf_monthly_price!C$2:C80)</f>
        <v>-0.18716319700493508</v>
      </c>
      <c r="D79">
        <f>(mpf_monthly_price!D80-MAX(mpf_monthly_price!D$2:D80))/MAX(mpf_monthly_price!D$2:D80)</f>
        <v>-0.15686752866552811</v>
      </c>
      <c r="E79">
        <f>(mpf_monthly_price!E80-MAX(mpf_monthly_price!E$2:E80))/MAX(mpf_monthly_price!E$2:E80)</f>
        <v>-0.12870414321556925</v>
      </c>
      <c r="F79">
        <f>(mpf_monthly_price!F80-MAX(mpf_monthly_price!F$2:F80))/MAX(mpf_monthly_price!F$2:F80)</f>
        <v>-0.21546142208774577</v>
      </c>
      <c r="G79">
        <f>(mpf_monthly_price!G80-MAX(mpf_monthly_price!G$2:G80))/MAX(mpf_monthly_price!G$2:G80)</f>
        <v>-9.3906713399838193E-2</v>
      </c>
      <c r="H79">
        <f>(mpf_monthly_price!H80-MAX(mpf_monthly_price!H$2:H80))/MAX(mpf_monthly_price!H$2:H80)</f>
        <v>-0.21998121729797426</v>
      </c>
      <c r="I79">
        <f>(mpf_monthly_price!I80-MAX(mpf_monthly_price!I$2:I80))/MAX(mpf_monthly_price!I$2:I80)</f>
        <v>-0.10813206292931538</v>
      </c>
      <c r="J79">
        <f>(mpf_monthly_price!J80-MAX(mpf_monthly_price!J$2:J80))/MAX(mpf_monthly_price!J$2:J80)</f>
        <v>0</v>
      </c>
      <c r="K79">
        <f>(mpf_monthly_price!K80-MAX(mpf_monthly_price!K$2:K80))/MAX(mpf_monthly_price!K$2:K80)</f>
        <v>-0.21445773619171699</v>
      </c>
    </row>
    <row r="80" spans="1:11" x14ac:dyDescent="0.4">
      <c r="A80" s="6">
        <v>45231</v>
      </c>
      <c r="B80">
        <f>(mpf_monthly_price!B81-MAX(mpf_monthly_price!B$2:B81))/MAX(mpf_monthly_price!B$2:B81)</f>
        <v>-0.41799917999179992</v>
      </c>
      <c r="C80">
        <f>(mpf_monthly_price!C81-MAX(mpf_monthly_price!C$2:C81))/MAX(mpf_monthly_price!C$2:C81)</f>
        <v>-0.14666175052470357</v>
      </c>
      <c r="D80">
        <f>(mpf_monthly_price!D81-MAX(mpf_monthly_price!D$2:D81))/MAX(mpf_monthly_price!D$2:D81)</f>
        <v>-0.12767341628039361</v>
      </c>
      <c r="E80">
        <f>(mpf_monthly_price!E81-MAX(mpf_monthly_price!E$2:E81))/MAX(mpf_monthly_price!E$2:E81)</f>
        <v>-7.5744219163219578E-2</v>
      </c>
      <c r="F80">
        <f>(mpf_monthly_price!F81-MAX(mpf_monthly_price!F$2:F81))/MAX(mpf_monthly_price!F$2:F81)</f>
        <v>-0.17627836611195155</v>
      </c>
      <c r="G80">
        <f>(mpf_monthly_price!G81-MAX(mpf_monthly_price!G$2:G81))/MAX(mpf_monthly_price!G$2:G81)</f>
        <v>-2.4400107845780412E-2</v>
      </c>
      <c r="H80">
        <f>(mpf_monthly_price!H81-MAX(mpf_monthly_price!H$2:H81))/MAX(mpf_monthly_price!H$2:H81)</f>
        <v>-0.18483073207817186</v>
      </c>
      <c r="I80">
        <f>(mpf_monthly_price!I81-MAX(mpf_monthly_price!I$2:I81))/MAX(mpf_monthly_price!I$2:I81)</f>
        <v>-3.3965369883827728E-2</v>
      </c>
      <c r="J80">
        <f>(mpf_monthly_price!J81-MAX(mpf_monthly_price!J$2:J81))/MAX(mpf_monthly_price!J$2:J81)</f>
        <v>0</v>
      </c>
      <c r="K80">
        <f>(mpf_monthly_price!K81-MAX(mpf_monthly_price!K$2:K81))/MAX(mpf_monthly_price!K$2:K81)</f>
        <v>-0.17825417505625965</v>
      </c>
    </row>
    <row r="81" spans="1:11" x14ac:dyDescent="0.4">
      <c r="A81" s="6">
        <v>45261</v>
      </c>
      <c r="B81">
        <f>(mpf_monthly_price!B82-MAX(mpf_monthly_price!B$2:B82))/MAX(mpf_monthly_price!B$2:B82)</f>
        <v>-0.4107728577285773</v>
      </c>
      <c r="C81">
        <f>(mpf_monthly_price!C82-MAX(mpf_monthly_price!C$2:C82))/MAX(mpf_monthly_price!C$2:C82)</f>
        <v>-0.10581995575472235</v>
      </c>
      <c r="D81">
        <f>(mpf_monthly_price!D82-MAX(mpf_monthly_price!D$2:D82))/MAX(mpf_monthly_price!D$2:D82)</f>
        <v>-0.10433439050174838</v>
      </c>
      <c r="E81">
        <f>(mpf_monthly_price!E82-MAX(mpf_monthly_price!E$2:E82))/MAX(mpf_monthly_price!E$2:E82)</f>
        <v>-4.3805519766732214E-2</v>
      </c>
      <c r="F81">
        <f>(mpf_monthly_price!F82-MAX(mpf_monthly_price!F$2:F82))/MAX(mpf_monthly_price!F$2:F82)</f>
        <v>-0.15276853252647507</v>
      </c>
      <c r="G81">
        <f>(mpf_monthly_price!G82-MAX(mpf_monthly_price!G$2:G82))/MAX(mpf_monthly_price!G$2:G82)</f>
        <v>0</v>
      </c>
      <c r="H81">
        <f>(mpf_monthly_price!H82-MAX(mpf_monthly_price!H$2:H82))/MAX(mpf_monthly_price!H$2:H82)</f>
        <v>-0.16090514735476955</v>
      </c>
      <c r="I81">
        <f>(mpf_monthly_price!I82-MAX(mpf_monthly_price!I$2:I82))/MAX(mpf_monthly_price!I$2:I82)</f>
        <v>0</v>
      </c>
      <c r="J81">
        <f>(mpf_monthly_price!J82-MAX(mpf_monthly_price!J$2:J82))/MAX(mpf_monthly_price!J$2:J82)</f>
        <v>0</v>
      </c>
      <c r="K81">
        <f>(mpf_monthly_price!K82-MAX(mpf_monthly_price!K$2:K82))/MAX(mpf_monthly_price!K$2:K82)</f>
        <v>-0.15377630384144653</v>
      </c>
    </row>
    <row r="82" spans="1:11" x14ac:dyDescent="0.4">
      <c r="A82" s="6">
        <v>45292</v>
      </c>
      <c r="B82">
        <f>(mpf_monthly_price!B83-MAX(mpf_monthly_price!B$2:B83))/MAX(mpf_monthly_price!B$2:B83)</f>
        <v>-0.46048585485854859</v>
      </c>
      <c r="C82">
        <f>(mpf_monthly_price!C83-MAX(mpf_monthly_price!C$2:C83))/MAX(mpf_monthly_price!C$2:C83)</f>
        <v>-0.13046684440410689</v>
      </c>
      <c r="D82">
        <f>(mpf_monthly_price!D83-MAX(mpf_monthly_price!D$2:D83))/MAX(mpf_monthly_price!D$2:D83)</f>
        <v>-0.10880702610392776</v>
      </c>
      <c r="E82">
        <f>(mpf_monthly_price!E83-MAX(mpf_monthly_price!E$2:E83))/MAX(mpf_monthly_price!E$2:E83)</f>
        <v>-3.6346375534006832E-2</v>
      </c>
      <c r="F82">
        <f>(mpf_monthly_price!F83-MAX(mpf_monthly_price!F$2:F83))/MAX(mpf_monthly_price!F$2:F83)</f>
        <v>-0.17083207261724653</v>
      </c>
      <c r="G82">
        <f>(mpf_monthly_price!G83-MAX(mpf_monthly_price!G$2:G83))/MAX(mpf_monthly_price!G$2:G83)</f>
        <v>0</v>
      </c>
      <c r="H82">
        <f>(mpf_monthly_price!H83-MAX(mpf_monthly_price!H$2:H83))/MAX(mpf_monthly_price!H$2:H83)</f>
        <v>-0.17262197576137034</v>
      </c>
      <c r="I82">
        <f>(mpf_monthly_price!I83-MAX(mpf_monthly_price!I$2:I83))/MAX(mpf_monthly_price!I$2:I83)</f>
        <v>0</v>
      </c>
      <c r="J82">
        <f>(mpf_monthly_price!J83-MAX(mpf_monthly_price!J$2:J83))/MAX(mpf_monthly_price!J$2:J83)</f>
        <v>0</v>
      </c>
      <c r="K82">
        <f>(mpf_monthly_price!K83-MAX(mpf_monthly_price!K$2:K83))/MAX(mpf_monthly_price!K$2:K83)</f>
        <v>-0.16696276994749099</v>
      </c>
    </row>
    <row r="83" spans="1:11" x14ac:dyDescent="0.4">
      <c r="A83" s="6">
        <v>45323</v>
      </c>
      <c r="B83">
        <f>(mpf_monthly_price!B84-MAX(mpf_monthly_price!B$2:B84))/MAX(mpf_monthly_price!B$2:B84)</f>
        <v>-0.42748052480524812</v>
      </c>
      <c r="C83">
        <f>(mpf_monthly_price!C84-MAX(mpf_monthly_price!C$2:C84))/MAX(mpf_monthly_price!C$2:C84)</f>
        <v>-9.5042259912643923E-2</v>
      </c>
      <c r="D83">
        <f>(mpf_monthly_price!D84-MAX(mpf_monthly_price!D$2:D84))/MAX(mpf_monthly_price!D$2:D84)</f>
        <v>-0.11319834105879484</v>
      </c>
      <c r="E83">
        <f>(mpf_monthly_price!E84-MAX(mpf_monthly_price!E$2:E84))/MAX(mpf_monthly_price!E$2:E84)</f>
        <v>-1.5392961280260353E-2</v>
      </c>
      <c r="F83">
        <f>(mpf_monthly_price!F84-MAX(mpf_monthly_price!F$2:F84))/MAX(mpf_monthly_price!F$2:F84)</f>
        <v>-0.13603630862329796</v>
      </c>
      <c r="G83">
        <f>(mpf_monthly_price!G84-MAX(mpf_monthly_price!G$2:G84))/MAX(mpf_monthly_price!G$2:G84)</f>
        <v>0</v>
      </c>
      <c r="H83">
        <f>(mpf_monthly_price!H84-MAX(mpf_monthly_price!H$2:H84))/MAX(mpf_monthly_price!H$2:H84)</f>
        <v>-0.1575510934215823</v>
      </c>
      <c r="I83">
        <f>(mpf_monthly_price!I84-MAX(mpf_monthly_price!I$2:I84))/MAX(mpf_monthly_price!I$2:I84)</f>
        <v>0</v>
      </c>
      <c r="J83">
        <f>(mpf_monthly_price!J84-MAX(mpf_monthly_price!J$2:J84))/MAX(mpf_monthly_price!J$2:J84)</f>
        <v>0</v>
      </c>
      <c r="K83">
        <f>(mpf_monthly_price!K84-MAX(mpf_monthly_price!K$2:K84))/MAX(mpf_monthly_price!K$2:K84)</f>
        <v>-0.15251292984326265</v>
      </c>
    </row>
    <row r="84" spans="1:11" x14ac:dyDescent="0.4">
      <c r="A84" s="6">
        <v>45352</v>
      </c>
      <c r="B84">
        <f>(mpf_monthly_price!B85-MAX(mpf_monthly_price!B$2:B85))/MAX(mpf_monthly_price!B$2:B85)</f>
        <v>-0.42671176711767117</v>
      </c>
      <c r="C84">
        <f>(mpf_monthly_price!C85-MAX(mpf_monthly_price!C$2:C85))/MAX(mpf_monthly_price!C$2:C85)</f>
        <v>-7.8592092574734762E-2</v>
      </c>
      <c r="D84">
        <f>(mpf_monthly_price!D85-MAX(mpf_monthly_price!D$2:D85))/MAX(mpf_monthly_price!D$2:D85)</f>
        <v>-0.10978287387167603</v>
      </c>
      <c r="E84">
        <f>(mpf_monthly_price!E85-MAX(mpf_monthly_price!E$2:E85))/MAX(mpf_monthly_price!E$2:E85)</f>
        <v>-6.7810402115677079E-4</v>
      </c>
      <c r="F84">
        <f>(mpf_monthly_price!F85-MAX(mpf_monthly_price!F$2:F85))/MAX(mpf_monthly_price!F$2:F85)</f>
        <v>-0.12387291981845687</v>
      </c>
      <c r="G84">
        <f>(mpf_monthly_price!G85-MAX(mpf_monthly_price!G$2:G85))/MAX(mpf_monthly_price!G$2:G85)</f>
        <v>0</v>
      </c>
      <c r="H84">
        <f>(mpf_monthly_price!H85-MAX(mpf_monthly_price!H$2:H85))/MAX(mpf_monthly_price!H$2:H85)</f>
        <v>-0.1494119225437146</v>
      </c>
      <c r="I84">
        <f>(mpf_monthly_price!I85-MAX(mpf_monthly_price!I$2:I85))/MAX(mpf_monthly_price!I$2:I85)</f>
        <v>0</v>
      </c>
      <c r="J84">
        <f>(mpf_monthly_price!J85-MAX(mpf_monthly_price!J$2:J85))/MAX(mpf_monthly_price!J$2:J85)</f>
        <v>0</v>
      </c>
      <c r="K84">
        <f>(mpf_monthly_price!K85-MAX(mpf_monthly_price!K$2:K85))/MAX(mpf_monthly_price!K$2:K85)</f>
        <v>-0.14430099885506725</v>
      </c>
    </row>
    <row r="85" spans="1:11" x14ac:dyDescent="0.4">
      <c r="A85" s="6">
        <v>45383</v>
      </c>
      <c r="B85">
        <f>(mpf_monthly_price!B86-MAX(mpf_monthly_price!B$2:B86))/MAX(mpf_monthly_price!B$2:B86)</f>
        <v>-0.38453259532595324</v>
      </c>
      <c r="C85">
        <f>(mpf_monthly_price!C86-MAX(mpf_monthly_price!C$2:C86))/MAX(mpf_monthly_price!C$2:C86)</f>
        <v>-8.0775994100629536E-2</v>
      </c>
      <c r="D85">
        <f>(mpf_monthly_price!D86-MAX(mpf_monthly_price!D$2:D86))/MAX(mpf_monthly_price!D$2:D86)</f>
        <v>-0.12385134585671305</v>
      </c>
      <c r="E85">
        <f>(mpf_monthly_price!E86-MAX(mpf_monthly_price!E$2:E86))/MAX(mpf_monthly_price!E$2:E86)</f>
        <v>-2.7666644063199262E-2</v>
      </c>
      <c r="F85">
        <f>(mpf_monthly_price!F86-MAX(mpf_monthly_price!F$2:F86))/MAX(mpf_monthly_price!F$2:F86)</f>
        <v>-0.12517397881996975</v>
      </c>
      <c r="G85">
        <f>(mpf_monthly_price!G86-MAX(mpf_monthly_price!G$2:G86))/MAX(mpf_monthly_price!G$2:G86)</f>
        <v>-4.2477748028077321E-2</v>
      </c>
      <c r="H85">
        <f>(mpf_monthly_price!H86-MAX(mpf_monthly_price!H$2:H86))/MAX(mpf_monthly_price!H$2:H86)</f>
        <v>-0.15835606636554725</v>
      </c>
      <c r="I85">
        <f>(mpf_monthly_price!I86-MAX(mpf_monthly_price!I$2:I86))/MAX(mpf_monthly_price!I$2:I86)</f>
        <v>-4.106799736155322E-2</v>
      </c>
      <c r="J85">
        <f>(mpf_monthly_price!J86-MAX(mpf_monthly_price!J$2:J86))/MAX(mpf_monthly_price!J$2:J86)</f>
        <v>0</v>
      </c>
      <c r="K85">
        <f>(mpf_monthly_price!K86-MAX(mpf_monthly_price!K$2:K86))/MAX(mpf_monthly_price!K$2:K86)</f>
        <v>-0.15357890165423035</v>
      </c>
    </row>
    <row r="86" spans="1:11" x14ac:dyDescent="0.4">
      <c r="A86" s="6">
        <v>45413</v>
      </c>
      <c r="B86">
        <f>(mpf_monthly_price!B87-MAX(mpf_monthly_price!B$2:B87))/MAX(mpf_monthly_price!B$2:B87)</f>
        <v>-0.36941369413694136</v>
      </c>
      <c r="C86">
        <f>(mpf_monthly_price!C87-MAX(mpf_monthly_price!C$2:C87))/MAX(mpf_monthly_price!C$2:C87)</f>
        <v>-6.704861308071923E-2</v>
      </c>
      <c r="D86">
        <f>(mpf_monthly_price!D87-MAX(mpf_monthly_price!D$2:D87))/MAX(mpf_monthly_price!D$2:D87)</f>
        <v>-0.11303569976417017</v>
      </c>
      <c r="E86">
        <f>(mpf_monthly_price!E87-MAX(mpf_monthly_price!E$2:E87))/MAX(mpf_monthly_price!E$2:E87)</f>
        <v>-2.1021224655861401E-3</v>
      </c>
      <c r="F86">
        <f>(mpf_monthly_price!F87-MAX(mpf_monthly_price!F$2:F87))/MAX(mpf_monthly_price!F$2:F87)</f>
        <v>-0.10217851739788195</v>
      </c>
      <c r="G86">
        <f>(mpf_monthly_price!G87-MAX(mpf_monthly_price!G$2:G87))/MAX(mpf_monthly_price!G$2:G87)</f>
        <v>0</v>
      </c>
      <c r="H86">
        <f>(mpf_monthly_price!H87-MAX(mpf_monthly_price!H$2:H87))/MAX(mpf_monthly_price!H$2:H87)</f>
        <v>-0.14176467957604766</v>
      </c>
      <c r="I86">
        <f>(mpf_monthly_price!I87-MAX(mpf_monthly_price!I$2:I87))/MAX(mpf_monthly_price!I$2:I87)</f>
        <v>0</v>
      </c>
      <c r="J86">
        <f>(mpf_monthly_price!J87-MAX(mpf_monthly_price!J$2:J87))/MAX(mpf_monthly_price!J$2:J87)</f>
        <v>0</v>
      </c>
      <c r="K86">
        <f>(mpf_monthly_price!K87-MAX(mpf_monthly_price!K$2:K87))/MAX(mpf_monthly_price!K$2:K87)</f>
        <v>-0.13735244186505582</v>
      </c>
    </row>
    <row r="87" spans="1:11" x14ac:dyDescent="0.4">
      <c r="A87" s="6">
        <v>45444</v>
      </c>
      <c r="B87">
        <f>(mpf_monthly_price!B88-MAX(mpf_monthly_price!B$2:B88))/MAX(mpf_monthly_price!B$2:B88)</f>
        <v>-0.37612751127511274</v>
      </c>
      <c r="C87">
        <f>(mpf_monthly_price!C88-MAX(mpf_monthly_price!C$2:C88))/MAX(mpf_monthly_price!C$2:C88)</f>
        <v>-3.1992739236485261E-2</v>
      </c>
      <c r="D87">
        <f>(mpf_monthly_price!D88-MAX(mpf_monthly_price!D$2:D88))/MAX(mpf_monthly_price!D$2:D88)</f>
        <v>-0.10628608603724481</v>
      </c>
      <c r="E87">
        <f>(mpf_monthly_price!E88-MAX(mpf_monthly_price!E$2:E88))/MAX(mpf_monthly_price!E$2:E88)</f>
        <v>0</v>
      </c>
      <c r="F87">
        <f>(mpf_monthly_price!F88-MAX(mpf_monthly_price!F$2:F88))/MAX(mpf_monthly_price!F$2:F88)</f>
        <v>-9.7730711043872959E-2</v>
      </c>
      <c r="G87">
        <f>(mpf_monthly_price!G88-MAX(mpf_monthly_price!G$2:G88))/MAX(mpf_monthly_price!G$2:G88)</f>
        <v>0</v>
      </c>
      <c r="H87">
        <f>(mpf_monthly_price!H88-MAX(mpf_monthly_price!H$2:H88))/MAX(mpf_monthly_price!H$2:H88)</f>
        <v>-0.13747149054156793</v>
      </c>
      <c r="I87">
        <f>(mpf_monthly_price!I88-MAX(mpf_monthly_price!I$2:I88))/MAX(mpf_monthly_price!I$2:I88)</f>
        <v>0</v>
      </c>
      <c r="J87">
        <f>(mpf_monthly_price!J88-MAX(mpf_monthly_price!J$2:J88))/MAX(mpf_monthly_price!J$2:J88)</f>
        <v>0</v>
      </c>
      <c r="K87">
        <f>(mpf_monthly_price!K88-MAX(mpf_monthly_price!K$2:K88))/MAX(mpf_monthly_price!K$2:K88)</f>
        <v>-0.13435192861936912</v>
      </c>
    </row>
    <row r="88" spans="1:11" x14ac:dyDescent="0.4">
      <c r="A88" s="6">
        <v>45474</v>
      </c>
      <c r="B88">
        <f>(mpf_monthly_price!B89-MAX(mpf_monthly_price!B$2:B89))/MAX(mpf_monthly_price!B$2:B89)</f>
        <v>-0.38566010660106598</v>
      </c>
      <c r="C88">
        <f>(mpf_monthly_price!C89-MAX(mpf_monthly_price!C$2:C89))/MAX(mpf_monthly_price!C$2:C89)</f>
        <v>-3.6218730500879183E-2</v>
      </c>
      <c r="D88">
        <f>(mpf_monthly_price!D89-MAX(mpf_monthly_price!D$2:D89))/MAX(mpf_monthly_price!D$2:D89)</f>
        <v>-8.8476864275839603E-2</v>
      </c>
      <c r="E88">
        <f>(mpf_monthly_price!E89-MAX(mpf_monthly_price!E$2:E89))/MAX(mpf_monthly_price!E$2:E89)</f>
        <v>0</v>
      </c>
      <c r="F88">
        <f>(mpf_monthly_price!F89-MAX(mpf_monthly_price!F$2:F89))/MAX(mpf_monthly_price!F$2:F89)</f>
        <v>-9.8819969742813998E-2</v>
      </c>
      <c r="G88">
        <f>(mpf_monthly_price!G89-MAX(mpf_monthly_price!G$2:G89))/MAX(mpf_monthly_price!G$2:G89)</f>
        <v>-2.2629712579319951E-3</v>
      </c>
      <c r="H88">
        <f>(mpf_monthly_price!H89-MAX(mpf_monthly_price!H$2:H89))/MAX(mpf_monthly_price!H$2:H89)</f>
        <v>-0.12808013952864367</v>
      </c>
      <c r="I88">
        <f>(mpf_monthly_price!I89-MAX(mpf_monthly_price!I$2:I89))/MAX(mpf_monthly_price!I$2:I89)</f>
        <v>-2.4863939000470594E-3</v>
      </c>
      <c r="J88">
        <f>(mpf_monthly_price!J89-MAX(mpf_monthly_price!J$2:J89))/MAX(mpf_monthly_price!J$2:J89)</f>
        <v>0</v>
      </c>
      <c r="K88">
        <f>(mpf_monthly_price!K89-MAX(mpf_monthly_price!K$2:K89))/MAX(mpf_monthly_price!K$2:K89)</f>
        <v>-0.12538986931975202</v>
      </c>
    </row>
    <row r="89" spans="1:11" x14ac:dyDescent="0.4">
      <c r="A89" s="6">
        <v>45505</v>
      </c>
      <c r="B89">
        <f>(mpf_monthly_price!B90-MAX(mpf_monthly_price!B$2:B90))/MAX(mpf_monthly_price!B$2:B90)</f>
        <v>-0.35675481754817545</v>
      </c>
      <c r="C89">
        <f>(mpf_monthly_price!C90-MAX(mpf_monthly_price!C$2:C90))/MAX(mpf_monthly_price!C$2:C90)</f>
        <v>-1.6648703840263217E-2</v>
      </c>
      <c r="D89">
        <f>(mpf_monthly_price!D90-MAX(mpf_monthly_price!D$2:D90))/MAX(mpf_monthly_price!D$2:D90)</f>
        <v>-7.8799707245669662E-2</v>
      </c>
      <c r="E89">
        <f>(mpf_monthly_price!E90-MAX(mpf_monthly_price!E$2:E90))/MAX(mpf_monthly_price!E$2:E90)</f>
        <v>0</v>
      </c>
      <c r="F89">
        <f>(mpf_monthly_price!F90-MAX(mpf_monthly_price!F$2:F90))/MAX(mpf_monthly_price!F$2:F90)</f>
        <v>-7.3948562783661118E-2</v>
      </c>
      <c r="G89">
        <f>(mpf_monthly_price!G90-MAX(mpf_monthly_price!G$2:G90))/MAX(mpf_monthly_price!G$2:G90)</f>
        <v>0</v>
      </c>
      <c r="H89">
        <f>(mpf_monthly_price!H90-MAX(mpf_monthly_price!H$2:H90))/MAX(mpf_monthly_price!H$2:H90)</f>
        <v>-0.11153347345825332</v>
      </c>
      <c r="I89">
        <f>(mpf_monthly_price!I90-MAX(mpf_monthly_price!I$2:I90))/MAX(mpf_monthly_price!I$2:I90)</f>
        <v>0</v>
      </c>
      <c r="J89">
        <f>(mpf_monthly_price!J90-MAX(mpf_monthly_price!J$2:J90))/MAX(mpf_monthly_price!J$2:J90)</f>
        <v>0</v>
      </c>
      <c r="K89">
        <f>(mpf_monthly_price!K90-MAX(mpf_monthly_price!K$2:K90))/MAX(mpf_monthly_price!K$2:K90)</f>
        <v>-0.10793951596983696</v>
      </c>
    </row>
    <row r="90" spans="1:11" x14ac:dyDescent="0.4">
      <c r="A90" s="6">
        <v>45536</v>
      </c>
      <c r="B90">
        <f>(mpf_monthly_price!B91-MAX(mpf_monthly_price!B$2:B91))/MAX(mpf_monthly_price!B$2:B91)</f>
        <v>-0.24953874538745385</v>
      </c>
      <c r="C90">
        <f>(mpf_monthly_price!C91-MAX(mpf_monthly_price!C$2:C91))/MAX(mpf_monthly_price!C$2:C91)</f>
        <v>0</v>
      </c>
      <c r="D90">
        <f>(mpf_monthly_price!D91-MAX(mpf_monthly_price!D$2:D91))/MAX(mpf_monthly_price!D$2:D91)</f>
        <v>-6.9773115393998525E-2</v>
      </c>
      <c r="E90">
        <f>(mpf_monthly_price!E91-MAX(mpf_monthly_price!E$2:E91))/MAX(mpf_monthly_price!E$2:E91)</f>
        <v>0</v>
      </c>
      <c r="F90">
        <f>(mpf_monthly_price!F91-MAX(mpf_monthly_price!F$2:F91))/MAX(mpf_monthly_price!F$2:F91)</f>
        <v>-1.9697428139183029E-2</v>
      </c>
      <c r="G90">
        <f>(mpf_monthly_price!G91-MAX(mpf_monthly_price!G$2:G91))/MAX(mpf_monthly_price!G$2:G91)</f>
        <v>0</v>
      </c>
      <c r="H90">
        <f>(mpf_monthly_price!H91-MAX(mpf_monthly_price!H$2:H91))/MAX(mpf_monthly_price!H$2:H91)</f>
        <v>-7.9826483609856544E-2</v>
      </c>
      <c r="I90">
        <f>(mpf_monthly_price!I91-MAX(mpf_monthly_price!I$2:I91))/MAX(mpf_monthly_price!I$2:I91)</f>
        <v>0</v>
      </c>
      <c r="J90">
        <f>(mpf_monthly_price!J91-MAX(mpf_monthly_price!J$2:J91))/MAX(mpf_monthly_price!J$2:J91)</f>
        <v>0</v>
      </c>
      <c r="K90">
        <f>(mpf_monthly_price!K91-MAX(mpf_monthly_price!K$2:K91))/MAX(mpf_monthly_price!K$2:K91)</f>
        <v>-7.3157250582336464E-2</v>
      </c>
    </row>
    <row r="91" spans="1:11" x14ac:dyDescent="0.4">
      <c r="A91" s="6">
        <v>45566</v>
      </c>
      <c r="B91">
        <f>(mpf_monthly_price!B92-MAX(mpf_monthly_price!B$2:B92))/MAX(mpf_monthly_price!B$2:B92)</f>
        <v>-0.26978269782697833</v>
      </c>
      <c r="C91">
        <f>(mpf_monthly_price!C92-MAX(mpf_monthly_price!C$2:C92))/MAX(mpf_monthly_price!C$2:C92)</f>
        <v>-4.0410768803774637E-2</v>
      </c>
      <c r="D91">
        <f>(mpf_monthly_price!D92-MAX(mpf_monthly_price!D$2:D92))/MAX(mpf_monthly_price!D$2:D92)</f>
        <v>-8.4573473204846761E-2</v>
      </c>
      <c r="E91">
        <f>(mpf_monthly_price!E92-MAX(mpf_monthly_price!E$2:E92))/MAX(mpf_monthly_price!E$2:E92)</f>
        <v>-1.82178470979289E-2</v>
      </c>
      <c r="F91">
        <f>(mpf_monthly_price!F92-MAX(mpf_monthly_price!F$2:F92))/MAX(mpf_monthly_price!F$2:F92)</f>
        <v>-5.2617246596066522E-2</v>
      </c>
      <c r="G91">
        <f>(mpf_monthly_price!G92-MAX(mpf_monthly_price!G$2:G92))/MAX(mpf_monthly_price!G$2:G92)</f>
        <v>-1.027404909208756E-3</v>
      </c>
      <c r="H91">
        <f>(mpf_monthly_price!H92-MAX(mpf_monthly_price!H$2:H92))/MAX(mpf_monthly_price!H$2:H92)</f>
        <v>-0.10701668082822774</v>
      </c>
      <c r="I91">
        <f>(mpf_monthly_price!I92-MAX(mpf_monthly_price!I$2:I92))/MAX(mpf_monthly_price!I$2:I92)</f>
        <v>-5.1340108472434009E-3</v>
      </c>
      <c r="J91">
        <f>(mpf_monthly_price!J92-MAX(mpf_monthly_price!J$2:J92))/MAX(mpf_monthly_price!J$2:J92)</f>
        <v>0</v>
      </c>
      <c r="K91">
        <f>(mpf_monthly_price!K92-MAX(mpf_monthly_price!K$2:K92))/MAX(mpf_monthly_price!K$2:K92)</f>
        <v>-0.10225433297800943</v>
      </c>
    </row>
    <row r="92" spans="1:11" x14ac:dyDescent="0.4">
      <c r="A92" s="6">
        <v>45597</v>
      </c>
      <c r="B92">
        <f>(mpf_monthly_price!B93-MAX(mpf_monthly_price!B$2:B93))/MAX(mpf_monthly_price!B$2:B93)</f>
        <v>-0.30535055350553514</v>
      </c>
      <c r="C92">
        <f>(mpf_monthly_price!C93-MAX(mpf_monthly_price!C$2:C93))/MAX(mpf_monthly_price!C$2:C93)</f>
        <v>-5.1928948098806646E-2</v>
      </c>
      <c r="D92">
        <f>(mpf_monthly_price!D93-MAX(mpf_monthly_price!D$2:D93))/MAX(mpf_monthly_price!D$2:D93)</f>
        <v>-7.6929332357485516E-2</v>
      </c>
      <c r="E92">
        <f>(mpf_monthly_price!E93-MAX(mpf_monthly_price!E$2:E93))/MAX(mpf_monthly_price!E$2:E93)</f>
        <v>0</v>
      </c>
      <c r="F92">
        <f>(mpf_monthly_price!F93-MAX(mpf_monthly_price!F$2:F93))/MAX(mpf_monthly_price!F$2:F93)</f>
        <v>-5.7881996974281376E-2</v>
      </c>
      <c r="G92">
        <f>(mpf_monthly_price!G93-MAX(mpf_monthly_price!G$2:G93))/MAX(mpf_monthly_price!G$2:G93)</f>
        <v>0</v>
      </c>
      <c r="H92">
        <f>(mpf_monthly_price!H93-MAX(mpf_monthly_price!H$2:H93))/MAX(mpf_monthly_price!H$2:H93)</f>
        <v>-0.10563033853584367</v>
      </c>
      <c r="I92">
        <f>(mpf_monthly_price!I93-MAX(mpf_monthly_price!I$2:I93))/MAX(mpf_monthly_price!I$2:I93)</f>
        <v>0</v>
      </c>
      <c r="J92">
        <f>(mpf_monthly_price!J93-MAX(mpf_monthly_price!J$2:J93))/MAX(mpf_monthly_price!J$2:J93)</f>
        <v>0</v>
      </c>
      <c r="K92">
        <f>(mpf_monthly_price!K93-MAX(mpf_monthly_price!K$2:K93))/MAX(mpf_monthly_price!K$2:K93)</f>
        <v>-0.10134628291681468</v>
      </c>
    </row>
    <row r="93" spans="1:11" x14ac:dyDescent="0.4">
      <c r="A93" s="6">
        <v>45627</v>
      </c>
      <c r="B93">
        <f>(mpf_monthly_price!B94-MAX(mpf_monthly_price!B$2:B94))/MAX(mpf_monthly_price!B$2:B94)</f>
        <v>-0.28223657236572364</v>
      </c>
      <c r="C93">
        <f>(mpf_monthly_price!C94-MAX(mpf_monthly_price!C$2:C94))/MAX(mpf_monthly_price!C$2:C94)</f>
        <v>-6.1670829864002297E-2</v>
      </c>
      <c r="D93">
        <f>(mpf_monthly_price!D94-MAX(mpf_monthly_price!D$2:D94))/MAX(mpf_monthly_price!D$2:D94)</f>
        <v>-8.7257054566154374E-2</v>
      </c>
      <c r="E93">
        <f>(mpf_monthly_price!E94-MAX(mpf_monthly_price!E$2:E94))/MAX(mpf_monthly_price!E$2:E94)</f>
        <v>-1.9300361881785272E-2</v>
      </c>
      <c r="F93">
        <f>(mpf_monthly_price!F94-MAX(mpf_monthly_price!F$2:F94))/MAX(mpf_monthly_price!F$2:F94)</f>
        <v>-6.6323751891074173E-2</v>
      </c>
      <c r="G93">
        <f>(mpf_monthly_price!G94-MAX(mpf_monthly_price!G$2:G94))/MAX(mpf_monthly_price!G$2:G94)</f>
        <v>-2.9934000425803711E-2</v>
      </c>
      <c r="H93">
        <f>(mpf_monthly_price!H94-MAX(mpf_monthly_price!H$2:H94))/MAX(mpf_monthly_price!H$2:H94)</f>
        <v>-0.11761549125709946</v>
      </c>
      <c r="I93">
        <f>(mpf_monthly_price!I94-MAX(mpf_monthly_price!I$2:I94))/MAX(mpf_monthly_price!I$2:I94)</f>
        <v>-2.6795580110497277E-2</v>
      </c>
      <c r="J93">
        <f>(mpf_monthly_price!J94-MAX(mpf_monthly_price!J$2:J94))/MAX(mpf_monthly_price!J$2:J94)</f>
        <v>0</v>
      </c>
      <c r="K93">
        <f>(mpf_monthly_price!K94-MAX(mpf_monthly_price!K$2:K94))/MAX(mpf_monthly_price!K$2:K94)</f>
        <v>-0.11382210114888067</v>
      </c>
    </row>
    <row r="94" spans="1:11" x14ac:dyDescent="0.4">
      <c r="A94" s="6">
        <v>45658</v>
      </c>
      <c r="B94">
        <f>(mpf_monthly_price!B95-MAX(mpf_monthly_price!B$2:B95))/MAX(mpf_monthly_price!B$2:B95)</f>
        <v>-0.27603526035260356</v>
      </c>
      <c r="C94">
        <f>(mpf_monthly_price!C95-MAX(mpf_monthly_price!C$2:C95))/MAX(mpf_monthly_price!C$2:C95)</f>
        <v>-4.4351928948098855E-2</v>
      </c>
      <c r="D94">
        <f>(mpf_monthly_price!D95-MAX(mpf_monthly_price!D$2:D95))/MAX(mpf_monthly_price!D$2:D95)</f>
        <v>-8.1320647312352612E-2</v>
      </c>
      <c r="E94">
        <f>(mpf_monthly_price!E95-MAX(mpf_monthly_price!E$2:E95))/MAX(mpf_monthly_price!E$2:E95)</f>
        <v>0</v>
      </c>
      <c r="F94">
        <f>(mpf_monthly_price!F95-MAX(mpf_monthly_price!F$2:F95))/MAX(mpf_monthly_price!F$2:F95)</f>
        <v>-4.9198184568835068E-2</v>
      </c>
      <c r="G94">
        <f>(mpf_monthly_price!G95-MAX(mpf_monthly_price!G$2:G95))/MAX(mpf_monthly_price!G$2:G95)</f>
        <v>0</v>
      </c>
      <c r="H94">
        <f>(mpf_monthly_price!H95-MAX(mpf_monthly_price!H$2:H95))/MAX(mpf_monthly_price!H$2:H95)</f>
        <v>-0.10674835651357276</v>
      </c>
      <c r="I94">
        <f>(mpf_monthly_price!I95-MAX(mpf_monthly_price!I$2:I95))/MAX(mpf_monthly_price!I$2:I95)</f>
        <v>0</v>
      </c>
      <c r="J94">
        <f>(mpf_monthly_price!J95-MAX(mpf_monthly_price!J$2:J95))/MAX(mpf_monthly_price!J$2:J95)</f>
        <v>0</v>
      </c>
      <c r="K94">
        <f>(mpf_monthly_price!K95-MAX(mpf_monthly_price!K$2:K95))/MAX(mpf_monthly_price!K$2:K95)</f>
        <v>-0.10296498085198778</v>
      </c>
    </row>
    <row r="95" spans="1:11" x14ac:dyDescent="0.4">
      <c r="A95" s="6">
        <v>45689</v>
      </c>
      <c r="B95">
        <f>(mpf_monthly_price!B96-MAX(mpf_monthly_price!B$2:B96))/MAX(mpf_monthly_price!B$2:B96)</f>
        <v>-0.18050430504305043</v>
      </c>
      <c r="C95">
        <f>(mpf_monthly_price!C96-MAX(mpf_monthly_price!C$2:C96))/MAX(mpf_monthly_price!C$2:C96)</f>
        <v>-3.5720233139050803E-2</v>
      </c>
      <c r="D95">
        <f>(mpf_monthly_price!D96-MAX(mpf_monthly_price!D$2:D96))/MAX(mpf_monthly_price!D$2:D96)</f>
        <v>-6.6845572090753827E-2</v>
      </c>
      <c r="E95">
        <f>(mpf_monthly_price!E96-MAX(mpf_monthly_price!E$2:E96))/MAX(mpf_monthly_price!E$2:E96)</f>
        <v>0</v>
      </c>
      <c r="F95">
        <f>(mpf_monthly_price!F96-MAX(mpf_monthly_price!F$2:F96))/MAX(mpf_monthly_price!F$2:F96)</f>
        <v>-1.9697428139183029E-2</v>
      </c>
      <c r="G95">
        <f>(mpf_monthly_price!G96-MAX(mpf_monthly_price!G$2:G96))/MAX(mpf_monthly_price!G$2:G96)</f>
        <v>-2.4201952319176531E-2</v>
      </c>
      <c r="H95">
        <f>(mpf_monthly_price!H96-MAX(mpf_monthly_price!H$2:H96))/MAX(mpf_monthly_price!H$2:H96)</f>
        <v>-8.5014087026519469E-2</v>
      </c>
      <c r="I95">
        <f>(mpf_monthly_price!I96-MAX(mpf_monthly_price!I$2:I96))/MAX(mpf_monthly_price!I$2:I96)</f>
        <v>-1.9324877659043269E-2</v>
      </c>
      <c r="J95">
        <f>(mpf_monthly_price!J96-MAX(mpf_monthly_price!J$2:J96))/MAX(mpf_monthly_price!J$2:J96)</f>
        <v>0</v>
      </c>
      <c r="K95">
        <f>(mpf_monthly_price!K96-MAX(mpf_monthly_price!K$2:K96))/MAX(mpf_monthly_price!K$2:K96)</f>
        <v>-8.1053338070985831E-2</v>
      </c>
    </row>
    <row r="96" spans="1:11" x14ac:dyDescent="0.4">
      <c r="A96" s="6">
        <v>45717</v>
      </c>
      <c r="B96">
        <f>(mpf_monthly_price!B97-MAX(mpf_monthly_price!B$2:B97))/MAX(mpf_monthly_price!B$2:B97)</f>
        <v>-0.16881918819188191</v>
      </c>
      <c r="C96">
        <f>(mpf_monthly_price!C97-MAX(mpf_monthly_price!C$2:C97))/MAX(mpf_monthly_price!C$2:C97)</f>
        <v>-3.1334998612267607E-2</v>
      </c>
      <c r="D96">
        <f>(mpf_monthly_price!D97-MAX(mpf_monthly_price!D$2:D97))/MAX(mpf_monthly_price!D$2:D97)</f>
        <v>-6.6113686264942628E-2</v>
      </c>
      <c r="E96">
        <f>(mpf_monthly_price!E97-MAX(mpf_monthly_price!E$2:E97))/MAX(mpf_monthly_price!E$2:E97)</f>
        <v>-2.1178111724050392E-2</v>
      </c>
      <c r="F96">
        <f>(mpf_monthly_price!F97-MAX(mpf_monthly_price!F$2:F97))/MAX(mpf_monthly_price!F$2:F97)</f>
        <v>-2.4175491679273856E-2</v>
      </c>
      <c r="G96">
        <f>(mpf_monthly_price!G97-MAX(mpf_monthly_price!G$2:G97))/MAX(mpf_monthly_price!G$2:G97)</f>
        <v>-7.5051572701558808E-2</v>
      </c>
      <c r="H96">
        <f>(mpf_monthly_price!H97-MAX(mpf_monthly_price!H$2:H97))/MAX(mpf_monthly_price!H$2:H97)</f>
        <v>-8.6400429318903543E-2</v>
      </c>
      <c r="I96">
        <f>(mpf_monthly_price!I97-MAX(mpf_monthly_price!I$2:I97))/MAX(mpf_monthly_price!I$2:I97)</f>
        <v>-7.2206132028363026E-2</v>
      </c>
      <c r="J96">
        <f>(mpf_monthly_price!J97-MAX(mpf_monthly_price!J$2:J97))/MAX(mpf_monthly_price!J$2:J97)</f>
        <v>0</v>
      </c>
      <c r="K96">
        <f>(mpf_monthly_price!K97-MAX(mpf_monthly_price!K$2:K97))/MAX(mpf_monthly_price!K$2:K97)</f>
        <v>-8.2711516443602154E-2</v>
      </c>
    </row>
    <row r="97" spans="1:11" x14ac:dyDescent="0.4">
      <c r="A97" s="6">
        <v>45748</v>
      </c>
      <c r="B97">
        <f>(mpf_monthly_price!B98-MAX(mpf_monthly_price!B$2:B98))/MAX(mpf_monthly_price!B$2:B98)</f>
        <v>-0.20556580565805666</v>
      </c>
      <c r="C97">
        <f>(mpf_monthly_price!C98-MAX(mpf_monthly_price!C$2:C98))/MAX(mpf_monthly_price!C$2:C98)</f>
        <v>-2.5451013044685028E-2</v>
      </c>
      <c r="D97">
        <f>(mpf_monthly_price!D98-MAX(mpf_monthly_price!D$2:D98))/MAX(mpf_monthly_price!D$2:D98)</f>
        <v>-6.814670244775145E-2</v>
      </c>
      <c r="E97">
        <f>(mpf_monthly_price!E98-MAX(mpf_monthly_price!E$2:E98))/MAX(mpf_monthly_price!E$2:E98)</f>
        <v>-1.6612770274554562E-2</v>
      </c>
      <c r="F97">
        <f>(mpf_monthly_price!F98-MAX(mpf_monthly_price!F$2:F98))/MAX(mpf_monthly_price!F$2:F98)</f>
        <v>-2.7503782148260138E-2</v>
      </c>
      <c r="G97">
        <f>(mpf_monthly_price!G98-MAX(mpf_monthly_price!G$2:G98))/MAX(mpf_monthly_price!G$2:G98)</f>
        <v>-8.9002785989238775E-2</v>
      </c>
      <c r="H97">
        <f>(mpf_monthly_price!H98-MAX(mpf_monthly_price!H$2:H98))/MAX(mpf_monthly_price!H$2:H98)</f>
        <v>-8.4477438397209489E-2</v>
      </c>
      <c r="I97">
        <f>(mpf_monthly_price!I98-MAX(mpf_monthly_price!I$2:I98))/MAX(mpf_monthly_price!I$2:I98)</f>
        <v>-8.3741136522520632E-2</v>
      </c>
      <c r="J97">
        <f>(mpf_monthly_price!J98-MAX(mpf_monthly_price!J$2:J98))/MAX(mpf_monthly_price!J$2:J98)</f>
        <v>0</v>
      </c>
      <c r="K97">
        <f>(mpf_monthly_price!K98-MAX(mpf_monthly_price!K$2:K98))/MAX(mpf_monthly_price!K$2:K98)</f>
        <v>-8.1250740258202003E-2</v>
      </c>
    </row>
    <row r="98" spans="1:11" x14ac:dyDescent="0.4">
      <c r="A98" s="6">
        <v>45778</v>
      </c>
      <c r="B98">
        <f>(mpf_monthly_price!B99-MAX(mpf_monthly_price!B$2:B99))/MAX(mpf_monthly_price!B$2:B99)</f>
        <v>-0.16005535055350562</v>
      </c>
      <c r="C98">
        <f>(mpf_monthly_price!C99-MAX(mpf_monthly_price!C$2:C99))/MAX(mpf_monthly_price!C$2:C99)</f>
        <v>0</v>
      </c>
      <c r="D98">
        <f>(mpf_monthly_price!D99-MAX(mpf_monthly_price!D$2:D99))/MAX(mpf_monthly_price!D$2:D99)</f>
        <v>-6.0990485484264452E-2</v>
      </c>
      <c r="E98">
        <f>(mpf_monthly_price!E99-MAX(mpf_monthly_price!E$2:E99))/MAX(mpf_monthly_price!E$2:E99)</f>
        <v>0</v>
      </c>
      <c r="F98">
        <f>(mpf_monthly_price!F99-MAX(mpf_monthly_price!F$2:F99))/MAX(mpf_monthly_price!F$2:F99)</f>
        <v>0</v>
      </c>
      <c r="G98">
        <f>(mpf_monthly_price!G99-MAX(mpf_monthly_price!G$2:G99))/MAX(mpf_monthly_price!G$2:G99)</f>
        <v>-2.832776844388676E-2</v>
      </c>
      <c r="H98">
        <f>(mpf_monthly_price!H99-MAX(mpf_monthly_price!H$2:H99))/MAX(mpf_monthly_price!H$2:H99)</f>
        <v>-5.5185367380707492E-2</v>
      </c>
      <c r="I98">
        <f>(mpf_monthly_price!I99-MAX(mpf_monthly_price!I$2:I99))/MAX(mpf_monthly_price!I$2:I99)</f>
        <v>-2.2545690602217051E-2</v>
      </c>
      <c r="J98">
        <f>(mpf_monthly_price!J99-MAX(mpf_monthly_price!J$2:J99))/MAX(mpf_monthly_price!J$2:J99)</f>
        <v>0</v>
      </c>
      <c r="K98">
        <f>(mpf_monthly_price!K99-MAX(mpf_monthly_price!K$2:K99))/MAX(mpf_monthly_price!K$2:K99)</f>
        <v>-5.1956255675312868E-2</v>
      </c>
    </row>
    <row r="99" spans="1:11" x14ac:dyDescent="0.4">
      <c r="A99" s="6">
        <v>45809</v>
      </c>
      <c r="B99">
        <f>(mpf_monthly_price!B100-MAX(mpf_monthly_price!B$2:B100))/MAX(mpf_monthly_price!B$2:B100)</f>
        <v>-0.12664001640016403</v>
      </c>
      <c r="C99">
        <f>(mpf_monthly_price!C100-MAX(mpf_monthly_price!C$2:C100))/MAX(mpf_monthly_price!C$2:C100)</f>
        <v>0</v>
      </c>
      <c r="D99">
        <f>(mpf_monthly_price!D100-MAX(mpf_monthly_price!D$2:D100))/MAX(mpf_monthly_price!D$2:D100)</f>
        <v>-4.9686915507847436E-2</v>
      </c>
      <c r="E99">
        <f>(mpf_monthly_price!E100-MAX(mpf_monthly_price!E$2:E100))/MAX(mpf_monthly_price!E$2:E100)</f>
        <v>0</v>
      </c>
      <c r="F99">
        <f>(mpf_monthly_price!F100-MAX(mpf_monthly_price!F$2:F100))/MAX(mpf_monthly_price!F$2:F100)</f>
        <v>0</v>
      </c>
      <c r="G99">
        <f>(mpf_monthly_price!G100-MAX(mpf_monthly_price!G$2:G100))/MAX(mpf_monthly_price!G$2:G100)</f>
        <v>0</v>
      </c>
      <c r="H99">
        <f>(mpf_monthly_price!H100-MAX(mpf_monthly_price!H$2:H100))/MAX(mpf_monthly_price!H$2:H100)</f>
        <v>-2.9381512454720368E-2</v>
      </c>
      <c r="I99">
        <f>(mpf_monthly_price!I100-MAX(mpf_monthly_price!I$2:I100))/MAX(mpf_monthly_price!I$2:I100)</f>
        <v>0</v>
      </c>
      <c r="J99">
        <f>(mpf_monthly_price!J100-MAX(mpf_monthly_price!J$2:J100))/MAX(mpf_monthly_price!J$2:J100)</f>
        <v>0</v>
      </c>
      <c r="K99">
        <f>(mpf_monthly_price!K100-MAX(mpf_monthly_price!K$2:K100))/MAX(mpf_monthly_price!K$2:K100)</f>
        <v>-2.6609814836748315E-2</v>
      </c>
    </row>
    <row r="100" spans="1:11" x14ac:dyDescent="0.4">
      <c r="A100" s="6">
        <v>45839</v>
      </c>
      <c r="B100">
        <f>(mpf_monthly_price!B101-MAX(mpf_monthly_price!B$2:B101))/MAX(mpf_monthly_price!B$2:B101)</f>
        <v>-0.11095735957359576</v>
      </c>
      <c r="C100">
        <f>(mpf_monthly_price!C101-MAX(mpf_monthly_price!C$2:C101))/MAX(mpf_monthly_price!C$2:C101)</f>
        <v>-3.0634355308710075E-3</v>
      </c>
      <c r="D100">
        <f>(mpf_monthly_price!D101-MAX(mpf_monthly_price!D$2:D101))/MAX(mpf_monthly_price!D$2:D101)</f>
        <v>-4.2937301780922185E-2</v>
      </c>
      <c r="E100">
        <f>(mpf_monthly_price!E101-MAX(mpf_monthly_price!E$2:E101))/MAX(mpf_monthly_price!E$2:E101)</f>
        <v>-1.2064181445288948E-3</v>
      </c>
      <c r="F100">
        <f>(mpf_monthly_price!F101-MAX(mpf_monthly_price!F$2:F101))/MAX(mpf_monthly_price!F$2:F101)</f>
        <v>0</v>
      </c>
      <c r="G100">
        <f>(mpf_monthly_price!G101-MAX(mpf_monthly_price!G$2:G101))/MAX(mpf_monthly_price!G$2:G101)</f>
        <v>0</v>
      </c>
      <c r="H100">
        <f>(mpf_monthly_price!H101-MAX(mpf_monthly_price!H$2:H101))/MAX(mpf_monthly_price!H$2:H101)</f>
        <v>-2.8174053038772913E-2</v>
      </c>
      <c r="I100">
        <f>(mpf_monthly_price!I101-MAX(mpf_monthly_price!I$2:I101))/MAX(mpf_monthly_price!I$2:I101)</f>
        <v>0</v>
      </c>
      <c r="J100">
        <f>(mpf_monthly_price!J101-MAX(mpf_monthly_price!J$2:J101))/MAX(mpf_monthly_price!J$2:J101)</f>
        <v>0</v>
      </c>
      <c r="K100">
        <f>(mpf_monthly_price!K101-MAX(mpf_monthly_price!K$2:K101))/MAX(mpf_monthly_price!K$2:K101)</f>
        <v>-2.5899166962769959E-2</v>
      </c>
    </row>
    <row r="101" spans="1:11" x14ac:dyDescent="0.4">
      <c r="A101" s="6">
        <v>45870</v>
      </c>
      <c r="B101">
        <f>(mpf_monthly_price!B102-MAX(mpf_monthly_price!B$2:B102))/MAX(mpf_monthly_price!B$2:B102)</f>
        <v>-6.9751947519475263E-2</v>
      </c>
      <c r="C101">
        <f>(mpf_monthly_price!C102-MAX(mpf_monthly_price!C$2:C102))/MAX(mpf_monthly_price!C$2:C102)</f>
        <v>0</v>
      </c>
      <c r="D101">
        <f>(mpf_monthly_price!D102-MAX(mpf_monthly_price!D$2:D102))/MAX(mpf_monthly_price!D$2:D102)</f>
        <v>-3.9033910709929232E-2</v>
      </c>
      <c r="E101">
        <f>(mpf_monthly_price!E102-MAX(mpf_monthly_price!E$2:E102))/MAX(mpf_monthly_price!E$2:E102)</f>
        <v>0</v>
      </c>
      <c r="F101">
        <f>(mpf_monthly_price!F102-MAX(mpf_monthly_price!F$2:F102))/MAX(mpf_monthly_price!F$2:F102)</f>
        <v>0</v>
      </c>
      <c r="G101">
        <f>(mpf_monthly_price!G102-MAX(mpf_monthly_price!G$2:G102))/MAX(mpf_monthly_price!G$2:G102)</f>
        <v>0</v>
      </c>
      <c r="H101">
        <f>(mpf_monthly_price!H102-MAX(mpf_monthly_price!H$2:H102))/MAX(mpf_monthly_price!H$2:H102)</f>
        <v>-7.9602880014310682E-3</v>
      </c>
      <c r="I101">
        <f>(mpf_monthly_price!I102-MAX(mpf_monthly_price!I$2:I102))/MAX(mpf_monthly_price!I$2:I102)</f>
        <v>0</v>
      </c>
      <c r="J101">
        <f>(mpf_monthly_price!J102-MAX(mpf_monthly_price!J$2:J102))/MAX(mpf_monthly_price!J$2:J102)</f>
        <v>0</v>
      </c>
      <c r="K101">
        <f>(mpf_monthly_price!K102-MAX(mpf_monthly_price!K$2:K102))/MAX(mpf_monthly_price!K$2:K102)</f>
        <v>-5.132456867622026E-3</v>
      </c>
    </row>
    <row r="102" spans="1:11" x14ac:dyDescent="0.4">
      <c r="A102" s="6">
        <v>45901</v>
      </c>
      <c r="B102">
        <f>(mpf_monthly_price!B103-MAX(mpf_monthly_price!B$2:B103))/MAX(mpf_monthly_price!B$2:B103)</f>
        <v>-6.5600656006560122E-3</v>
      </c>
      <c r="C102">
        <f>(mpf_monthly_price!C103-MAX(mpf_monthly_price!C$2:C103))/MAX(mpf_monthly_price!C$2:C103)</f>
        <v>0</v>
      </c>
      <c r="D102">
        <f>(mpf_monthly_price!D103-MAX(mpf_monthly_price!D$2:D103))/MAX(mpf_monthly_price!D$2:D103)</f>
        <v>-2.9844677563633421E-2</v>
      </c>
      <c r="E102">
        <f>(mpf_monthly_price!E103-MAX(mpf_monthly_price!E$2:E103))/MAX(mpf_monthly_price!E$2:E103)</f>
        <v>0</v>
      </c>
      <c r="F102">
        <f>(mpf_monthly_price!F103-MAX(mpf_monthly_price!F$2:F103))/MAX(mpf_monthly_price!F$2:F103)</f>
        <v>0</v>
      </c>
      <c r="G102">
        <f>(mpf_monthly_price!G103-MAX(mpf_monthly_price!G$2:G103))/MAX(mpf_monthly_price!G$2:G103)</f>
        <v>0</v>
      </c>
      <c r="H102">
        <f>(mpf_monthly_price!H103-MAX(mpf_monthly_price!H$2:H103))/MAX(mpf_monthly_price!H$2:H103)</f>
        <v>0</v>
      </c>
      <c r="I102">
        <f>(mpf_monthly_price!I103-MAX(mpf_monthly_price!I$2:I103))/MAX(mpf_monthly_price!I$2:I103)</f>
        <v>0</v>
      </c>
      <c r="J102">
        <f>(mpf_monthly_price!J103-MAX(mpf_monthly_price!J$2:J103))/MAX(mpf_monthly_price!J$2:J103)</f>
        <v>0</v>
      </c>
      <c r="K102">
        <f>(mpf_monthly_price!K103-MAX(mpf_monthly_price!K$2:K103))/MAX(mpf_monthly_price!K$2:K103)</f>
        <v>0</v>
      </c>
    </row>
    <row r="103" spans="1:11" x14ac:dyDescent="0.4">
      <c r="A103" s="6">
        <v>45931</v>
      </c>
      <c r="B103">
        <f>(mpf_monthly_price!B104-MAX(mpf_monthly_price!B$2:B104))/MAX(mpf_monthly_price!B$2:B104)</f>
        <v>-4.8329233292332956E-2</v>
      </c>
      <c r="C103">
        <f>(mpf_monthly_price!C104-MAX(mpf_monthly_price!C$2:C104))/MAX(mpf_monthly_price!C$2:C104)</f>
        <v>0</v>
      </c>
      <c r="D103">
        <f>(mpf_monthly_price!D104-MAX(mpf_monthly_price!D$2:D104))/MAX(mpf_monthly_price!D$2:D104)</f>
        <v>-2.6754492965763942E-2</v>
      </c>
      <c r="E103">
        <f>(mpf_monthly_price!E104-MAX(mpf_monthly_price!E$2:E104))/MAX(mpf_monthly_price!E$2:E104)</f>
        <v>0</v>
      </c>
      <c r="F103">
        <f>(mpf_monthly_price!F104-MAX(mpf_monthly_price!F$2:F104))/MAX(mpf_monthly_price!F$2:F104)</f>
        <v>0</v>
      </c>
      <c r="G103">
        <f>(mpf_monthly_price!G104-MAX(mpf_monthly_price!G$2:G104))/MAX(mpf_monthly_price!G$2:G104)</f>
        <v>0</v>
      </c>
      <c r="H103">
        <f>(mpf_monthly_price!H104-MAX(mpf_monthly_price!H$2:H104))/MAX(mpf_monthly_price!H$2:H104)</f>
        <v>-4.3807771498748529E-5</v>
      </c>
      <c r="I103">
        <f>(mpf_monthly_price!I104-MAX(mpf_monthly_price!I$2:I104))/MAX(mpf_monthly_price!I$2:I104)</f>
        <v>0</v>
      </c>
      <c r="J103">
        <f>(mpf_monthly_price!J104-MAX(mpf_monthly_price!J$2:J104))/MAX(mpf_monthly_price!J$2:J104)</f>
        <v>0</v>
      </c>
      <c r="K103">
        <f>(mpf_monthly_price!K104-MAX(mpf_monthly_price!K$2:K104))/MAX(mpf_monthly_price!K$2:K104)</f>
        <v>0</v>
      </c>
    </row>
    <row r="104" spans="1:11" x14ac:dyDescent="0.4">
      <c r="A104" s="6">
        <v>45962</v>
      </c>
      <c r="B104">
        <f>(mpf_monthly_price!B105-MAX(mpf_monthly_price!B$2:B105))/MAX(mpf_monthly_price!B$2:B105)</f>
        <v>-5.1814268142681495E-2</v>
      </c>
      <c r="C104">
        <f>(mpf_monthly_price!C105-MAX(mpf_monthly_price!C$2:C105))/MAX(mpf_monthly_price!C$2:C105)</f>
        <v>-3.5543882687677726E-2</v>
      </c>
      <c r="D104">
        <f>(mpf_monthly_price!D105-MAX(mpf_monthly_price!D$2:D105))/MAX(mpf_monthly_price!D$2:D105)</f>
        <v>-2.431487354639339E-2</v>
      </c>
      <c r="E104">
        <f>(mpf_monthly_price!E105-MAX(mpf_monthly_price!E$2:E105))/MAX(mpf_monthly_price!E$2:E105)</f>
        <v>-2.0593787540758809E-3</v>
      </c>
      <c r="F104">
        <f>(mpf_monthly_price!F105-MAX(mpf_monthly_price!F$2:F105))/MAX(mpf_monthly_price!F$2:F105)</f>
        <v>-7.3127569874564162E-3</v>
      </c>
      <c r="G104">
        <f>(mpf_monthly_price!G105-MAX(mpf_monthly_price!G$2:G105))/MAX(mpf_monthly_price!G$2:G105)</f>
        <v>-7.1903614457831675E-3</v>
      </c>
      <c r="H104">
        <f>(mpf_monthly_price!H105-MAX(mpf_monthly_price!H$2:H105))/MAX(mpf_monthly_price!H$2:H105)</f>
        <v>-4.3807771498663864E-3</v>
      </c>
      <c r="I104">
        <f>(mpf_monthly_price!I105-MAX(mpf_monthly_price!I$2:I105))/MAX(mpf_monthly_price!I$2:I105)</f>
        <v>-4.3158105492647498E-3</v>
      </c>
      <c r="J104">
        <f>(mpf_monthly_price!J105-MAX(mpf_monthly_price!J$2:J105))/MAX(mpf_monthly_price!J$2:J105)</f>
        <v>0</v>
      </c>
      <c r="K104">
        <f>(mpf_monthly_price!K105-MAX(mpf_monthly_price!K$2:K105))/MAX(mpf_monthly_price!K$2:K105)</f>
        <v>-3.7401195295933185E-3</v>
      </c>
    </row>
    <row r="105" spans="1:11" x14ac:dyDescent="0.4">
      <c r="A105" s="6">
        <v>45992</v>
      </c>
      <c r="B105">
        <f>(mpf_monthly_price!B106-MAX(mpf_monthly_price!B$2:B106))/MAX(mpf_monthly_price!B$2:B106)</f>
        <v>-3.9924149241492374E-2</v>
      </c>
      <c r="C105">
        <f>(mpf_monthly_price!C106-MAX(mpf_monthly_price!C$2:C106))/MAX(mpf_monthly_price!C$2:C106)</f>
        <v>0</v>
      </c>
      <c r="D105">
        <f>(mpf_monthly_price!D106-MAX(mpf_monthly_price!D$2:D106))/MAX(mpf_monthly_price!D$2:D106)</f>
        <v>-2.3664308367894581E-2</v>
      </c>
      <c r="E105">
        <f>(mpf_monthly_price!E106-MAX(mpf_monthly_price!E$2:E106))/MAX(mpf_monthly_price!E$2:E106)</f>
        <v>0</v>
      </c>
      <c r="F105">
        <f>(mpf_monthly_price!F106-MAX(mpf_monthly_price!F$2:F106))/MAX(mpf_monthly_price!F$2:F106)</f>
        <v>0</v>
      </c>
      <c r="G105">
        <f>(mpf_monthly_price!G106-MAX(mpf_monthly_price!G$2:G106))/MAX(mpf_monthly_price!G$2:G106)</f>
        <v>-6.0722891566264625E-3</v>
      </c>
      <c r="H105">
        <f>(mpf_monthly_price!H106-MAX(mpf_monthly_price!H$2:H106))/MAX(mpf_monthly_price!H$2:H106)</f>
        <v>0</v>
      </c>
      <c r="I105">
        <f>(mpf_monthly_price!I106-MAX(mpf_monthly_price!I$2:I106))/MAX(mpf_monthly_price!I$2:I106)</f>
        <v>0</v>
      </c>
      <c r="J105">
        <f>(mpf_monthly_price!J106-MAX(mpf_monthly_price!J$2:J106))/MAX(mpf_monthly_price!J$2:J106)</f>
        <v>0</v>
      </c>
      <c r="K105">
        <f>(mpf_monthly_price!K106-MAX(mpf_monthly_price!K$2:K106))/MAX(mpf_monthly_price!K$2:K106)</f>
        <v>0</v>
      </c>
    </row>
    <row r="106" spans="1:11" x14ac:dyDescent="0.4">
      <c r="A106" s="6">
        <v>46023</v>
      </c>
      <c r="B106">
        <f>(mpf_monthly_price!B107-MAX(mpf_monthly_price!B$2:B107))/MAX(mpf_monthly_price!B$2:B107)</f>
        <v>-2.618901189011897E-2</v>
      </c>
      <c r="C106">
        <f>(mpf_monthly_price!C107-MAX(mpf_monthly_price!C$2:C107))/MAX(mpf_monthly_price!C$2:C107)</f>
        <v>0</v>
      </c>
      <c r="D106">
        <f>(mpf_monthly_price!D107-MAX(mpf_monthly_price!D$2:D107))/MAX(mpf_monthly_price!D$2:D107)</f>
        <v>-2.1468650890461093E-2</v>
      </c>
      <c r="E106">
        <f>(mpf_monthly_price!E107-MAX(mpf_monthly_price!E$2:E107))/MAX(mpf_monthly_price!E$2:E107)</f>
        <v>0</v>
      </c>
      <c r="F106">
        <f>(mpf_monthly_price!F107-MAX(mpf_monthly_price!F$2:F107))/MAX(mpf_monthly_price!F$2:F107)</f>
        <v>0</v>
      </c>
      <c r="G106">
        <f>(mpf_monthly_price!G107-MAX(mpf_monthly_price!G$2:G107))/MAX(mpf_monthly_price!G$2:G107)</f>
        <v>0</v>
      </c>
      <c r="H106">
        <f>(mpf_monthly_price!H107-MAX(mpf_monthly_price!H$2:H107))/MAX(mpf_monthly_price!H$2:H107)</f>
        <v>0</v>
      </c>
      <c r="I106">
        <f>(mpf_monthly_price!I107-MAX(mpf_monthly_price!I$2:I107))/MAX(mpf_monthly_price!I$2:I107)</f>
        <v>0</v>
      </c>
      <c r="J106">
        <f>(mpf_monthly_price!J107-MAX(mpf_monthly_price!J$2:J107))/MAX(mpf_monthly_price!J$2:J107)</f>
        <v>0</v>
      </c>
      <c r="K106">
        <f>(mpf_monthly_price!K107-MAX(mpf_monthly_price!K$2:K107))/MAX(mpf_monthly_price!K$2:K107)</f>
        <v>0</v>
      </c>
    </row>
    <row r="107" spans="1:11" x14ac:dyDescent="0.4">
      <c r="A107" s="6">
        <v>46054</v>
      </c>
      <c r="B107">
        <f>(mpf_monthly_price!B108-MAX(mpf_monthly_price!B$2:B108))/MAX(mpf_monthly_price!B$2:B108)</f>
        <v>-5.0686756867568752E-2</v>
      </c>
      <c r="C107">
        <f>(mpf_monthly_price!C108-MAX(mpf_monthly_price!C$2:C108))/MAX(mpf_monthly_price!C$2:C108)</f>
        <v>0</v>
      </c>
      <c r="D107">
        <f>(mpf_monthly_price!D108-MAX(mpf_monthly_price!D$2:D108))/MAX(mpf_monthly_price!D$2:D108)</f>
        <v>-1.0815646092542883E-2</v>
      </c>
      <c r="E107">
        <f>(mpf_monthly_price!E108-MAX(mpf_monthly_price!E$2:E108))/MAX(mpf_monthly_price!E$2:E108)</f>
        <v>0</v>
      </c>
      <c r="F107">
        <f>(mpf_monthly_price!F108-MAX(mpf_monthly_price!F$2:F108))/MAX(mpf_monthly_price!F$2:F108)</f>
        <v>0</v>
      </c>
      <c r="G107">
        <f>(mpf_monthly_price!G108-MAX(mpf_monthly_price!G$2:G108))/MAX(mpf_monthly_price!G$2:G108)</f>
        <v>-1.3656479705217677E-2</v>
      </c>
      <c r="H107">
        <f>(mpf_monthly_price!H108-MAX(mpf_monthly_price!H$2:H108))/MAX(mpf_monthly_price!H$2:H108)</f>
        <v>0</v>
      </c>
      <c r="I107">
        <f>(mpf_monthly_price!I108-MAX(mpf_monthly_price!I$2:I108))/MAX(mpf_monthly_price!I$2:I108)</f>
        <v>-1.3107960741548508E-2</v>
      </c>
      <c r="J107">
        <f>(mpf_monthly_price!J108-MAX(mpf_monthly_price!J$2:J108))/MAX(mpf_monthly_price!J$2:J108)</f>
        <v>0</v>
      </c>
      <c r="K107">
        <f>(mpf_monthly_price!K108-MAX(mpf_monthly_price!K$2:K108))/MAX(mpf_monthly_price!K$2:K108)</f>
        <v>0</v>
      </c>
    </row>
    <row r="108" spans="1:11" x14ac:dyDescent="0.4">
      <c r="A108" s="6">
        <v>46082</v>
      </c>
      <c r="B108">
        <f>(mpf_monthly_price!B109-MAX(mpf_monthly_price!B$2:B109))/MAX(mpf_monthly_price!B$2:B109)</f>
        <v>-7.7900779007790161E-2</v>
      </c>
      <c r="C108">
        <f>(mpf_monthly_price!C109-MAX(mpf_monthly_price!C$2:C109))/MAX(mpf_monthly_price!C$2:C109)</f>
        <v>-7.6766446554644291E-2</v>
      </c>
      <c r="D108">
        <f>(mpf_monthly_price!D109-MAX(mpf_monthly_price!D$2:D109))/MAX(mpf_monthly_price!D$2:D109)</f>
        <v>-2.3501667073269908E-2</v>
      </c>
      <c r="E108">
        <f>(mpf_monthly_price!E109-MAX(mpf_monthly_price!E$2:E109))/MAX(mpf_monthly_price!E$2:E109)</f>
        <v>-3.4810476295723376E-2</v>
      </c>
      <c r="F108">
        <f>(mpf_monthly_price!F109-MAX(mpf_monthly_price!F$2:F109))/MAX(mpf_monthly_price!F$2:F109)</f>
        <v>-4.8698144369960193E-2</v>
      </c>
      <c r="G108">
        <f>(mpf_monthly_price!G109-MAX(mpf_monthly_price!G$2:G109))/MAX(mpf_monthly_price!G$2:G109)</f>
        <v>-5.8652585994035965E-2</v>
      </c>
      <c r="H108">
        <f>(mpf_monthly_price!H109-MAX(mpf_monthly_price!H$2:H109))/MAX(mpf_monthly_price!H$2:H109)</f>
        <v>-4.0720405956243211E-2</v>
      </c>
      <c r="I108">
        <f>(mpf_monthly_price!I109-MAX(mpf_monthly_price!I$2:I109))/MAX(mpf_monthly_price!I$2:I109)</f>
        <v>-5.5899672846237723E-2</v>
      </c>
      <c r="J108">
        <f>(mpf_monthly_price!J109-MAX(mpf_monthly_price!J$2:J109))/MAX(mpf_monthly_price!J$2:J109)</f>
        <v>0</v>
      </c>
      <c r="K108">
        <f>(mpf_monthly_price!K109-MAX(mpf_monthly_price!K$2:K109))/MAX(mpf_monthly_price!K$2:K109)</f>
        <v>-3.4567992326422207E-2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AC5A9-BC86-4494-9D5F-3BBFAEFCE34B}">
  <dimension ref="A1:K109"/>
  <sheetViews>
    <sheetView workbookViewId="0">
      <selection activeCell="B3" sqref="B3"/>
    </sheetView>
  </sheetViews>
  <sheetFormatPr defaultRowHeight="17" x14ac:dyDescent="0.4"/>
  <sheetData>
    <row r="1" spans="1:11" x14ac:dyDescent="0.4">
      <c r="A1" s="6" t="s">
        <v>10</v>
      </c>
      <c r="B1" t="str">
        <f>表格1_[[#Headers],[中港基金]]</f>
        <v>中港基金</v>
      </c>
      <c r="C1" t="str">
        <f>表格1_[[#Headers],[亞洲股票基金]]</f>
        <v>亞洲股票基金</v>
      </c>
      <c r="D1" t="str">
        <f>表格1_[[#Headers],[亞洲債券基金]]</f>
        <v>亞洲債券基金</v>
      </c>
      <c r="E1" t="str">
        <f>表格1_[[#Headers],[核心累積基金]]</f>
        <v>核心累積基金</v>
      </c>
      <c r="F1" t="str">
        <f>表格1_[[#Headers],[增長組合]]</f>
        <v>增長組合</v>
      </c>
      <c r="G1" t="str">
        <f>表格1_[[#Headers],[北美股票基金]]</f>
        <v>北美股票基金</v>
      </c>
      <c r="H1" t="str">
        <f>表格1_[[#Headers],[基金經理精選退休基金]]</f>
        <v>基金經理精選退休基金</v>
      </c>
      <c r="I1" t="str">
        <f>表格1_[[#Headers],[美洲基金]]</f>
        <v>美洲基金</v>
      </c>
      <c r="J1" t="str">
        <f>表格1_[[#Headers],[強積金保守基金]]</f>
        <v>強積金保守基金</v>
      </c>
      <c r="K1" t="str">
        <f>表格1_[[#Headers],[均衡組合]]</f>
        <v>均衡組合</v>
      </c>
    </row>
    <row r="2" spans="1:11" x14ac:dyDescent="0.4">
      <c r="A2" s="6"/>
    </row>
    <row r="3" spans="1:11" x14ac:dyDescent="0.4">
      <c r="A3" s="6">
        <v>42887</v>
      </c>
      <c r="B3">
        <f>IF(mpf_monthly_return!B2 &lt; 0, mpf_monthly_return!B2, 0)</f>
        <v>0</v>
      </c>
      <c r="C3">
        <f>IF(mpf_monthly_return!C2 &lt; 0, mpf_monthly_return!C2, 0)</f>
        <v>0</v>
      </c>
      <c r="D3">
        <f>IF(mpf_monthly_return!D2 &lt; 0, mpf_monthly_return!D2, 0)</f>
        <v>0</v>
      </c>
      <c r="E3">
        <f>IF(mpf_monthly_return!E2 &lt; 0, mpf_monthly_return!E2, 0)</f>
        <v>0</v>
      </c>
      <c r="F3">
        <f>IF(mpf_monthly_return!F2 &lt; 0, mpf_monthly_return!F2, 0)</f>
        <v>0</v>
      </c>
      <c r="G3">
        <f>IF(mpf_monthly_return!G2 &lt; 0, mpf_monthly_return!G2, 0)</f>
        <v>0</v>
      </c>
      <c r="H3">
        <f>IF(mpf_monthly_return!H2 &lt; 0, mpf_monthly_return!H2, 0)</f>
        <v>0</v>
      </c>
      <c r="I3">
        <f>IF(mpf_monthly_return!I2 &lt; 0, mpf_monthly_return!I2, 0)</f>
        <v>0</v>
      </c>
      <c r="J3">
        <f>IF(mpf_monthly_return!J2 &lt; 0, mpf_monthly_return!J2, 0)</f>
        <v>0</v>
      </c>
      <c r="K3">
        <f>IF(mpf_monthly_return!K2 &lt; 0, mpf_monthly_return!K2, 0)</f>
        <v>0</v>
      </c>
    </row>
    <row r="4" spans="1:11" x14ac:dyDescent="0.4">
      <c r="A4" s="6">
        <v>42917</v>
      </c>
      <c r="B4">
        <f>IF(mpf_monthly_return!B3 &lt; 0, mpf_monthly_return!B3, 0)</f>
        <v>0</v>
      </c>
      <c r="C4">
        <f>IF(mpf_monthly_return!C3 &lt; 0, mpf_monthly_return!C3, 0)</f>
        <v>0</v>
      </c>
      <c r="D4">
        <f>IF(mpf_monthly_return!D3 &lt; 0, mpf_monthly_return!D3, 0)</f>
        <v>0</v>
      </c>
      <c r="E4">
        <f>IF(mpf_monthly_return!E3 &lt; 0, mpf_monthly_return!E3, 0)</f>
        <v>-1.9533163745555681E-3</v>
      </c>
      <c r="F4">
        <f>IF(mpf_monthly_return!F3 &lt; 0, mpf_monthly_return!F3, 0)</f>
        <v>0</v>
      </c>
      <c r="G4">
        <f>IF(mpf_monthly_return!G3 &lt; 0, mpf_monthly_return!G3, 0)</f>
        <v>-2.4484611419129752E-3</v>
      </c>
      <c r="H4">
        <f>IF(mpf_monthly_return!H3 &lt; 0, mpf_monthly_return!H3, 0)</f>
        <v>0</v>
      </c>
      <c r="I4">
        <f>IF(mpf_monthly_return!I3 &lt; 0, mpf_monthly_return!I3, 0)</f>
        <v>-5.1245552722875695E-4</v>
      </c>
      <c r="J4">
        <f>IF(mpf_monthly_return!J3 &lt; 0, mpf_monthly_return!J3, 0)</f>
        <v>0</v>
      </c>
      <c r="K4">
        <f>IF(mpf_monthly_return!K3 &lt; 0, mpf_monthly_return!K3, 0)</f>
        <v>0</v>
      </c>
    </row>
    <row r="5" spans="1:11" x14ac:dyDescent="0.4">
      <c r="A5" s="6">
        <v>42948</v>
      </c>
      <c r="B5">
        <f>IF(mpf_monthly_return!B4 &lt; 0, mpf_monthly_return!B4, 0)</f>
        <v>0</v>
      </c>
      <c r="C5">
        <f>IF(mpf_monthly_return!C4 &lt; 0, mpf_monthly_return!C4, 0)</f>
        <v>0</v>
      </c>
      <c r="D5">
        <f>IF(mpf_monthly_return!D4 &lt; 0, mpf_monthly_return!D4, 0)</f>
        <v>0</v>
      </c>
      <c r="E5">
        <f>IF(mpf_monthly_return!E4 &lt; 0, mpf_monthly_return!E4, 0)</f>
        <v>0</v>
      </c>
      <c r="F5">
        <f>IF(mpf_monthly_return!F4 &lt; 0, mpf_monthly_return!F4, 0)</f>
        <v>0</v>
      </c>
      <c r="G5">
        <f>IF(mpf_monthly_return!G4 &lt; 0, mpf_monthly_return!G4, 0)</f>
        <v>0</v>
      </c>
      <c r="H5">
        <f>IF(mpf_monthly_return!H4 &lt; 0, mpf_monthly_return!H4, 0)</f>
        <v>0</v>
      </c>
      <c r="I5">
        <f>IF(mpf_monthly_return!I4 &lt; 0, mpf_monthly_return!I4, 0)</f>
        <v>0</v>
      </c>
      <c r="J5">
        <f>IF(mpf_monthly_return!J4 &lt; 0, mpf_monthly_return!J4, 0)</f>
        <v>0</v>
      </c>
      <c r="K5">
        <f>IF(mpf_monthly_return!K4 &lt; 0, mpf_monthly_return!K4, 0)</f>
        <v>0</v>
      </c>
    </row>
    <row r="6" spans="1:11" x14ac:dyDescent="0.4">
      <c r="A6" s="6">
        <v>42979</v>
      </c>
      <c r="B6">
        <f>IF(mpf_monthly_return!B5 &lt; 0, mpf_monthly_return!B5, 0)</f>
        <v>0</v>
      </c>
      <c r="C6">
        <f>IF(mpf_monthly_return!C5 &lt; 0, mpf_monthly_return!C5, 0)</f>
        <v>-1.1198895356320161E-2</v>
      </c>
      <c r="D6">
        <f>IF(mpf_monthly_return!D5 &lt; 0, mpf_monthly_return!D5, 0)</f>
        <v>0</v>
      </c>
      <c r="E6">
        <f>IF(mpf_monthly_return!E5 &lt; 0, mpf_monthly_return!E5, 0)</f>
        <v>0</v>
      </c>
      <c r="F6">
        <f>IF(mpf_monthly_return!F5 &lt; 0, mpf_monthly_return!F5, 0)</f>
        <v>0</v>
      </c>
      <c r="G6">
        <f>IF(mpf_monthly_return!G5 &lt; 0, mpf_monthly_return!G5, 0)</f>
        <v>-2.5673955052458097E-3</v>
      </c>
      <c r="H6">
        <f>IF(mpf_monthly_return!H5 &lt; 0, mpf_monthly_return!H5, 0)</f>
        <v>0</v>
      </c>
      <c r="I6">
        <f>IF(mpf_monthly_return!I5 &lt; 0, mpf_monthly_return!I5, 0)</f>
        <v>0</v>
      </c>
      <c r="J6">
        <f>IF(mpf_monthly_return!J5 &lt; 0, mpf_monthly_return!J5, 0)</f>
        <v>0</v>
      </c>
      <c r="K6">
        <f>IF(mpf_monthly_return!K5 &lt; 0, mpf_monthly_return!K5, 0)</f>
        <v>0</v>
      </c>
    </row>
    <row r="7" spans="1:11" x14ac:dyDescent="0.4">
      <c r="A7" s="6">
        <v>43009</v>
      </c>
      <c r="B7">
        <f>IF(mpf_monthly_return!B6 &lt; 0, mpf_monthly_return!B6, 0)</f>
        <v>-1.6725635325910513E-2</v>
      </c>
      <c r="C7">
        <f>IF(mpf_monthly_return!C6 &lt; 0, mpf_monthly_return!C6, 0)</f>
        <v>-1.5996213115326275E-2</v>
      </c>
      <c r="D7">
        <f>IF(mpf_monthly_return!D6 &lt; 0, mpf_monthly_return!D6, 0)</f>
        <v>-9.1197356427769691E-3</v>
      </c>
      <c r="E7">
        <f>IF(mpf_monthly_return!E6 &lt; 0, mpf_monthly_return!E6, 0)</f>
        <v>0</v>
      </c>
      <c r="F7">
        <f>IF(mpf_monthly_return!F6 &lt; 0, mpf_monthly_return!F6, 0)</f>
        <v>0</v>
      </c>
      <c r="G7">
        <f>IF(mpf_monthly_return!G6 &lt; 0, mpf_monthly_return!G6, 0)</f>
        <v>0</v>
      </c>
      <c r="H7">
        <f>IF(mpf_monthly_return!H6 &lt; 0, mpf_monthly_return!H6, 0)</f>
        <v>0</v>
      </c>
      <c r="I7">
        <f>IF(mpf_monthly_return!I6 &lt; 0, mpf_monthly_return!I6, 0)</f>
        <v>0</v>
      </c>
      <c r="J7">
        <f>IF(mpf_monthly_return!J6 &lt; 0, mpf_monthly_return!J6, 0)</f>
        <v>0</v>
      </c>
      <c r="K7">
        <f>IF(mpf_monthly_return!K6 &lt; 0, mpf_monthly_return!K6, 0)</f>
        <v>0</v>
      </c>
    </row>
    <row r="8" spans="1:11" x14ac:dyDescent="0.4">
      <c r="A8" s="6">
        <v>43040</v>
      </c>
      <c r="B8">
        <f>IF(mpf_monthly_return!B7 &lt; 0, mpf_monthly_return!B7, 0)</f>
        <v>0</v>
      </c>
      <c r="C8">
        <f>IF(mpf_monthly_return!C7 &lt; 0, mpf_monthly_return!C7, 0)</f>
        <v>0</v>
      </c>
      <c r="D8">
        <f>IF(mpf_monthly_return!D7 &lt; 0, mpf_monthly_return!D7, 0)</f>
        <v>-4.0279198291862991E-3</v>
      </c>
      <c r="E8">
        <f>IF(mpf_monthly_return!E7 &lt; 0, mpf_monthly_return!E7, 0)</f>
        <v>0</v>
      </c>
      <c r="F8">
        <f>IF(mpf_monthly_return!F7 &lt; 0, mpf_monthly_return!F7, 0)</f>
        <v>0</v>
      </c>
      <c r="G8">
        <f>IF(mpf_monthly_return!G7 &lt; 0, mpf_monthly_return!G7, 0)</f>
        <v>0</v>
      </c>
      <c r="H8">
        <f>IF(mpf_monthly_return!H7 &lt; 0, mpf_monthly_return!H7, 0)</f>
        <v>0</v>
      </c>
      <c r="I8">
        <f>IF(mpf_monthly_return!I7 &lt; 0, mpf_monthly_return!I7, 0)</f>
        <v>0</v>
      </c>
      <c r="J8">
        <f>IF(mpf_monthly_return!J7 &lt; 0, mpf_monthly_return!J7, 0)</f>
        <v>0</v>
      </c>
      <c r="K8">
        <f>IF(mpf_monthly_return!K7 &lt; 0, mpf_monthly_return!K7, 0)</f>
        <v>0</v>
      </c>
    </row>
    <row r="9" spans="1:11" x14ac:dyDescent="0.4">
      <c r="A9" s="6">
        <v>43070</v>
      </c>
      <c r="B9">
        <f>IF(mpf_monthly_return!B8 &lt; 0, mpf_monthly_return!B8, 0)</f>
        <v>0</v>
      </c>
      <c r="C9">
        <f>IF(mpf_monthly_return!C8 &lt; 0, mpf_monthly_return!C8, 0)</f>
        <v>-1.7529077546274734E-2</v>
      </c>
      <c r="D9">
        <f>IF(mpf_monthly_return!D8 &lt; 0, mpf_monthly_return!D8, 0)</f>
        <v>0</v>
      </c>
      <c r="E9">
        <f>IF(mpf_monthly_return!E8 &lt; 0, mpf_monthly_return!E8, 0)</f>
        <v>0</v>
      </c>
      <c r="F9">
        <f>IF(mpf_monthly_return!F8 &lt; 0, mpf_monthly_return!F8, 0)</f>
        <v>0</v>
      </c>
      <c r="G9">
        <f>IF(mpf_monthly_return!G8 &lt; 0, mpf_monthly_return!G8, 0)</f>
        <v>0</v>
      </c>
      <c r="H9">
        <f>IF(mpf_monthly_return!H8 &lt; 0, mpf_monthly_return!H8, 0)</f>
        <v>0</v>
      </c>
      <c r="I9">
        <f>IF(mpf_monthly_return!I8 &lt; 0, mpf_monthly_return!I8, 0)</f>
        <v>0</v>
      </c>
      <c r="J9">
        <f>IF(mpf_monthly_return!J8 &lt; 0, mpf_monthly_return!J8, 0)</f>
        <v>0</v>
      </c>
      <c r="K9">
        <f>IF(mpf_monthly_return!K8 &lt; 0, mpf_monthly_return!K8, 0)</f>
        <v>0</v>
      </c>
    </row>
    <row r="10" spans="1:11" x14ac:dyDescent="0.4">
      <c r="A10" s="6">
        <v>43101</v>
      </c>
      <c r="B10">
        <f>IF(mpf_monthly_return!B9 &lt; 0, mpf_monthly_return!B9, 0)</f>
        <v>0</v>
      </c>
      <c r="C10">
        <f>IF(mpf_monthly_return!C9 &lt; 0, mpf_monthly_return!C9, 0)</f>
        <v>0</v>
      </c>
      <c r="D10">
        <f>IF(mpf_monthly_return!D9 &lt; 0, mpf_monthly_return!D9, 0)</f>
        <v>0</v>
      </c>
      <c r="E10">
        <f>IF(mpf_monthly_return!E9 &lt; 0, mpf_monthly_return!E9, 0)</f>
        <v>0</v>
      </c>
      <c r="F10">
        <f>IF(mpf_monthly_return!F9 &lt; 0, mpf_monthly_return!F9, 0)</f>
        <v>0</v>
      </c>
      <c r="G10">
        <f>IF(mpf_monthly_return!G9 &lt; 0, mpf_monthly_return!G9, 0)</f>
        <v>0</v>
      </c>
      <c r="H10">
        <f>IF(mpf_monthly_return!H9 &lt; 0, mpf_monthly_return!H9, 0)</f>
        <v>0</v>
      </c>
      <c r="I10">
        <f>IF(mpf_monthly_return!I9 &lt; 0, mpf_monthly_return!I9, 0)</f>
        <v>0</v>
      </c>
      <c r="J10">
        <f>IF(mpf_monthly_return!J9 &lt; 0, mpf_monthly_return!J9, 0)</f>
        <v>0</v>
      </c>
      <c r="K10">
        <f>IF(mpf_monthly_return!K9 &lt; 0, mpf_monthly_return!K9, 0)</f>
        <v>0</v>
      </c>
    </row>
    <row r="11" spans="1:11" x14ac:dyDescent="0.4">
      <c r="A11" s="6">
        <v>43132</v>
      </c>
      <c r="B11">
        <f>IF(mpf_monthly_return!B10 &lt; 0, mpf_monthly_return!B10, 0)</f>
        <v>0</v>
      </c>
      <c r="C11">
        <f>IF(mpf_monthly_return!C10 &lt; 0, mpf_monthly_return!C10, 0)</f>
        <v>0</v>
      </c>
      <c r="D11">
        <f>IF(mpf_monthly_return!D10 &lt; 0, mpf_monthly_return!D10, 0)</f>
        <v>0</v>
      </c>
      <c r="E11">
        <f>IF(mpf_monthly_return!E10 &lt; 0, mpf_monthly_return!E10, 0)</f>
        <v>0</v>
      </c>
      <c r="F11">
        <f>IF(mpf_monthly_return!F10 &lt; 0, mpf_monthly_return!F10, 0)</f>
        <v>0</v>
      </c>
      <c r="G11">
        <f>IF(mpf_monthly_return!G10 &lt; 0, mpf_monthly_return!G10, 0)</f>
        <v>0</v>
      </c>
      <c r="H11">
        <f>IF(mpf_monthly_return!H10 &lt; 0, mpf_monthly_return!H10, 0)</f>
        <v>0</v>
      </c>
      <c r="I11">
        <f>IF(mpf_monthly_return!I10 &lt; 0, mpf_monthly_return!I10, 0)</f>
        <v>0</v>
      </c>
      <c r="J11">
        <f>IF(mpf_monthly_return!J10 &lt; 0, mpf_monthly_return!J10, 0)</f>
        <v>0</v>
      </c>
      <c r="K11">
        <f>IF(mpf_monthly_return!K10 &lt; 0, mpf_monthly_return!K10, 0)</f>
        <v>0</v>
      </c>
    </row>
    <row r="12" spans="1:11" x14ac:dyDescent="0.4">
      <c r="A12" s="6">
        <v>43160</v>
      </c>
      <c r="B12">
        <f>IF(mpf_monthly_return!B11 &lt; 0, mpf_monthly_return!B11, 0)</f>
        <v>-5.6073697386915991E-2</v>
      </c>
      <c r="C12">
        <f>IF(mpf_monthly_return!C11 &lt; 0, mpf_monthly_return!C11, 0)</f>
        <v>-4.1871270212795401E-2</v>
      </c>
      <c r="D12">
        <f>IF(mpf_monthly_return!D11 &lt; 0, mpf_monthly_return!D11, 0)</f>
        <v>-8.9826451833561471E-3</v>
      </c>
      <c r="E12">
        <f>IF(mpf_monthly_return!E11 &lt; 0, mpf_monthly_return!E11, 0)</f>
        <v>-3.0944294736426219E-2</v>
      </c>
      <c r="F12">
        <f>IF(mpf_monthly_return!F11 &lt; 0, mpf_monthly_return!F11, 0)</f>
        <v>-5.1160443114355178E-2</v>
      </c>
      <c r="G12">
        <f>IF(mpf_monthly_return!G11 &lt; 0, mpf_monthly_return!G11, 0)</f>
        <v>-4.9505512179078844E-2</v>
      </c>
      <c r="H12">
        <f>IF(mpf_monthly_return!H11 &lt; 0, mpf_monthly_return!H11, 0)</f>
        <v>-4.5643258411239195E-2</v>
      </c>
      <c r="I12">
        <f>IF(mpf_monthly_return!I11 &lt; 0, mpf_monthly_return!I11, 0)</f>
        <v>-5.0302829733328593E-2</v>
      </c>
      <c r="J12">
        <f>IF(mpf_monthly_return!J11 &lt; 0, mpf_monthly_return!J11, 0)</f>
        <v>0</v>
      </c>
      <c r="K12">
        <f>IF(mpf_monthly_return!K11 &lt; 0, mpf_monthly_return!K11, 0)</f>
        <v>-3.0805265899033134E-2</v>
      </c>
    </row>
    <row r="13" spans="1:11" x14ac:dyDescent="0.4">
      <c r="A13" s="6">
        <v>43191</v>
      </c>
      <c r="B13">
        <f>IF(mpf_monthly_return!B12 &lt; 0, mpf_monthly_return!B12, 0)</f>
        <v>-3.1273193781334967E-2</v>
      </c>
      <c r="C13">
        <f>IF(mpf_monthly_return!C12 &lt; 0, mpf_monthly_return!C12, 0)</f>
        <v>-1.6241986908291772E-2</v>
      </c>
      <c r="D13">
        <f>IF(mpf_monthly_return!D12 &lt; 0, mpf_monthly_return!D12, 0)</f>
        <v>0</v>
      </c>
      <c r="E13">
        <f>IF(mpf_monthly_return!E12 &lt; 0, mpf_monthly_return!E12, 0)</f>
        <v>-1.8395884510801032E-3</v>
      </c>
      <c r="F13">
        <f>IF(mpf_monthly_return!F12 &lt; 0, mpf_monthly_return!F12, 0)</f>
        <v>-1.7072838514577835E-2</v>
      </c>
      <c r="G13">
        <f>IF(mpf_monthly_return!G12 &lt; 0, mpf_monthly_return!G12, 0)</f>
        <v>-1.4784918072329749E-2</v>
      </c>
      <c r="H13">
        <f>IF(mpf_monthly_return!H12 &lt; 0, mpf_monthly_return!H12, 0)</f>
        <v>-1.4891825866522736E-2</v>
      </c>
      <c r="I13">
        <f>IF(mpf_monthly_return!I12 &lt; 0, mpf_monthly_return!I12, 0)</f>
        <v>-9.821869156616949E-3</v>
      </c>
      <c r="J13">
        <f>IF(mpf_monthly_return!J12 &lt; 0, mpf_monthly_return!J12, 0)</f>
        <v>0</v>
      </c>
      <c r="K13">
        <f>IF(mpf_monthly_return!K12 &lt; 0, mpf_monthly_return!K12, 0)</f>
        <v>-7.1884367513223493E-3</v>
      </c>
    </row>
    <row r="14" spans="1:11" x14ac:dyDescent="0.4">
      <c r="A14" s="6">
        <v>43221</v>
      </c>
      <c r="B14">
        <f>IF(mpf_monthly_return!B13 &lt; 0, mpf_monthly_return!B13, 0)</f>
        <v>0</v>
      </c>
      <c r="C14">
        <f>IF(mpf_monthly_return!C13 &lt; 0, mpf_monthly_return!C13, 0)</f>
        <v>0</v>
      </c>
      <c r="D14">
        <f>IF(mpf_monthly_return!D13 &lt; 0, mpf_monthly_return!D13, 0)</f>
        <v>-1.4178105296534087E-2</v>
      </c>
      <c r="E14">
        <f>IF(mpf_monthly_return!E13 &lt; 0, mpf_monthly_return!E13, 0)</f>
        <v>0</v>
      </c>
      <c r="F14">
        <f>IF(mpf_monthly_return!F13 &lt; 0, mpf_monthly_return!F13, 0)</f>
        <v>0</v>
      </c>
      <c r="G14">
        <f>IF(mpf_monthly_return!G13 &lt; 0, mpf_monthly_return!G13, 0)</f>
        <v>0</v>
      </c>
      <c r="H14">
        <f>IF(mpf_monthly_return!H13 &lt; 0, mpf_monthly_return!H13, 0)</f>
        <v>0</v>
      </c>
      <c r="I14">
        <f>IF(mpf_monthly_return!I13 &lt; 0, mpf_monthly_return!I13, 0)</f>
        <v>-3.4656780012175315E-3</v>
      </c>
      <c r="J14">
        <f>IF(mpf_monthly_return!J13 &lt; 0, mpf_monthly_return!J13, 0)</f>
        <v>0</v>
      </c>
      <c r="K14">
        <f>IF(mpf_monthly_return!K13 &lt; 0, mpf_monthly_return!K13, 0)</f>
        <v>0</v>
      </c>
    </row>
    <row r="15" spans="1:11" x14ac:dyDescent="0.4">
      <c r="A15" s="6">
        <v>43252</v>
      </c>
      <c r="B15">
        <f>IF(mpf_monthly_return!B14 &lt; 0, mpf_monthly_return!B14, 0)</f>
        <v>-7.0594322780027077E-3</v>
      </c>
      <c r="C15">
        <f>IF(mpf_monthly_return!C14 &lt; 0, mpf_monthly_return!C14, 0)</f>
        <v>-6.2343087793531819E-3</v>
      </c>
      <c r="D15">
        <f>IF(mpf_monthly_return!D14 &lt; 0, mpf_monthly_return!D14, 0)</f>
        <v>-3.1575063380285795E-3</v>
      </c>
      <c r="E15">
        <f>IF(mpf_monthly_return!E14 &lt; 0, mpf_monthly_return!E14, 0)</f>
        <v>0</v>
      </c>
      <c r="F15">
        <f>IF(mpf_monthly_return!F14 &lt; 0, mpf_monthly_return!F14, 0)</f>
        <v>-1.1086263726976899E-3</v>
      </c>
      <c r="G15">
        <f>IF(mpf_monthly_return!G14 &lt; 0, mpf_monthly_return!G14, 0)</f>
        <v>0</v>
      </c>
      <c r="H15">
        <f>IF(mpf_monthly_return!H14 &lt; 0, mpf_monthly_return!H14, 0)</f>
        <v>-1.6189092090102765E-3</v>
      </c>
      <c r="I15">
        <f>IF(mpf_monthly_return!I14 &lt; 0, mpf_monthly_return!I14, 0)</f>
        <v>-5.3237904088559726E-3</v>
      </c>
      <c r="J15">
        <f>IF(mpf_monthly_return!J14 &lt; 0, mpf_monthly_return!J14, 0)</f>
        <v>0</v>
      </c>
      <c r="K15">
        <f>IF(mpf_monthly_return!K14 &lt; 0, mpf_monthly_return!K14, 0)</f>
        <v>-5.4585033709035795E-3</v>
      </c>
    </row>
    <row r="16" spans="1:11" x14ac:dyDescent="0.4">
      <c r="A16" s="6">
        <v>43282</v>
      </c>
      <c r="B16">
        <f>IF(mpf_monthly_return!B15 &lt; 0, mpf_monthly_return!B15, 0)</f>
        <v>-5.607679337033241E-2</v>
      </c>
      <c r="C16">
        <f>IF(mpf_monthly_return!C15 &lt; 0, mpf_monthly_return!C15, 0)</f>
        <v>-3.3227010703035305E-2</v>
      </c>
      <c r="D16">
        <f>IF(mpf_monthly_return!D15 &lt; 0, mpf_monthly_return!D15, 0)</f>
        <v>-1.4333469432520667E-2</v>
      </c>
      <c r="E16">
        <f>IF(mpf_monthly_return!E15 &lt; 0, mpf_monthly_return!E15, 0)</f>
        <v>-7.5229712598894822E-3</v>
      </c>
      <c r="F16">
        <f>IF(mpf_monthly_return!F15 &lt; 0, mpf_monthly_return!F15, 0)</f>
        <v>-3.3210657995718595E-2</v>
      </c>
      <c r="G16">
        <f>IF(mpf_monthly_return!G15 &lt; 0, mpf_monthly_return!G15, 0)</f>
        <v>-1.9270744859537444E-2</v>
      </c>
      <c r="H16">
        <f>IF(mpf_monthly_return!H15 &lt; 0, mpf_monthly_return!H15, 0)</f>
        <v>-3.4337430061338395E-2</v>
      </c>
      <c r="I16">
        <f>IF(mpf_monthly_return!I15 &lt; 0, mpf_monthly_return!I15, 0)</f>
        <v>-1.4684096119731496E-2</v>
      </c>
      <c r="J16">
        <f>IF(mpf_monthly_return!J15 &lt; 0, mpf_monthly_return!J15, 0)</f>
        <v>0</v>
      </c>
      <c r="K16">
        <f>IF(mpf_monthly_return!K15 &lt; 0, mpf_monthly_return!K15, 0)</f>
        <v>-2.2041283913692946E-2</v>
      </c>
    </row>
    <row r="17" spans="1:11" x14ac:dyDescent="0.4">
      <c r="A17" s="6">
        <v>43313</v>
      </c>
      <c r="B17">
        <f>IF(mpf_monthly_return!B16 &lt; 0, mpf_monthly_return!B16, 0)</f>
        <v>-1.0745256388195613E-2</v>
      </c>
      <c r="C17">
        <f>IF(mpf_monthly_return!C16 &lt; 0, mpf_monthly_return!C16, 0)</f>
        <v>0</v>
      </c>
      <c r="D17">
        <f>IF(mpf_monthly_return!D16 &lt; 0, mpf_monthly_return!D16, 0)</f>
        <v>0</v>
      </c>
      <c r="E17">
        <f>IF(mpf_monthly_return!E16 &lt; 0, mpf_monthly_return!E16, 0)</f>
        <v>0</v>
      </c>
      <c r="F17">
        <f>IF(mpf_monthly_return!F16 &lt; 0, mpf_monthly_return!F16, 0)</f>
        <v>0</v>
      </c>
      <c r="G17">
        <f>IF(mpf_monthly_return!G16 &lt; 0, mpf_monthly_return!G16, 0)</f>
        <v>0</v>
      </c>
      <c r="H17">
        <f>IF(mpf_monthly_return!H16 &lt; 0, mpf_monthly_return!H16, 0)</f>
        <v>0</v>
      </c>
      <c r="I17">
        <f>IF(mpf_monthly_return!I16 &lt; 0, mpf_monthly_return!I16, 0)</f>
        <v>0</v>
      </c>
      <c r="J17">
        <f>IF(mpf_monthly_return!J16 &lt; 0, mpf_monthly_return!J16, 0)</f>
        <v>0</v>
      </c>
      <c r="K17">
        <f>IF(mpf_monthly_return!K16 &lt; 0, mpf_monthly_return!K16, 0)</f>
        <v>0</v>
      </c>
    </row>
    <row r="18" spans="1:11" x14ac:dyDescent="0.4">
      <c r="A18" s="6">
        <v>43344</v>
      </c>
      <c r="B18">
        <f>IF(mpf_monthly_return!B17 &lt; 0, mpf_monthly_return!B17, 0)</f>
        <v>-1.1752682154233645E-2</v>
      </c>
      <c r="C18">
        <f>IF(mpf_monthly_return!C17 &lt; 0, mpf_monthly_return!C17, 0)</f>
        <v>-1.5069726800011913E-2</v>
      </c>
      <c r="D18">
        <f>IF(mpf_monthly_return!D17 &lt; 0, mpf_monthly_return!D17, 0)</f>
        <v>0</v>
      </c>
      <c r="E18">
        <f>IF(mpf_monthly_return!E17 &lt; 0, mpf_monthly_return!E17, 0)</f>
        <v>0</v>
      </c>
      <c r="F18">
        <f>IF(mpf_monthly_return!F17 &lt; 0, mpf_monthly_return!F17, 0)</f>
        <v>-6.567457783443845E-3</v>
      </c>
      <c r="G18">
        <f>IF(mpf_monthly_return!G17 &lt; 0, mpf_monthly_return!G17, 0)</f>
        <v>0</v>
      </c>
      <c r="H18">
        <f>IF(mpf_monthly_return!H17 &lt; 0, mpf_monthly_return!H17, 0)</f>
        <v>-5.6081659522399033E-3</v>
      </c>
      <c r="I18">
        <f>IF(mpf_monthly_return!I17 &lt; 0, mpf_monthly_return!I17, 0)</f>
        <v>0</v>
      </c>
      <c r="J18">
        <f>IF(mpf_monthly_return!J17 &lt; 0, mpf_monthly_return!J17, 0)</f>
        <v>0</v>
      </c>
      <c r="K18">
        <f>IF(mpf_monthly_return!K17 &lt; 0, mpf_monthly_return!K17, 0)</f>
        <v>-3.6749832554723652E-3</v>
      </c>
    </row>
    <row r="19" spans="1:11" x14ac:dyDescent="0.4">
      <c r="A19" s="6">
        <v>43374</v>
      </c>
      <c r="B19">
        <f>IF(mpf_monthly_return!B18 &lt; 0, mpf_monthly_return!B18, 0)</f>
        <v>0</v>
      </c>
      <c r="C19">
        <f>IF(mpf_monthly_return!C18 &lt; 0, mpf_monthly_return!C18, 0)</f>
        <v>-2.4972732253576543E-2</v>
      </c>
      <c r="D19">
        <f>IF(mpf_monthly_return!D18 &lt; 0, mpf_monthly_return!D18, 0)</f>
        <v>-6.5994394321347814E-3</v>
      </c>
      <c r="E19">
        <f>IF(mpf_monthly_return!E18 &lt; 0, mpf_monthly_return!E18, 0)</f>
        <v>-1.5332584739944225E-3</v>
      </c>
      <c r="F19">
        <f>IF(mpf_monthly_return!F18 &lt; 0, mpf_monthly_return!F18, 0)</f>
        <v>-1.5399501572406482E-3</v>
      </c>
      <c r="G19">
        <f>IF(mpf_monthly_return!G18 &lt; 0, mpf_monthly_return!G18, 0)</f>
        <v>0</v>
      </c>
      <c r="H19">
        <f>IF(mpf_monthly_return!H18 &lt; 0, mpf_monthly_return!H18, 0)</f>
        <v>-1.2257634697223293E-3</v>
      </c>
      <c r="I19">
        <f>IF(mpf_monthly_return!I18 &lt; 0, mpf_monthly_return!I18, 0)</f>
        <v>0</v>
      </c>
      <c r="J19">
        <f>IF(mpf_monthly_return!J18 &lt; 0, mpf_monthly_return!J18, 0)</f>
        <v>0</v>
      </c>
      <c r="K19">
        <f>IF(mpf_monthly_return!K18 &lt; 0, mpf_monthly_return!K18, 0)</f>
        <v>-3.8805232301521195E-3</v>
      </c>
    </row>
    <row r="20" spans="1:11" x14ac:dyDescent="0.4">
      <c r="A20" s="6">
        <v>43405</v>
      </c>
      <c r="B20">
        <f>IF(mpf_monthly_return!B19 &lt; 0, mpf_monthly_return!B19, 0)</f>
        <v>-8.2832772111465239E-2</v>
      </c>
      <c r="C20">
        <f>IF(mpf_monthly_return!C19 &lt; 0, mpf_monthly_return!C19, 0)</f>
        <v>-9.0847564060380595E-2</v>
      </c>
      <c r="D20">
        <f>IF(mpf_monthly_return!D19 &lt; 0, mpf_monthly_return!D19, 0)</f>
        <v>-4.1706221590813702E-3</v>
      </c>
      <c r="E20">
        <f>IF(mpf_monthly_return!E19 &lt; 0, mpf_monthly_return!E19, 0)</f>
        <v>-4.0430940625037576E-2</v>
      </c>
      <c r="F20">
        <f>IF(mpf_monthly_return!F19 &lt; 0, mpf_monthly_return!F19, 0)</f>
        <v>-7.8049122014497513E-2</v>
      </c>
      <c r="G20">
        <f>IF(mpf_monthly_return!G19 &lt; 0, mpf_monthly_return!G19, 0)</f>
        <v>-6.335822224419288E-2</v>
      </c>
      <c r="H20">
        <f>IF(mpf_monthly_return!H19 &lt; 0, mpf_monthly_return!H19, 0)</f>
        <v>-6.48916711463529E-2</v>
      </c>
      <c r="I20">
        <f>IF(mpf_monthly_return!I19 &lt; 0, mpf_monthly_return!I19, 0)</f>
        <v>-3.31999230103543E-2</v>
      </c>
      <c r="J20">
        <f>IF(mpf_monthly_return!J19 &lt; 0, mpf_monthly_return!J19, 0)</f>
        <v>0</v>
      </c>
      <c r="K20">
        <f>IF(mpf_monthly_return!K19 &lt; 0, mpf_monthly_return!K19, 0)</f>
        <v>-4.843502155674495E-2</v>
      </c>
    </row>
    <row r="21" spans="1:11" x14ac:dyDescent="0.4">
      <c r="A21" s="6">
        <v>43435</v>
      </c>
      <c r="B21">
        <f>IF(mpf_monthly_return!B20 &lt; 0, mpf_monthly_return!B20, 0)</f>
        <v>0</v>
      </c>
      <c r="C21">
        <f>IF(mpf_monthly_return!C20 &lt; 0, mpf_monthly_return!C20, 0)</f>
        <v>0</v>
      </c>
      <c r="D21">
        <f>IF(mpf_monthly_return!D20 &lt; 0, mpf_monthly_return!D20, 0)</f>
        <v>0</v>
      </c>
      <c r="E21">
        <f>IF(mpf_monthly_return!E20 &lt; 0, mpf_monthly_return!E20, 0)</f>
        <v>0</v>
      </c>
      <c r="F21">
        <f>IF(mpf_monthly_return!F20 &lt; 0, mpf_monthly_return!F20, 0)</f>
        <v>0</v>
      </c>
      <c r="G21">
        <f>IF(mpf_monthly_return!G20 &lt; 0, mpf_monthly_return!G20, 0)</f>
        <v>-6.6015440615763352E-3</v>
      </c>
      <c r="H21">
        <f>IF(mpf_monthly_return!H20 &lt; 0, mpf_monthly_return!H20, 0)</f>
        <v>0</v>
      </c>
      <c r="I21">
        <f>IF(mpf_monthly_return!I20 &lt; 0, mpf_monthly_return!I20, 0)</f>
        <v>-5.9719798927647698E-3</v>
      </c>
      <c r="J21">
        <f>IF(mpf_monthly_return!J20 &lt; 0, mpf_monthly_return!J20, 0)</f>
        <v>0</v>
      </c>
      <c r="K21">
        <f>IF(mpf_monthly_return!K20 &lt; 0, mpf_monthly_return!K20, 0)</f>
        <v>0</v>
      </c>
    </row>
    <row r="22" spans="1:11" x14ac:dyDescent="0.4">
      <c r="A22" s="6">
        <v>43466</v>
      </c>
      <c r="B22">
        <f>IF(mpf_monthly_return!B21 &lt; 0, mpf_monthly_return!B21, 0)</f>
        <v>-3.0366197681026004E-2</v>
      </c>
      <c r="C22">
        <f>IF(mpf_monthly_return!C21 &lt; 0, mpf_monthly_return!C21, 0)</f>
        <v>-2.1040835028368229E-2</v>
      </c>
      <c r="D22">
        <f>IF(mpf_monthly_return!D21 &lt; 0, mpf_monthly_return!D21, 0)</f>
        <v>0</v>
      </c>
      <c r="E22">
        <f>IF(mpf_monthly_return!E21 &lt; 0, mpf_monthly_return!E21, 0)</f>
        <v>-3.6728504688323275E-2</v>
      </c>
      <c r="F22">
        <f>IF(mpf_monthly_return!F21 &lt; 0, mpf_monthly_return!F21, 0)</f>
        <v>-4.702305357031767E-2</v>
      </c>
      <c r="G22">
        <f>IF(mpf_monthly_return!G21 &lt; 0, mpf_monthly_return!G21, 0)</f>
        <v>-9.577653978601619E-2</v>
      </c>
      <c r="H22">
        <f>IF(mpf_monthly_return!H21 &lt; 0, mpf_monthly_return!H21, 0)</f>
        <v>-3.3544861956283367E-2</v>
      </c>
      <c r="I22">
        <f>IF(mpf_monthly_return!I21 &lt; 0, mpf_monthly_return!I21, 0)</f>
        <v>-8.2278708198601253E-2</v>
      </c>
      <c r="J22">
        <f>IF(mpf_monthly_return!J21 &lt; 0, mpf_monthly_return!J21, 0)</f>
        <v>0</v>
      </c>
      <c r="K22">
        <f>IF(mpf_monthly_return!K21 &lt; 0, mpf_monthly_return!K21, 0)</f>
        <v>-2.0135078615462702E-2</v>
      </c>
    </row>
    <row r="23" spans="1:11" x14ac:dyDescent="0.4">
      <c r="A23" s="6">
        <v>43497</v>
      </c>
      <c r="B23">
        <f>IF(mpf_monthly_return!B22 &lt; 0, mpf_monthly_return!B22, 0)</f>
        <v>0</v>
      </c>
      <c r="C23">
        <f>IF(mpf_monthly_return!C22 &lt; 0, mpf_monthly_return!C22, 0)</f>
        <v>0</v>
      </c>
      <c r="D23">
        <f>IF(mpf_monthly_return!D22 &lt; 0, mpf_monthly_return!D22, 0)</f>
        <v>0</v>
      </c>
      <c r="E23">
        <f>IF(mpf_monthly_return!E22 &lt; 0, mpf_monthly_return!E22, 0)</f>
        <v>0</v>
      </c>
      <c r="F23">
        <f>IF(mpf_monthly_return!F22 &lt; 0, mpf_monthly_return!F22, 0)</f>
        <v>0</v>
      </c>
      <c r="G23">
        <f>IF(mpf_monthly_return!G22 &lt; 0, mpf_monthly_return!G22, 0)</f>
        <v>0</v>
      </c>
      <c r="H23">
        <f>IF(mpf_monthly_return!H22 &lt; 0, mpf_monthly_return!H22, 0)</f>
        <v>0</v>
      </c>
      <c r="I23">
        <f>IF(mpf_monthly_return!I22 &lt; 0, mpf_monthly_return!I22, 0)</f>
        <v>0</v>
      </c>
      <c r="J23">
        <f>IF(mpf_monthly_return!J22 &lt; 0, mpf_monthly_return!J22, 0)</f>
        <v>0</v>
      </c>
      <c r="K23">
        <f>IF(mpf_monthly_return!K22 &lt; 0, mpf_monthly_return!K22, 0)</f>
        <v>0</v>
      </c>
    </row>
    <row r="24" spans="1:11" x14ac:dyDescent="0.4">
      <c r="A24" s="6">
        <v>43525</v>
      </c>
      <c r="B24">
        <f>IF(mpf_monthly_return!B23 &lt; 0, mpf_monthly_return!B23, 0)</f>
        <v>0</v>
      </c>
      <c r="C24">
        <f>IF(mpf_monthly_return!C23 &lt; 0, mpf_monthly_return!C23, 0)</f>
        <v>0</v>
      </c>
      <c r="D24">
        <f>IF(mpf_monthly_return!D23 &lt; 0, mpf_monthly_return!D23, 0)</f>
        <v>-3.9121188956679522E-3</v>
      </c>
      <c r="E24">
        <f>IF(mpf_monthly_return!E23 &lt; 0, mpf_monthly_return!E23, 0)</f>
        <v>0</v>
      </c>
      <c r="F24">
        <f>IF(mpf_monthly_return!F23 &lt; 0, mpf_monthly_return!F23, 0)</f>
        <v>0</v>
      </c>
      <c r="G24">
        <f>IF(mpf_monthly_return!G23 &lt; 0, mpf_monthly_return!G23, 0)</f>
        <v>0</v>
      </c>
      <c r="H24">
        <f>IF(mpf_monthly_return!H23 &lt; 0, mpf_monthly_return!H23, 0)</f>
        <v>0</v>
      </c>
      <c r="I24">
        <f>IF(mpf_monthly_return!I23 &lt; 0, mpf_monthly_return!I23, 0)</f>
        <v>0</v>
      </c>
      <c r="J24">
        <f>IF(mpf_monthly_return!J23 &lt; 0, mpf_monthly_return!J23, 0)</f>
        <v>0</v>
      </c>
      <c r="K24">
        <f>IF(mpf_monthly_return!K23 &lt; 0, mpf_monthly_return!K23, 0)</f>
        <v>0</v>
      </c>
    </row>
    <row r="25" spans="1:11" x14ac:dyDescent="0.4">
      <c r="A25" s="6">
        <v>43556</v>
      </c>
      <c r="B25">
        <f>IF(mpf_monthly_return!B24 &lt; 0, mpf_monthly_return!B24, 0)</f>
        <v>0</v>
      </c>
      <c r="C25">
        <f>IF(mpf_monthly_return!C24 &lt; 0, mpf_monthly_return!C24, 0)</f>
        <v>0</v>
      </c>
      <c r="D25">
        <f>IF(mpf_monthly_return!D24 &lt; 0, mpf_monthly_return!D24, 0)</f>
        <v>0</v>
      </c>
      <c r="E25">
        <f>IF(mpf_monthly_return!E24 &lt; 0, mpf_monthly_return!E24, 0)</f>
        <v>0</v>
      </c>
      <c r="F25">
        <f>IF(mpf_monthly_return!F24 &lt; 0, mpf_monthly_return!F24, 0)</f>
        <v>0</v>
      </c>
      <c r="G25">
        <f>IF(mpf_monthly_return!G24 &lt; 0, mpf_monthly_return!G24, 0)</f>
        <v>0</v>
      </c>
      <c r="H25">
        <f>IF(mpf_monthly_return!H24 &lt; 0, mpf_monthly_return!H24, 0)</f>
        <v>0</v>
      </c>
      <c r="I25">
        <f>IF(mpf_monthly_return!I24 &lt; 0, mpf_monthly_return!I24, 0)</f>
        <v>0</v>
      </c>
      <c r="J25">
        <f>IF(mpf_monthly_return!J24 &lt; 0, mpf_monthly_return!J24, 0)</f>
        <v>0</v>
      </c>
      <c r="K25">
        <f>IF(mpf_monthly_return!K24 &lt; 0, mpf_monthly_return!K24, 0)</f>
        <v>0</v>
      </c>
    </row>
    <row r="26" spans="1:11" x14ac:dyDescent="0.4">
      <c r="A26" s="6">
        <v>43586</v>
      </c>
      <c r="B26">
        <f>IF(mpf_monthly_return!B25 &lt; 0, mpf_monthly_return!B25, 0)</f>
        <v>0</v>
      </c>
      <c r="C26">
        <f>IF(mpf_monthly_return!C25 &lt; 0, mpf_monthly_return!C25, 0)</f>
        <v>0</v>
      </c>
      <c r="D26">
        <f>IF(mpf_monthly_return!D25 &lt; 0, mpf_monthly_return!D25, 0)</f>
        <v>-9.5867605892104267E-3</v>
      </c>
      <c r="E26">
        <f>IF(mpf_monthly_return!E25 &lt; 0, mpf_monthly_return!E25, 0)</f>
        <v>0</v>
      </c>
      <c r="F26">
        <f>IF(mpf_monthly_return!F25 &lt; 0, mpf_monthly_return!F25, 0)</f>
        <v>0</v>
      </c>
      <c r="G26">
        <f>IF(mpf_monthly_return!G25 &lt; 0, mpf_monthly_return!G25, 0)</f>
        <v>0</v>
      </c>
      <c r="H26">
        <f>IF(mpf_monthly_return!H25 &lt; 0, mpf_monthly_return!H25, 0)</f>
        <v>0</v>
      </c>
      <c r="I26">
        <f>IF(mpf_monthly_return!I25 &lt; 0, mpf_monthly_return!I25, 0)</f>
        <v>0</v>
      </c>
      <c r="J26">
        <f>IF(mpf_monthly_return!J25 &lt; 0, mpf_monthly_return!J25, 0)</f>
        <v>0</v>
      </c>
      <c r="K26">
        <f>IF(mpf_monthly_return!K25 &lt; 0, mpf_monthly_return!K25, 0)</f>
        <v>0</v>
      </c>
    </row>
    <row r="27" spans="1:11" x14ac:dyDescent="0.4">
      <c r="A27" s="6">
        <v>43617</v>
      </c>
      <c r="B27">
        <f>IF(mpf_monthly_return!B26 &lt; 0, mpf_monthly_return!B26, 0)</f>
        <v>-9.0035812466715825E-2</v>
      </c>
      <c r="C27">
        <f>IF(mpf_monthly_return!C26 &lt; 0, mpf_monthly_return!C26, 0)</f>
        <v>-4.9728450586203204E-2</v>
      </c>
      <c r="D27">
        <f>IF(mpf_monthly_return!D26 &lt; 0, mpf_monthly_return!D26, 0)</f>
        <v>0</v>
      </c>
      <c r="E27">
        <f>IF(mpf_monthly_return!E26 &lt; 0, mpf_monthly_return!E26, 0)</f>
        <v>-3.0749523264497147E-2</v>
      </c>
      <c r="F27">
        <f>IF(mpf_monthly_return!F26 &lt; 0, mpf_monthly_return!F26, 0)</f>
        <v>-6.2283277795775943E-2</v>
      </c>
      <c r="G27">
        <f>IF(mpf_monthly_return!G26 &lt; 0, mpf_monthly_return!G26, 0)</f>
        <v>-6.8555911880804607E-2</v>
      </c>
      <c r="H27">
        <f>IF(mpf_monthly_return!H26 &lt; 0, mpf_monthly_return!H26, 0)</f>
        <v>-4.8534040964508869E-2</v>
      </c>
      <c r="I27">
        <f>IF(mpf_monthly_return!I26 &lt; 0, mpf_monthly_return!I26, 0)</f>
        <v>-5.9927007687990426E-2</v>
      </c>
      <c r="J27">
        <f>IF(mpf_monthly_return!J26 &lt; 0, mpf_monthly_return!J26, 0)</f>
        <v>0</v>
      </c>
      <c r="K27">
        <f>IF(mpf_monthly_return!K26 &lt; 0, mpf_monthly_return!K26, 0)</f>
        <v>-3.2816608333291926E-2</v>
      </c>
    </row>
    <row r="28" spans="1:11" x14ac:dyDescent="0.4">
      <c r="A28" s="6">
        <v>43647</v>
      </c>
      <c r="B28">
        <f>IF(mpf_monthly_return!B27 &lt; 0, mpf_monthly_return!B27, 0)</f>
        <v>0</v>
      </c>
      <c r="C28">
        <f>IF(mpf_monthly_return!C27 &lt; 0, mpf_monthly_return!C27, 0)</f>
        <v>0</v>
      </c>
      <c r="D28">
        <f>IF(mpf_monthly_return!D27 &lt; 0, mpf_monthly_return!D27, 0)</f>
        <v>0</v>
      </c>
      <c r="E28">
        <f>IF(mpf_monthly_return!E27 &lt; 0, mpf_monthly_return!E27, 0)</f>
        <v>0</v>
      </c>
      <c r="F28">
        <f>IF(mpf_monthly_return!F27 &lt; 0, mpf_monthly_return!F27, 0)</f>
        <v>0</v>
      </c>
      <c r="G28">
        <f>IF(mpf_monthly_return!G27 &lt; 0, mpf_monthly_return!G27, 0)</f>
        <v>0</v>
      </c>
      <c r="H28">
        <f>IF(mpf_monthly_return!H27 &lt; 0, mpf_monthly_return!H27, 0)</f>
        <v>0</v>
      </c>
      <c r="I28">
        <f>IF(mpf_monthly_return!I27 &lt; 0, mpf_monthly_return!I27, 0)</f>
        <v>0</v>
      </c>
      <c r="J28">
        <f>IF(mpf_monthly_return!J27 &lt; 0, mpf_monthly_return!J27, 0)</f>
        <v>0</v>
      </c>
      <c r="K28">
        <f>IF(mpf_monthly_return!K27 &lt; 0, mpf_monthly_return!K27, 0)</f>
        <v>0</v>
      </c>
    </row>
    <row r="29" spans="1:11" x14ac:dyDescent="0.4">
      <c r="A29" s="6">
        <v>43678</v>
      </c>
      <c r="B29">
        <f>IF(mpf_monthly_return!B28 &lt; 0, mpf_monthly_return!B28, 0)</f>
        <v>-2.6553824060124506E-2</v>
      </c>
      <c r="C29">
        <f>IF(mpf_monthly_return!C28 &lt; 0, mpf_monthly_return!C28, 0)</f>
        <v>-1.689426428593524E-2</v>
      </c>
      <c r="D29">
        <f>IF(mpf_monthly_return!D28 &lt; 0, mpf_monthly_return!D28, 0)</f>
        <v>-1.5101046618333713E-3</v>
      </c>
      <c r="E29">
        <f>IF(mpf_monthly_return!E28 &lt; 0, mpf_monthly_return!E28, 0)</f>
        <v>0</v>
      </c>
      <c r="F29">
        <f>IF(mpf_monthly_return!F28 &lt; 0, mpf_monthly_return!F28, 0)</f>
        <v>-1.1664988874074855E-2</v>
      </c>
      <c r="G29">
        <f>IF(mpf_monthly_return!G28 &lt; 0, mpf_monthly_return!G28, 0)</f>
        <v>0</v>
      </c>
      <c r="H29">
        <f>IF(mpf_monthly_return!H28 &lt; 0, mpf_monthly_return!H28, 0)</f>
        <v>-9.606648553677901E-3</v>
      </c>
      <c r="I29">
        <f>IF(mpf_monthly_return!I28 &lt; 0, mpf_monthly_return!I28, 0)</f>
        <v>-1.8182693176385086E-3</v>
      </c>
      <c r="J29">
        <f>IF(mpf_monthly_return!J28 &lt; 0, mpf_monthly_return!J28, 0)</f>
        <v>0</v>
      </c>
      <c r="K29">
        <f>IF(mpf_monthly_return!K28 &lt; 0, mpf_monthly_return!K28, 0)</f>
        <v>-6.5165268144001818E-3</v>
      </c>
    </row>
    <row r="30" spans="1:11" x14ac:dyDescent="0.4">
      <c r="A30" s="6">
        <v>43709</v>
      </c>
      <c r="B30">
        <f>IF(mpf_monthly_return!B29 &lt; 0, mpf_monthly_return!B29, 0)</f>
        <v>-6.3238935099793434E-2</v>
      </c>
      <c r="C30">
        <f>IF(mpf_monthly_return!C29 &lt; 0, mpf_monthly_return!C29, 0)</f>
        <v>-3.692781898589044E-2</v>
      </c>
      <c r="D30">
        <f>IF(mpf_monthly_return!D29 &lt; 0, mpf_monthly_return!D29, 0)</f>
        <v>0</v>
      </c>
      <c r="E30">
        <f>IF(mpf_monthly_return!E29 &lt; 0, mpf_monthly_return!E29, 0)</f>
        <v>-1.4014191660361767E-3</v>
      </c>
      <c r="F30">
        <f>IF(mpf_monthly_return!F29 &lt; 0, mpf_monthly_return!F29, 0)</f>
        <v>-2.8189372964625349E-2</v>
      </c>
      <c r="G30">
        <f>IF(mpf_monthly_return!G29 &lt; 0, mpf_monthly_return!G29, 0)</f>
        <v>-1.8209394867538926E-2</v>
      </c>
      <c r="H30">
        <f>IF(mpf_monthly_return!H29 &lt; 0, mpf_monthly_return!H29, 0)</f>
        <v>-2.0405420255057181E-2</v>
      </c>
      <c r="I30">
        <f>IF(mpf_monthly_return!I29 &lt; 0, mpf_monthly_return!I29, 0)</f>
        <v>-1.7245554567467479E-2</v>
      </c>
      <c r="J30">
        <f>IF(mpf_monthly_return!J29 &lt; 0, mpf_monthly_return!J29, 0)</f>
        <v>0</v>
      </c>
      <c r="K30">
        <f>IF(mpf_monthly_return!K29 &lt; 0, mpf_monthly_return!K29, 0)</f>
        <v>-9.7594262037759109E-3</v>
      </c>
    </row>
    <row r="31" spans="1:11" x14ac:dyDescent="0.4">
      <c r="A31" s="6">
        <v>43739</v>
      </c>
      <c r="B31">
        <f>IF(mpf_monthly_return!B30 &lt; 0, mpf_monthly_return!B30, 0)</f>
        <v>0</v>
      </c>
      <c r="C31">
        <f>IF(mpf_monthly_return!C30 &lt; 0, mpf_monthly_return!C30, 0)</f>
        <v>0</v>
      </c>
      <c r="D31">
        <f>IF(mpf_monthly_return!D30 &lt; 0, mpf_monthly_return!D30, 0)</f>
        <v>-2.199253140663084E-3</v>
      </c>
      <c r="E31">
        <f>IF(mpf_monthly_return!E30 &lt; 0, mpf_monthly_return!E30, 0)</f>
        <v>0</v>
      </c>
      <c r="F31">
        <f>IF(mpf_monthly_return!F30 &lt; 0, mpf_monthly_return!F30, 0)</f>
        <v>0</v>
      </c>
      <c r="G31">
        <f>IF(mpf_monthly_return!G30 &lt; 0, mpf_monthly_return!G30, 0)</f>
        <v>0</v>
      </c>
      <c r="H31">
        <f>IF(mpf_monthly_return!H30 &lt; 0, mpf_monthly_return!H30, 0)</f>
        <v>0</v>
      </c>
      <c r="I31">
        <f>IF(mpf_monthly_return!I30 &lt; 0, mpf_monthly_return!I30, 0)</f>
        <v>0</v>
      </c>
      <c r="J31">
        <f>IF(mpf_monthly_return!J30 &lt; 0, mpf_monthly_return!J30, 0)</f>
        <v>0</v>
      </c>
      <c r="K31">
        <f>IF(mpf_monthly_return!K30 &lt; 0, mpf_monthly_return!K30, 0)</f>
        <v>0</v>
      </c>
    </row>
    <row r="32" spans="1:11" x14ac:dyDescent="0.4">
      <c r="A32" s="6">
        <v>43770</v>
      </c>
      <c r="B32">
        <f>IF(mpf_monthly_return!B31 &lt; 0, mpf_monthly_return!B31, 0)</f>
        <v>0</v>
      </c>
      <c r="C32">
        <f>IF(mpf_monthly_return!C31 &lt; 0, mpf_monthly_return!C31, 0)</f>
        <v>0</v>
      </c>
      <c r="D32">
        <f>IF(mpf_monthly_return!D31 &lt; 0, mpf_monthly_return!D31, 0)</f>
        <v>0</v>
      </c>
      <c r="E32">
        <f>IF(mpf_monthly_return!E31 &lt; 0, mpf_monthly_return!E31, 0)</f>
        <v>0</v>
      </c>
      <c r="F32">
        <f>IF(mpf_monthly_return!F31 &lt; 0, mpf_monthly_return!F31, 0)</f>
        <v>0</v>
      </c>
      <c r="G32">
        <f>IF(mpf_monthly_return!G31 &lt; 0, mpf_monthly_return!G31, 0)</f>
        <v>0</v>
      </c>
      <c r="H32">
        <f>IF(mpf_monthly_return!H31 &lt; 0, mpf_monthly_return!H31, 0)</f>
        <v>0</v>
      </c>
      <c r="I32">
        <f>IF(mpf_monthly_return!I31 &lt; 0, mpf_monthly_return!I31, 0)</f>
        <v>0</v>
      </c>
      <c r="J32">
        <f>IF(mpf_monthly_return!J31 &lt; 0, mpf_monthly_return!J31, 0)</f>
        <v>0</v>
      </c>
      <c r="K32">
        <f>IF(mpf_monthly_return!K31 &lt; 0, mpf_monthly_return!K31, 0)</f>
        <v>0</v>
      </c>
    </row>
    <row r="33" spans="1:11" x14ac:dyDescent="0.4">
      <c r="A33" s="6">
        <v>43800</v>
      </c>
      <c r="B33">
        <f>IF(mpf_monthly_return!B32 &lt; 0, mpf_monthly_return!B32, 0)</f>
        <v>-2.9869111499185565E-2</v>
      </c>
      <c r="C33">
        <f>IF(mpf_monthly_return!C32 &lt; 0, mpf_monthly_return!C32, 0)</f>
        <v>-4.860073249941043E-3</v>
      </c>
      <c r="D33">
        <f>IF(mpf_monthly_return!D32 &lt; 0, mpf_monthly_return!D32, 0)</f>
        <v>-5.4520008420280474E-3</v>
      </c>
      <c r="E33">
        <f>IF(mpf_monthly_return!E32 &lt; 0, mpf_monthly_return!E32, 0)</f>
        <v>0</v>
      </c>
      <c r="F33">
        <f>IF(mpf_monthly_return!F32 &lt; 0, mpf_monthly_return!F32, 0)</f>
        <v>-9.500060089863995E-4</v>
      </c>
      <c r="G33">
        <f>IF(mpf_monthly_return!G32 &lt; 0, mpf_monthly_return!G32, 0)</f>
        <v>0</v>
      </c>
      <c r="H33">
        <f>IF(mpf_monthly_return!H32 &lt; 0, mpf_monthly_return!H32, 0)</f>
        <v>-2.0292326046290354E-3</v>
      </c>
      <c r="I33">
        <f>IF(mpf_monthly_return!I32 &lt; 0, mpf_monthly_return!I32, 0)</f>
        <v>0</v>
      </c>
      <c r="J33">
        <f>IF(mpf_monthly_return!J32 &lt; 0, mpf_monthly_return!J32, 0)</f>
        <v>0</v>
      </c>
      <c r="K33">
        <f>IF(mpf_monthly_return!K32 &lt; 0, mpf_monthly_return!K32, 0)</f>
        <v>-4.4312874246825954E-3</v>
      </c>
    </row>
    <row r="34" spans="1:11" x14ac:dyDescent="0.4">
      <c r="A34" s="6">
        <v>43831</v>
      </c>
      <c r="B34">
        <f>IF(mpf_monthly_return!B33 &lt; 0, mpf_monthly_return!B33, 0)</f>
        <v>0</v>
      </c>
      <c r="C34">
        <f>IF(mpf_monthly_return!C33 &lt; 0, mpf_monthly_return!C33, 0)</f>
        <v>0</v>
      </c>
      <c r="D34">
        <f>IF(mpf_monthly_return!D33 &lt; 0, mpf_monthly_return!D33, 0)</f>
        <v>0</v>
      </c>
      <c r="E34">
        <f>IF(mpf_monthly_return!E33 &lt; 0, mpf_monthly_return!E33, 0)</f>
        <v>0</v>
      </c>
      <c r="F34">
        <f>IF(mpf_monthly_return!F33 &lt; 0, mpf_monthly_return!F33, 0)</f>
        <v>0</v>
      </c>
      <c r="G34">
        <f>IF(mpf_monthly_return!G33 &lt; 0, mpf_monthly_return!G33, 0)</f>
        <v>0</v>
      </c>
      <c r="H34">
        <f>IF(mpf_monthly_return!H33 &lt; 0, mpf_monthly_return!H33, 0)</f>
        <v>0</v>
      </c>
      <c r="I34">
        <f>IF(mpf_monthly_return!I33 &lt; 0, mpf_monthly_return!I33, 0)</f>
        <v>0</v>
      </c>
      <c r="J34">
        <f>IF(mpf_monthly_return!J33 &lt; 0, mpf_monthly_return!J33, 0)</f>
        <v>0</v>
      </c>
      <c r="K34">
        <f>IF(mpf_monthly_return!K33 &lt; 0, mpf_monthly_return!K33, 0)</f>
        <v>0</v>
      </c>
    </row>
    <row r="35" spans="1:11" x14ac:dyDescent="0.4">
      <c r="A35" s="6">
        <v>43862</v>
      </c>
      <c r="B35">
        <f>IF(mpf_monthly_return!B34 &lt; 0, mpf_monthly_return!B34, 0)</f>
        <v>-7.534054905078548E-2</v>
      </c>
      <c r="C35">
        <f>IF(mpf_monthly_return!C34 &lt; 0, mpf_monthly_return!C34, 0)</f>
        <v>-4.1394263582643434E-2</v>
      </c>
      <c r="D35">
        <f>IF(mpf_monthly_return!D34 &lt; 0, mpf_monthly_return!D34, 0)</f>
        <v>0</v>
      </c>
      <c r="E35">
        <f>IF(mpf_monthly_return!E34 &lt; 0, mpf_monthly_return!E34, 0)</f>
        <v>-6.6622254296325048E-4</v>
      </c>
      <c r="F35">
        <f>IF(mpf_monthly_return!F34 &lt; 0, mpf_monthly_return!F34, 0)</f>
        <v>-3.2462954151968752E-2</v>
      </c>
      <c r="G35">
        <f>IF(mpf_monthly_return!G34 &lt; 0, mpf_monthly_return!G34, 0)</f>
        <v>-4.9188490715963776E-3</v>
      </c>
      <c r="H35">
        <f>IF(mpf_monthly_return!H34 &lt; 0, mpf_monthly_return!H34, 0)</f>
        <v>-3.1970862433254692E-2</v>
      </c>
      <c r="I35">
        <f>IF(mpf_monthly_return!I34 &lt; 0, mpf_monthly_return!I34, 0)</f>
        <v>-1.777229184108221E-2</v>
      </c>
      <c r="J35">
        <f>IF(mpf_monthly_return!J34 &lt; 0, mpf_monthly_return!J34, 0)</f>
        <v>0</v>
      </c>
      <c r="K35">
        <f>IF(mpf_monthly_return!K34 &lt; 0, mpf_monthly_return!K34, 0)</f>
        <v>-1.4639123465175865E-2</v>
      </c>
    </row>
    <row r="36" spans="1:11" x14ac:dyDescent="0.4">
      <c r="A36" s="6">
        <v>43891</v>
      </c>
      <c r="B36">
        <f>IF(mpf_monthly_return!B35 &lt; 0, mpf_monthly_return!B35, 0)</f>
        <v>-1.2246647495548353E-4</v>
      </c>
      <c r="C36">
        <f>IF(mpf_monthly_return!C35 &lt; 0, mpf_monthly_return!C35, 0)</f>
        <v>-7.7222184947499703E-2</v>
      </c>
      <c r="D36">
        <f>IF(mpf_monthly_return!D35 &lt; 0, mpf_monthly_return!D35, 0)</f>
        <v>0</v>
      </c>
      <c r="E36">
        <f>IF(mpf_monthly_return!E35 &lt; 0, mpf_monthly_return!E35, 0)</f>
        <v>-4.1068470522204213E-2</v>
      </c>
      <c r="F36">
        <f>IF(mpf_monthly_return!F35 &lt; 0, mpf_monthly_return!F35, 0)</f>
        <v>-5.1112802640408628E-2</v>
      </c>
      <c r="G36">
        <f>IF(mpf_monthly_return!G35 &lt; 0, mpf_monthly_return!G35, 0)</f>
        <v>-8.5613752722991848E-2</v>
      </c>
      <c r="H36">
        <f>IF(mpf_monthly_return!H35 &lt; 0, mpf_monthly_return!H35, 0)</f>
        <v>-4.5083413264145437E-2</v>
      </c>
      <c r="I36">
        <f>IF(mpf_monthly_return!I35 &lt; 0, mpf_monthly_return!I35, 0)</f>
        <v>-9.0819467207827492E-2</v>
      </c>
      <c r="J36">
        <f>IF(mpf_monthly_return!J35 &lt; 0, mpf_monthly_return!J35, 0)</f>
        <v>0</v>
      </c>
      <c r="K36">
        <f>IF(mpf_monthly_return!K35 &lt; 0, mpf_monthly_return!K35, 0)</f>
        <v>-2.6407586305620553E-2</v>
      </c>
    </row>
    <row r="37" spans="1:11" x14ac:dyDescent="0.4">
      <c r="A37" s="6">
        <v>43922</v>
      </c>
      <c r="B37">
        <f>IF(mpf_monthly_return!B36 &lt; 0, mpf_monthly_return!B36, 0)</f>
        <v>-0.12092636633898136</v>
      </c>
      <c r="C37">
        <f>IF(mpf_monthly_return!C36 &lt; 0, mpf_monthly_return!C36, 0)</f>
        <v>-0.21771126665748686</v>
      </c>
      <c r="D37">
        <f>IF(mpf_monthly_return!D36 &lt; 0, mpf_monthly_return!D36, 0)</f>
        <v>-2.7245772826511232E-2</v>
      </c>
      <c r="E37">
        <f>IF(mpf_monthly_return!E36 &lt; 0, mpf_monthly_return!E36, 0)</f>
        <v>-0.10583319435605289</v>
      </c>
      <c r="F37">
        <f>IF(mpf_monthly_return!F36 &lt; 0, mpf_monthly_return!F36, 0)</f>
        <v>-0.14853783971680531</v>
      </c>
      <c r="G37">
        <f>IF(mpf_monthly_return!G36 &lt; 0, mpf_monthly_return!G36, 0)</f>
        <v>-0.18778553322600758</v>
      </c>
      <c r="H37">
        <f>IF(mpf_monthly_return!H36 &lt; 0, mpf_monthly_return!H36, 0)</f>
        <v>-0.10849315880645802</v>
      </c>
      <c r="I37">
        <f>IF(mpf_monthly_return!I36 &lt; 0, mpf_monthly_return!I36, 0)</f>
        <v>-0.22983866514728535</v>
      </c>
      <c r="J37">
        <f>IF(mpf_monthly_return!J36 &lt; 0, mpf_monthly_return!J36, 0)</f>
        <v>0</v>
      </c>
      <c r="K37">
        <f>IF(mpf_monthly_return!K36 &lt; 0, mpf_monthly_return!K36, 0)</f>
        <v>-9.5610196236046358E-2</v>
      </c>
    </row>
    <row r="38" spans="1:11" x14ac:dyDescent="0.4">
      <c r="A38" s="6">
        <v>43952</v>
      </c>
      <c r="B38">
        <f>IF(mpf_monthly_return!B37 &lt; 0, mpf_monthly_return!B37, 0)</f>
        <v>0</v>
      </c>
      <c r="C38">
        <f>IF(mpf_monthly_return!C37 &lt; 0, mpf_monthly_return!C37, 0)</f>
        <v>0</v>
      </c>
      <c r="D38">
        <f>IF(mpf_monthly_return!D37 &lt; 0, mpf_monthly_return!D37, 0)</f>
        <v>0</v>
      </c>
      <c r="E38">
        <f>IF(mpf_monthly_return!E37 &lt; 0, mpf_monthly_return!E37, 0)</f>
        <v>0</v>
      </c>
      <c r="F38">
        <f>IF(mpf_monthly_return!F37 &lt; 0, mpf_monthly_return!F37, 0)</f>
        <v>0</v>
      </c>
      <c r="G38">
        <f>IF(mpf_monthly_return!G37 &lt; 0, mpf_monthly_return!G37, 0)</f>
        <v>0</v>
      </c>
      <c r="H38">
        <f>IF(mpf_monthly_return!H37 &lt; 0, mpf_monthly_return!H37, 0)</f>
        <v>0</v>
      </c>
      <c r="I38">
        <f>IF(mpf_monthly_return!I37 &lt; 0, mpf_monthly_return!I37, 0)</f>
        <v>0</v>
      </c>
      <c r="J38">
        <f>IF(mpf_monthly_return!J37 &lt; 0, mpf_monthly_return!J37, 0)</f>
        <v>0</v>
      </c>
      <c r="K38">
        <f>IF(mpf_monthly_return!K37 &lt; 0, mpf_monthly_return!K37, 0)</f>
        <v>0</v>
      </c>
    </row>
    <row r="39" spans="1:11" x14ac:dyDescent="0.4">
      <c r="A39" s="6">
        <v>43983</v>
      </c>
      <c r="B39">
        <f>IF(mpf_monthly_return!B38 &lt; 0, mpf_monthly_return!B38, 0)</f>
        <v>-2.848408324709659E-2</v>
      </c>
      <c r="C39">
        <f>IF(mpf_monthly_return!C38 &lt; 0, mpf_monthly_return!C38, 0)</f>
        <v>0</v>
      </c>
      <c r="D39">
        <f>IF(mpf_monthly_return!D38 &lt; 0, mpf_monthly_return!D38, 0)</f>
        <v>0</v>
      </c>
      <c r="E39">
        <f>IF(mpf_monthly_return!E38 &lt; 0, mpf_monthly_return!E38, 0)</f>
        <v>0</v>
      </c>
      <c r="F39">
        <f>IF(mpf_monthly_return!F38 &lt; 0, mpf_monthly_return!F38, 0)</f>
        <v>0</v>
      </c>
      <c r="G39">
        <f>IF(mpf_monthly_return!G38 &lt; 0, mpf_monthly_return!G38, 0)</f>
        <v>0</v>
      </c>
      <c r="H39">
        <f>IF(mpf_monthly_return!H38 &lt; 0, mpf_monthly_return!H38, 0)</f>
        <v>0</v>
      </c>
      <c r="I39">
        <f>IF(mpf_monthly_return!I38 &lt; 0, mpf_monthly_return!I38, 0)</f>
        <v>0</v>
      </c>
      <c r="J39">
        <f>IF(mpf_monthly_return!J38 &lt; 0, mpf_monthly_return!J38, 0)</f>
        <v>0</v>
      </c>
      <c r="K39">
        <f>IF(mpf_monthly_return!K38 &lt; 0, mpf_monthly_return!K38, 0)</f>
        <v>0</v>
      </c>
    </row>
    <row r="40" spans="1:11" x14ac:dyDescent="0.4">
      <c r="A40" s="6">
        <v>44013</v>
      </c>
      <c r="B40">
        <f>IF(mpf_monthly_return!B39 &lt; 0, mpf_monthly_return!B39, 0)</f>
        <v>0</v>
      </c>
      <c r="C40">
        <f>IF(mpf_monthly_return!C39 &lt; 0, mpf_monthly_return!C39, 0)</f>
        <v>0</v>
      </c>
      <c r="D40">
        <f>IF(mpf_monthly_return!D39 &lt; 0, mpf_monthly_return!D39, 0)</f>
        <v>0</v>
      </c>
      <c r="E40">
        <f>IF(mpf_monthly_return!E39 &lt; 0, mpf_monthly_return!E39, 0)</f>
        <v>0</v>
      </c>
      <c r="F40">
        <f>IF(mpf_monthly_return!F39 &lt; 0, mpf_monthly_return!F39, 0)</f>
        <v>0</v>
      </c>
      <c r="G40">
        <f>IF(mpf_monthly_return!G39 &lt; 0, mpf_monthly_return!G39, 0)</f>
        <v>0</v>
      </c>
      <c r="H40">
        <f>IF(mpf_monthly_return!H39 &lt; 0, mpf_monthly_return!H39, 0)</f>
        <v>0</v>
      </c>
      <c r="I40">
        <f>IF(mpf_monthly_return!I39 &lt; 0, mpf_monthly_return!I39, 0)</f>
        <v>0</v>
      </c>
      <c r="J40">
        <f>IF(mpf_monthly_return!J39 &lt; 0, mpf_monthly_return!J39, 0)</f>
        <v>0</v>
      </c>
      <c r="K40">
        <f>IF(mpf_monthly_return!K39 &lt; 0, mpf_monthly_return!K39, 0)</f>
        <v>0</v>
      </c>
    </row>
    <row r="41" spans="1:11" x14ac:dyDescent="0.4">
      <c r="A41" s="6">
        <v>44044</v>
      </c>
      <c r="B41">
        <f>IF(mpf_monthly_return!B40 &lt; 0, mpf_monthly_return!B40, 0)</f>
        <v>0</v>
      </c>
      <c r="C41">
        <f>IF(mpf_monthly_return!C40 &lt; 0, mpf_monthly_return!C40, 0)</f>
        <v>0</v>
      </c>
      <c r="D41">
        <f>IF(mpf_monthly_return!D40 &lt; 0, mpf_monthly_return!D40, 0)</f>
        <v>0</v>
      </c>
      <c r="E41">
        <f>IF(mpf_monthly_return!E40 &lt; 0, mpf_monthly_return!E40, 0)</f>
        <v>0</v>
      </c>
      <c r="F41">
        <f>IF(mpf_monthly_return!F40 &lt; 0, mpf_monthly_return!F40, 0)</f>
        <v>0</v>
      </c>
      <c r="G41">
        <f>IF(mpf_monthly_return!G40 &lt; 0, mpf_monthly_return!G40, 0)</f>
        <v>0</v>
      </c>
      <c r="H41">
        <f>IF(mpf_monthly_return!H40 &lt; 0, mpf_monthly_return!H40, 0)</f>
        <v>0</v>
      </c>
      <c r="I41">
        <f>IF(mpf_monthly_return!I40 &lt; 0, mpf_monthly_return!I40, 0)</f>
        <v>0</v>
      </c>
      <c r="J41">
        <f>IF(mpf_monthly_return!J40 &lt; 0, mpf_monthly_return!J40, 0)</f>
        <v>0</v>
      </c>
      <c r="K41">
        <f>IF(mpf_monthly_return!K40 &lt; 0, mpf_monthly_return!K40, 0)</f>
        <v>0</v>
      </c>
    </row>
    <row r="42" spans="1:11" x14ac:dyDescent="0.4">
      <c r="A42" s="6">
        <v>44075</v>
      </c>
      <c r="B42">
        <f>IF(mpf_monthly_return!B41 &lt; 0, mpf_monthly_return!B41, 0)</f>
        <v>0</v>
      </c>
      <c r="C42">
        <f>IF(mpf_monthly_return!C41 &lt; 0, mpf_monthly_return!C41, 0)</f>
        <v>0</v>
      </c>
      <c r="D42">
        <f>IF(mpf_monthly_return!D41 &lt; 0, mpf_monthly_return!D41, 0)</f>
        <v>-5.880623515542952E-4</v>
      </c>
      <c r="E42">
        <f>IF(mpf_monthly_return!E41 &lt; 0, mpf_monthly_return!E41, 0)</f>
        <v>0</v>
      </c>
      <c r="F42">
        <f>IF(mpf_monthly_return!F41 &lt; 0, mpf_monthly_return!F41, 0)</f>
        <v>0</v>
      </c>
      <c r="G42">
        <f>IF(mpf_monthly_return!G41 &lt; 0, mpf_monthly_return!G41, 0)</f>
        <v>0</v>
      </c>
      <c r="H42">
        <f>IF(mpf_monthly_return!H41 &lt; 0, mpf_monthly_return!H41, 0)</f>
        <v>0</v>
      </c>
      <c r="I42">
        <f>IF(mpf_monthly_return!I41 &lt; 0, mpf_monthly_return!I41, 0)</f>
        <v>0</v>
      </c>
      <c r="J42">
        <f>IF(mpf_monthly_return!J41 &lt; 0, mpf_monthly_return!J41, 0)</f>
        <v>0</v>
      </c>
      <c r="K42">
        <f>IF(mpf_monthly_return!K41 &lt; 0, mpf_monthly_return!K41, 0)</f>
        <v>0</v>
      </c>
    </row>
    <row r="43" spans="1:11" x14ac:dyDescent="0.4">
      <c r="A43" s="6">
        <v>44105</v>
      </c>
      <c r="B43">
        <f>IF(mpf_monthly_return!B42 &lt; 0, mpf_monthly_return!B42, 0)</f>
        <v>-6.362797306196244E-2</v>
      </c>
      <c r="C43">
        <f>IF(mpf_monthly_return!C42 &lt; 0, mpf_monthly_return!C42, 0)</f>
        <v>-1.5865717418180821E-2</v>
      </c>
      <c r="D43">
        <f>IF(mpf_monthly_return!D42 &lt; 0, mpf_monthly_return!D42, 0)</f>
        <v>0</v>
      </c>
      <c r="E43">
        <f>IF(mpf_monthly_return!E42 &lt; 0, mpf_monthly_return!E42, 0)</f>
        <v>-2.0927281298930664E-2</v>
      </c>
      <c r="F43">
        <f>IF(mpf_monthly_return!F42 &lt; 0, mpf_monthly_return!F42, 0)</f>
        <v>-3.2805787778685334E-2</v>
      </c>
      <c r="G43">
        <f>IF(mpf_monthly_return!G42 &lt; 0, mpf_monthly_return!G42, 0)</f>
        <v>-5.1375305138633982E-2</v>
      </c>
      <c r="H43">
        <f>IF(mpf_monthly_return!H42 &lt; 0, mpf_monthly_return!H42, 0)</f>
        <v>-2.6383372766781918E-2</v>
      </c>
      <c r="I43">
        <f>IF(mpf_monthly_return!I42 &lt; 0, mpf_monthly_return!I42, 0)</f>
        <v>-5.4464003686579783E-2</v>
      </c>
      <c r="J43">
        <f>IF(mpf_monthly_return!J42 &lt; 0, mpf_monthly_return!J42, 0)</f>
        <v>0</v>
      </c>
      <c r="K43">
        <f>IF(mpf_monthly_return!K42 &lt; 0, mpf_monthly_return!K42, 0)</f>
        <v>-2.0513768046093658E-2</v>
      </c>
    </row>
    <row r="44" spans="1:11" x14ac:dyDescent="0.4">
      <c r="A44" s="6">
        <v>44136</v>
      </c>
      <c r="B44">
        <f>IF(mpf_monthly_return!B43 &lt; 0, mpf_monthly_return!B43, 0)</f>
        <v>0</v>
      </c>
      <c r="C44">
        <f>IF(mpf_monthly_return!C43 &lt; 0, mpf_monthly_return!C43, 0)</f>
        <v>0</v>
      </c>
      <c r="D44">
        <f>IF(mpf_monthly_return!D43 &lt; 0, mpf_monthly_return!D43, 0)</f>
        <v>0</v>
      </c>
      <c r="E44">
        <f>IF(mpf_monthly_return!E43 &lt; 0, mpf_monthly_return!E43, 0)</f>
        <v>-1.5618962272500514E-2</v>
      </c>
      <c r="F44">
        <f>IF(mpf_monthly_return!F43 &lt; 0, mpf_monthly_return!F43, 0)</f>
        <v>-2.5158204929266654E-3</v>
      </c>
      <c r="G44">
        <f>IF(mpf_monthly_return!G43 &lt; 0, mpf_monthly_return!G43, 0)</f>
        <v>-2.6830123362639003E-2</v>
      </c>
      <c r="H44">
        <f>IF(mpf_monthly_return!H43 &lt; 0, mpf_monthly_return!H43, 0)</f>
        <v>-4.121480888383878E-3</v>
      </c>
      <c r="I44">
        <f>IF(mpf_monthly_return!I43 &lt; 0, mpf_monthly_return!I43, 0)</f>
        <v>-2.2644242395900599E-2</v>
      </c>
      <c r="J44">
        <f>IF(mpf_monthly_return!J43 &lt; 0, mpf_monthly_return!J43, 0)</f>
        <v>0</v>
      </c>
      <c r="K44">
        <f>IF(mpf_monthly_return!K43 &lt; 0, mpf_monthly_return!K43, 0)</f>
        <v>-3.2422237615201575E-3</v>
      </c>
    </row>
    <row r="45" spans="1:11" x14ac:dyDescent="0.4">
      <c r="A45" s="6">
        <v>44166</v>
      </c>
      <c r="B45">
        <f>IF(mpf_monthly_return!B44 &lt; 0, mpf_monthly_return!B44, 0)</f>
        <v>0</v>
      </c>
      <c r="C45">
        <f>IF(mpf_monthly_return!C44 &lt; 0, mpf_monthly_return!C44, 0)</f>
        <v>0</v>
      </c>
      <c r="D45">
        <f>IF(mpf_monthly_return!D44 &lt; 0, mpf_monthly_return!D44, 0)</f>
        <v>0</v>
      </c>
      <c r="E45">
        <f>IF(mpf_monthly_return!E44 &lt; 0, mpf_monthly_return!E44, 0)</f>
        <v>0</v>
      </c>
      <c r="F45">
        <f>IF(mpf_monthly_return!F44 &lt; 0, mpf_monthly_return!F44, 0)</f>
        <v>0</v>
      </c>
      <c r="G45">
        <f>IF(mpf_monthly_return!G44 &lt; 0, mpf_monthly_return!G44, 0)</f>
        <v>0</v>
      </c>
      <c r="H45">
        <f>IF(mpf_monthly_return!H44 &lt; 0, mpf_monthly_return!H44, 0)</f>
        <v>0</v>
      </c>
      <c r="I45">
        <f>IF(mpf_monthly_return!I44 &lt; 0, mpf_monthly_return!I44, 0)</f>
        <v>0</v>
      </c>
      <c r="J45">
        <f>IF(mpf_monthly_return!J44 &lt; 0, mpf_monthly_return!J44, 0)</f>
        <v>0</v>
      </c>
      <c r="K45">
        <f>IF(mpf_monthly_return!K44 &lt; 0, mpf_monthly_return!K44, 0)</f>
        <v>0</v>
      </c>
    </row>
    <row r="46" spans="1:11" x14ac:dyDescent="0.4">
      <c r="A46" s="6">
        <v>44197</v>
      </c>
      <c r="B46">
        <f>IF(mpf_monthly_return!B45 &lt; 0, mpf_monthly_return!B45, 0)</f>
        <v>0</v>
      </c>
      <c r="C46">
        <f>IF(mpf_monthly_return!C45 &lt; 0, mpf_monthly_return!C45, 0)</f>
        <v>0</v>
      </c>
      <c r="D46">
        <f>IF(mpf_monthly_return!D45 &lt; 0, mpf_monthly_return!D45, 0)</f>
        <v>0</v>
      </c>
      <c r="E46">
        <f>IF(mpf_monthly_return!E45 &lt; 0, mpf_monthly_return!E45, 0)</f>
        <v>0</v>
      </c>
      <c r="F46">
        <f>IF(mpf_monthly_return!F45 &lt; 0, mpf_monthly_return!F45, 0)</f>
        <v>0</v>
      </c>
      <c r="G46">
        <f>IF(mpf_monthly_return!G45 &lt; 0, mpf_monthly_return!G45, 0)</f>
        <v>0</v>
      </c>
      <c r="H46">
        <f>IF(mpf_monthly_return!H45 &lt; 0, mpf_monthly_return!H45, 0)</f>
        <v>0</v>
      </c>
      <c r="I46">
        <f>IF(mpf_monthly_return!I45 &lt; 0, mpf_monthly_return!I45, 0)</f>
        <v>0</v>
      </c>
      <c r="J46">
        <f>IF(mpf_monthly_return!J45 &lt; 0, mpf_monthly_return!J45, 0)</f>
        <v>0</v>
      </c>
      <c r="K46">
        <f>IF(mpf_monthly_return!K45 &lt; 0, mpf_monthly_return!K45, 0)</f>
        <v>0</v>
      </c>
    </row>
    <row r="47" spans="1:11" x14ac:dyDescent="0.4">
      <c r="A47" s="6">
        <v>44228</v>
      </c>
      <c r="B47">
        <f>IF(mpf_monthly_return!B46 &lt; 0, mpf_monthly_return!B46, 0)</f>
        <v>0</v>
      </c>
      <c r="C47">
        <f>IF(mpf_monthly_return!C46 &lt; 0, mpf_monthly_return!C46, 0)</f>
        <v>0</v>
      </c>
      <c r="D47">
        <f>IF(mpf_monthly_return!D46 &lt; 0, mpf_monthly_return!D46, 0)</f>
        <v>-7.9193784510993136E-3</v>
      </c>
      <c r="E47">
        <f>IF(mpf_monthly_return!E46 &lt; 0, mpf_monthly_return!E46, 0)</f>
        <v>0</v>
      </c>
      <c r="F47">
        <f>IF(mpf_monthly_return!F46 &lt; 0, mpf_monthly_return!F46, 0)</f>
        <v>0</v>
      </c>
      <c r="G47">
        <f>IF(mpf_monthly_return!G46 &lt; 0, mpf_monthly_return!G46, 0)</f>
        <v>0</v>
      </c>
      <c r="H47">
        <f>IF(mpf_monthly_return!H46 &lt; 0, mpf_monthly_return!H46, 0)</f>
        <v>0</v>
      </c>
      <c r="I47">
        <f>IF(mpf_monthly_return!I46 &lt; 0, mpf_monthly_return!I46, 0)</f>
        <v>-3.6102570401800073E-3</v>
      </c>
      <c r="J47">
        <f>IF(mpf_monthly_return!J46 &lt; 0, mpf_monthly_return!J46, 0)</f>
        <v>0</v>
      </c>
      <c r="K47">
        <f>IF(mpf_monthly_return!K46 &lt; 0, mpf_monthly_return!K46, 0)</f>
        <v>0</v>
      </c>
    </row>
    <row r="48" spans="1:11" x14ac:dyDescent="0.4">
      <c r="A48" s="6">
        <v>44256</v>
      </c>
      <c r="B48">
        <f>IF(mpf_monthly_return!B47 &lt; 0, mpf_monthly_return!B47, 0)</f>
        <v>0</v>
      </c>
      <c r="C48">
        <f>IF(mpf_monthly_return!C47 &lt; 0, mpf_monthly_return!C47, 0)</f>
        <v>0</v>
      </c>
      <c r="D48">
        <f>IF(mpf_monthly_return!D47 &lt; 0, mpf_monthly_return!D47, 0)</f>
        <v>-1.6196024161090169E-2</v>
      </c>
      <c r="E48">
        <f>IF(mpf_monthly_return!E47 &lt; 0, mpf_monthly_return!E47, 0)</f>
        <v>0</v>
      </c>
      <c r="F48">
        <f>IF(mpf_monthly_return!F47 &lt; 0, mpf_monthly_return!F47, 0)</f>
        <v>0</v>
      </c>
      <c r="G48">
        <f>IF(mpf_monthly_return!G47 &lt; 0, mpf_monthly_return!G47, 0)</f>
        <v>0</v>
      </c>
      <c r="H48">
        <f>IF(mpf_monthly_return!H47 &lt; 0, mpf_monthly_return!H47, 0)</f>
        <v>0</v>
      </c>
      <c r="I48">
        <f>IF(mpf_monthly_return!I47 &lt; 0, mpf_monthly_return!I47, 0)</f>
        <v>0</v>
      </c>
      <c r="J48">
        <f>IF(mpf_monthly_return!J47 &lt; 0, mpf_monthly_return!J47, 0)</f>
        <v>0</v>
      </c>
      <c r="K48">
        <f>IF(mpf_monthly_return!K47 &lt; 0, mpf_monthly_return!K47, 0)</f>
        <v>0</v>
      </c>
    </row>
    <row r="49" spans="1:11" x14ac:dyDescent="0.4">
      <c r="A49" s="6">
        <v>44287</v>
      </c>
      <c r="B49">
        <f>IF(mpf_monthly_return!B48 &lt; 0, mpf_monthly_return!B48, 0)</f>
        <v>-1.6644010037181096E-2</v>
      </c>
      <c r="C49">
        <f>IF(mpf_monthly_return!C48 &lt; 0, mpf_monthly_return!C48, 0)</f>
        <v>0</v>
      </c>
      <c r="D49">
        <f>IF(mpf_monthly_return!D48 &lt; 0, mpf_monthly_return!D48, 0)</f>
        <v>-1.7309901997237122E-2</v>
      </c>
      <c r="E49">
        <f>IF(mpf_monthly_return!E48 &lt; 0, mpf_monthly_return!E48, 0)</f>
        <v>0</v>
      </c>
      <c r="F49">
        <f>IF(mpf_monthly_return!F48 &lt; 0, mpf_monthly_return!F48, 0)</f>
        <v>0</v>
      </c>
      <c r="G49">
        <f>IF(mpf_monthly_return!G48 &lt; 0, mpf_monthly_return!G48, 0)</f>
        <v>0</v>
      </c>
      <c r="H49">
        <f>IF(mpf_monthly_return!H48 &lt; 0, mpf_monthly_return!H48, 0)</f>
        <v>0</v>
      </c>
      <c r="I49">
        <f>IF(mpf_monthly_return!I48 &lt; 0, mpf_monthly_return!I48, 0)</f>
        <v>0</v>
      </c>
      <c r="J49">
        <f>IF(mpf_monthly_return!J48 &lt; 0, mpf_monthly_return!J48, 0)</f>
        <v>0</v>
      </c>
      <c r="K49">
        <f>IF(mpf_monthly_return!K48 &lt; 0, mpf_monthly_return!K48, 0)</f>
        <v>-2.0971132060612916E-3</v>
      </c>
    </row>
    <row r="50" spans="1:11" x14ac:dyDescent="0.4">
      <c r="A50" s="6">
        <v>44317</v>
      </c>
      <c r="B50">
        <f>IF(mpf_monthly_return!B49 &lt; 0, mpf_monthly_return!B49, 0)</f>
        <v>-1.3816860325142699E-2</v>
      </c>
      <c r="C50">
        <f>IF(mpf_monthly_return!C49 &lt; 0, mpf_monthly_return!C49, 0)</f>
        <v>0</v>
      </c>
      <c r="D50">
        <f>IF(mpf_monthly_return!D49 &lt; 0, mpf_monthly_return!D49, 0)</f>
        <v>0</v>
      </c>
      <c r="E50">
        <f>IF(mpf_monthly_return!E49 &lt; 0, mpf_monthly_return!E49, 0)</f>
        <v>0</v>
      </c>
      <c r="F50">
        <f>IF(mpf_monthly_return!F49 &lt; 0, mpf_monthly_return!F49, 0)</f>
        <v>0</v>
      </c>
      <c r="G50">
        <f>IF(mpf_monthly_return!G49 &lt; 0, mpf_monthly_return!G49, 0)</f>
        <v>0</v>
      </c>
      <c r="H50">
        <f>IF(mpf_monthly_return!H49 &lt; 0, mpf_monthly_return!H49, 0)</f>
        <v>0</v>
      </c>
      <c r="I50">
        <f>IF(mpf_monthly_return!I49 &lt; 0, mpf_monthly_return!I49, 0)</f>
        <v>0</v>
      </c>
      <c r="J50">
        <f>IF(mpf_monthly_return!J49 &lt; 0, mpf_monthly_return!J49, 0)</f>
        <v>0</v>
      </c>
      <c r="K50">
        <f>IF(mpf_monthly_return!K49 &lt; 0, mpf_monthly_return!K49, 0)</f>
        <v>0</v>
      </c>
    </row>
    <row r="51" spans="1:11" x14ac:dyDescent="0.4">
      <c r="A51" s="6">
        <v>44348</v>
      </c>
      <c r="B51">
        <f>IF(mpf_monthly_return!B50 &lt; 0, mpf_monthly_return!B50, 0)</f>
        <v>0</v>
      </c>
      <c r="C51">
        <f>IF(mpf_monthly_return!C50 &lt; 0, mpf_monthly_return!C50, 0)</f>
        <v>0</v>
      </c>
      <c r="D51">
        <f>IF(mpf_monthly_return!D50 &lt; 0, mpf_monthly_return!D50, 0)</f>
        <v>0</v>
      </c>
      <c r="E51">
        <f>IF(mpf_monthly_return!E50 &lt; 0, mpf_monthly_return!E50, 0)</f>
        <v>0</v>
      </c>
      <c r="F51">
        <f>IF(mpf_monthly_return!F50 &lt; 0, mpf_monthly_return!F50, 0)</f>
        <v>0</v>
      </c>
      <c r="G51">
        <f>IF(mpf_monthly_return!G50 &lt; 0, mpf_monthly_return!G50, 0)</f>
        <v>0</v>
      </c>
      <c r="H51">
        <f>IF(mpf_monthly_return!H50 &lt; 0, mpf_monthly_return!H50, 0)</f>
        <v>0</v>
      </c>
      <c r="I51">
        <f>IF(mpf_monthly_return!I50 &lt; 0, mpf_monthly_return!I50, 0)</f>
        <v>0</v>
      </c>
      <c r="J51">
        <f>IF(mpf_monthly_return!J50 &lt; 0, mpf_monthly_return!J50, 0)</f>
        <v>0</v>
      </c>
      <c r="K51">
        <f>IF(mpf_monthly_return!K50 &lt; 0, mpf_monthly_return!K50, 0)</f>
        <v>0</v>
      </c>
    </row>
    <row r="52" spans="1:11" x14ac:dyDescent="0.4">
      <c r="A52" s="6">
        <v>44378</v>
      </c>
      <c r="B52">
        <f>IF(mpf_monthly_return!B51 &lt; 0, mpf_monthly_return!B51, 0)</f>
        <v>-1.9549903116389745E-2</v>
      </c>
      <c r="C52">
        <f>IF(mpf_monthly_return!C51 &lt; 0, mpf_monthly_return!C51, 0)</f>
        <v>-1.140978776406178E-2</v>
      </c>
      <c r="D52">
        <f>IF(mpf_monthly_return!D51 &lt; 0, mpf_monthly_return!D51, 0)</f>
        <v>-1.1177995951838054E-2</v>
      </c>
      <c r="E52">
        <f>IF(mpf_monthly_return!E51 &lt; 0, mpf_monthly_return!E51, 0)</f>
        <v>0</v>
      </c>
      <c r="F52">
        <f>IF(mpf_monthly_return!F51 &lt; 0, mpf_monthly_return!F51, 0)</f>
        <v>-8.1724870409773196E-3</v>
      </c>
      <c r="G52">
        <f>IF(mpf_monthly_return!G51 &lt; 0, mpf_monthly_return!G51, 0)</f>
        <v>0</v>
      </c>
      <c r="H52">
        <f>IF(mpf_monthly_return!H51 &lt; 0, mpf_monthly_return!H51, 0)</f>
        <v>-7.0008812619431846E-3</v>
      </c>
      <c r="I52">
        <f>IF(mpf_monthly_return!I51 &lt; 0, mpf_monthly_return!I51, 0)</f>
        <v>0</v>
      </c>
      <c r="J52">
        <f>IF(mpf_monthly_return!J51 &lt; 0, mpf_monthly_return!J51, 0)</f>
        <v>0</v>
      </c>
      <c r="K52">
        <f>IF(mpf_monthly_return!K51 &lt; 0, mpf_monthly_return!K51, 0)</f>
        <v>-5.7411121204798505E-3</v>
      </c>
    </row>
    <row r="53" spans="1:11" x14ac:dyDescent="0.4">
      <c r="A53" s="6">
        <v>44409</v>
      </c>
      <c r="B53">
        <f>IF(mpf_monthly_return!B52 &lt; 0, mpf_monthly_return!B52, 0)</f>
        <v>-9.9679458955487146E-2</v>
      </c>
      <c r="C53">
        <f>IF(mpf_monthly_return!C52 &lt; 0, mpf_monthly_return!C52, 0)</f>
        <v>-2.265999618209559E-2</v>
      </c>
      <c r="D53">
        <f>IF(mpf_monthly_return!D52 &lt; 0, mpf_monthly_return!D52, 0)</f>
        <v>0</v>
      </c>
      <c r="E53">
        <f>IF(mpf_monthly_return!E52 &lt; 0, mpf_monthly_return!E52, 0)</f>
        <v>0</v>
      </c>
      <c r="F53">
        <f>IF(mpf_monthly_return!F52 &lt; 0, mpf_monthly_return!F52, 0)</f>
        <v>-2.8278087671134086E-2</v>
      </c>
      <c r="G53">
        <f>IF(mpf_monthly_return!G52 &lt; 0, mpf_monthly_return!G52, 0)</f>
        <v>0</v>
      </c>
      <c r="H53">
        <f>IF(mpf_monthly_return!H52 &lt; 0, mpf_monthly_return!H52, 0)</f>
        <v>-2.153166005478907E-2</v>
      </c>
      <c r="I53">
        <f>IF(mpf_monthly_return!I52 &lt; 0, mpf_monthly_return!I52, 0)</f>
        <v>0</v>
      </c>
      <c r="J53">
        <f>IF(mpf_monthly_return!J52 &lt; 0, mpf_monthly_return!J52, 0)</f>
        <v>0</v>
      </c>
      <c r="K53">
        <f>IF(mpf_monthly_return!K52 &lt; 0, mpf_monthly_return!K52, 0)</f>
        <v>-1.1622232785221811E-2</v>
      </c>
    </row>
    <row r="54" spans="1:11" x14ac:dyDescent="0.4">
      <c r="A54" s="6">
        <v>44440</v>
      </c>
      <c r="B54">
        <f>IF(mpf_monthly_return!B53 &lt; 0, mpf_monthly_return!B53, 0)</f>
        <v>0</v>
      </c>
      <c r="C54">
        <f>IF(mpf_monthly_return!C53 &lt; 0, mpf_monthly_return!C53, 0)</f>
        <v>0</v>
      </c>
      <c r="D54">
        <f>IF(mpf_monthly_return!D53 &lt; 0, mpf_monthly_return!D53, 0)</f>
        <v>0</v>
      </c>
      <c r="E54">
        <f>IF(mpf_monthly_return!E53 &lt; 0, mpf_monthly_return!E53, 0)</f>
        <v>0</v>
      </c>
      <c r="F54">
        <f>IF(mpf_monthly_return!F53 &lt; 0, mpf_monthly_return!F53, 0)</f>
        <v>0</v>
      </c>
      <c r="G54">
        <f>IF(mpf_monthly_return!G53 &lt; 0, mpf_monthly_return!G53, 0)</f>
        <v>0</v>
      </c>
      <c r="H54">
        <f>IF(mpf_monthly_return!H53 &lt; 0, mpf_monthly_return!H53, 0)</f>
        <v>0</v>
      </c>
      <c r="I54">
        <f>IF(mpf_monthly_return!I53 &lt; 0, mpf_monthly_return!I53, 0)</f>
        <v>0</v>
      </c>
      <c r="J54">
        <f>IF(mpf_monthly_return!J53 &lt; 0, mpf_monthly_return!J53, 0)</f>
        <v>0</v>
      </c>
      <c r="K54">
        <f>IF(mpf_monthly_return!K53 &lt; 0, mpf_monthly_return!K53, 0)</f>
        <v>0</v>
      </c>
    </row>
    <row r="55" spans="1:11" x14ac:dyDescent="0.4">
      <c r="A55" s="6">
        <v>44470</v>
      </c>
      <c r="B55">
        <f>IF(mpf_monthly_return!B54 &lt; 0, mpf_monthly_return!B54, 0)</f>
        <v>-5.4147817683779034E-2</v>
      </c>
      <c r="C55">
        <f>IF(mpf_monthly_return!C54 &lt; 0, mpf_monthly_return!C54, 0)</f>
        <v>-3.6320956353203593E-2</v>
      </c>
      <c r="D55">
        <f>IF(mpf_monthly_return!D54 &lt; 0, mpf_monthly_return!D54, 0)</f>
        <v>-1.9619296751536196E-2</v>
      </c>
      <c r="E55">
        <f>IF(mpf_monthly_return!E54 &lt; 0, mpf_monthly_return!E54, 0)</f>
        <v>-3.1457650673319106E-2</v>
      </c>
      <c r="F55">
        <f>IF(mpf_monthly_return!F54 &lt; 0, mpf_monthly_return!F54, 0)</f>
        <v>-4.1174079024172333E-2</v>
      </c>
      <c r="G55">
        <f>IF(mpf_monthly_return!G54 &lt; 0, mpf_monthly_return!G54, 0)</f>
        <v>-5.0636362236957992E-2</v>
      </c>
      <c r="H55">
        <f>IF(mpf_monthly_return!H54 &lt; 0, mpf_monthly_return!H54, 0)</f>
        <v>-3.1989840893124462E-2</v>
      </c>
      <c r="I55">
        <f>IF(mpf_monthly_return!I54 &lt; 0, mpf_monthly_return!I54, 0)</f>
        <v>-4.8923729015363154E-2</v>
      </c>
      <c r="J55">
        <f>IF(mpf_monthly_return!J54 &lt; 0, mpf_monthly_return!J54, 0)</f>
        <v>0</v>
      </c>
      <c r="K55">
        <f>IF(mpf_monthly_return!K54 &lt; 0, mpf_monthly_return!K54, 0)</f>
        <v>-2.9767463679183891E-2</v>
      </c>
    </row>
    <row r="56" spans="1:11" x14ac:dyDescent="0.4">
      <c r="A56" s="6">
        <v>44501</v>
      </c>
      <c r="B56">
        <f>IF(mpf_monthly_return!B55 &lt; 0, mpf_monthly_return!B55, 0)</f>
        <v>0</v>
      </c>
      <c r="C56">
        <f>IF(mpf_monthly_return!C55 &lt; 0, mpf_monthly_return!C55, 0)</f>
        <v>0</v>
      </c>
      <c r="D56">
        <f>IF(mpf_monthly_return!D55 &lt; 0, mpf_monthly_return!D55, 0)</f>
        <v>-4.5562081827377936E-3</v>
      </c>
      <c r="E56">
        <f>IF(mpf_monthly_return!E55 &lt; 0, mpf_monthly_return!E55, 0)</f>
        <v>0</v>
      </c>
      <c r="F56">
        <f>IF(mpf_monthly_return!F55 &lt; 0, mpf_monthly_return!F55, 0)</f>
        <v>0</v>
      </c>
      <c r="G56">
        <f>IF(mpf_monthly_return!G55 &lt; 0, mpf_monthly_return!G55, 0)</f>
        <v>0</v>
      </c>
      <c r="H56">
        <f>IF(mpf_monthly_return!H55 &lt; 0, mpf_monthly_return!H55, 0)</f>
        <v>0</v>
      </c>
      <c r="I56">
        <f>IF(mpf_monthly_return!I55 &lt; 0, mpf_monthly_return!I55, 0)</f>
        <v>0</v>
      </c>
      <c r="J56">
        <f>IF(mpf_monthly_return!J55 &lt; 0, mpf_monthly_return!J55, 0)</f>
        <v>0</v>
      </c>
      <c r="K56">
        <f>IF(mpf_monthly_return!K55 &lt; 0, mpf_monthly_return!K55, 0)</f>
        <v>0</v>
      </c>
    </row>
    <row r="57" spans="1:11" x14ac:dyDescent="0.4">
      <c r="A57" s="6">
        <v>44531</v>
      </c>
      <c r="B57">
        <f>IF(mpf_monthly_return!B56 &lt; 0, mpf_monthly_return!B56, 0)</f>
        <v>-5.8515729059134422E-2</v>
      </c>
      <c r="C57">
        <f>IF(mpf_monthly_return!C56 &lt; 0, mpf_monthly_return!C56, 0)</f>
        <v>-2.6638974362870063E-2</v>
      </c>
      <c r="D57">
        <f>IF(mpf_monthly_return!D56 &lt; 0, mpf_monthly_return!D56, 0)</f>
        <v>-7.5243598240472788E-3</v>
      </c>
      <c r="E57">
        <f>IF(mpf_monthly_return!E56 &lt; 0, mpf_monthly_return!E56, 0)</f>
        <v>-1.3501617238699462E-2</v>
      </c>
      <c r="F57">
        <f>IF(mpf_monthly_return!F56 &lt; 0, mpf_monthly_return!F56, 0)</f>
        <v>-3.1607053760802438E-2</v>
      </c>
      <c r="G57">
        <f>IF(mpf_monthly_return!G56 &lt; 0, mpf_monthly_return!G56, 0)</f>
        <v>-1.6637626911255105E-2</v>
      </c>
      <c r="H57">
        <f>IF(mpf_monthly_return!H56 &lt; 0, mpf_monthly_return!H56, 0)</f>
        <v>-1.888691765399942E-2</v>
      </c>
      <c r="I57">
        <f>IF(mpf_monthly_return!I56 &lt; 0, mpf_monthly_return!I56, 0)</f>
        <v>-2.0616557740235193E-2</v>
      </c>
      <c r="J57">
        <f>IF(mpf_monthly_return!J56 &lt; 0, mpf_monthly_return!J56, 0)</f>
        <v>0</v>
      </c>
      <c r="K57">
        <f>IF(mpf_monthly_return!K56 &lt; 0, mpf_monthly_return!K56, 0)</f>
        <v>-1.655964098997106E-2</v>
      </c>
    </row>
    <row r="58" spans="1:11" x14ac:dyDescent="0.4">
      <c r="A58" s="6">
        <v>44562</v>
      </c>
      <c r="B58">
        <f>IF(mpf_monthly_return!B57 &lt; 0, mpf_monthly_return!B57, 0)</f>
        <v>-1.3035566337454979E-2</v>
      </c>
      <c r="C58">
        <f>IF(mpf_monthly_return!C57 &lt; 0, mpf_monthly_return!C57, 0)</f>
        <v>0</v>
      </c>
      <c r="D58">
        <f>IF(mpf_monthly_return!D57 &lt; 0, mpf_monthly_return!D57, 0)</f>
        <v>0</v>
      </c>
      <c r="E58">
        <f>IF(mpf_monthly_return!E57 &lt; 0, mpf_monthly_return!E57, 0)</f>
        <v>0</v>
      </c>
      <c r="F58">
        <f>IF(mpf_monthly_return!F57 &lt; 0, mpf_monthly_return!F57, 0)</f>
        <v>0</v>
      </c>
      <c r="G58">
        <f>IF(mpf_monthly_return!G57 &lt; 0, mpf_monthly_return!G57, 0)</f>
        <v>0</v>
      </c>
      <c r="H58">
        <f>IF(mpf_monthly_return!H57 &lt; 0, mpf_monthly_return!H57, 0)</f>
        <v>0</v>
      </c>
      <c r="I58">
        <f>IF(mpf_monthly_return!I57 &lt; 0, mpf_monthly_return!I57, 0)</f>
        <v>0</v>
      </c>
      <c r="J58">
        <f>IF(mpf_monthly_return!J57 &lt; 0, mpf_monthly_return!J57, 0)</f>
        <v>0</v>
      </c>
      <c r="K58">
        <f>IF(mpf_monthly_return!K57 &lt; 0, mpf_monthly_return!K57, 0)</f>
        <v>0</v>
      </c>
    </row>
    <row r="59" spans="1:11" x14ac:dyDescent="0.4">
      <c r="A59" s="6">
        <v>44593</v>
      </c>
      <c r="B59">
        <f>IF(mpf_monthly_return!B58 &lt; 0, mpf_monthly_return!B58, 0)</f>
        <v>0</v>
      </c>
      <c r="C59">
        <f>IF(mpf_monthly_return!C58 &lt; 0, mpf_monthly_return!C58, 0)</f>
        <v>-4.1311269211034375E-2</v>
      </c>
      <c r="D59">
        <f>IF(mpf_monthly_return!D58 &lt; 0, mpf_monthly_return!D58, 0)</f>
        <v>-1.9423159925819739E-2</v>
      </c>
      <c r="E59">
        <f>IF(mpf_monthly_return!E58 &lt; 0, mpf_monthly_return!E58, 0)</f>
        <v>-3.5827818182594909E-2</v>
      </c>
      <c r="F59">
        <f>IF(mpf_monthly_return!F58 &lt; 0, mpf_monthly_return!F58, 0)</f>
        <v>-2.8765042712805937E-2</v>
      </c>
      <c r="G59">
        <f>IF(mpf_monthly_return!G58 &lt; 0, mpf_monthly_return!G58, 0)</f>
        <v>-4.4124602191325919E-2</v>
      </c>
      <c r="H59">
        <f>IF(mpf_monthly_return!H58 &lt; 0, mpf_monthly_return!H58, 0)</f>
        <v>-2.3969064446642718E-2</v>
      </c>
      <c r="I59">
        <f>IF(mpf_monthly_return!I58 &lt; 0, mpf_monthly_return!I58, 0)</f>
        <v>-5.4746266762508419E-2</v>
      </c>
      <c r="J59">
        <f>IF(mpf_monthly_return!J58 &lt; 0, mpf_monthly_return!J58, 0)</f>
        <v>0</v>
      </c>
      <c r="K59">
        <f>IF(mpf_monthly_return!K58 &lt; 0, mpf_monthly_return!K58, 0)</f>
        <v>-2.4482903037332984E-2</v>
      </c>
    </row>
    <row r="60" spans="1:11" x14ac:dyDescent="0.4">
      <c r="A60" s="6">
        <v>44621</v>
      </c>
      <c r="B60">
        <f>IF(mpf_monthly_return!B59 &lt; 0, mpf_monthly_return!B59, 0)</f>
        <v>-4.7164908326441268E-2</v>
      </c>
      <c r="C60">
        <f>IF(mpf_monthly_return!C59 &lt; 0, mpf_monthly_return!C59, 0)</f>
        <v>-2.523932516542135E-3</v>
      </c>
      <c r="D60">
        <f>IF(mpf_monthly_return!D59 &lt; 0, mpf_monthly_return!D59, 0)</f>
        <v>0</v>
      </c>
      <c r="E60">
        <f>IF(mpf_monthly_return!E59 &lt; 0, mpf_monthly_return!E59, 0)</f>
        <v>-2.1669705159060262E-2</v>
      </c>
      <c r="F60">
        <f>IF(mpf_monthly_return!F59 &lt; 0, mpf_monthly_return!F59, 0)</f>
        <v>-3.783973950447269E-2</v>
      </c>
      <c r="G60">
        <f>IF(mpf_monthly_return!G59 &lt; 0, mpf_monthly_return!G59, 0)</f>
        <v>-3.7318834404925637E-2</v>
      </c>
      <c r="H60">
        <f>IF(mpf_monthly_return!H59 &lt; 0, mpf_monthly_return!H59, 0)</f>
        <v>-2.4264119334374414E-2</v>
      </c>
      <c r="I60">
        <f>IF(mpf_monthly_return!I59 &lt; 0, mpf_monthly_return!I59, 0)</f>
        <v>-4.4090112653125818E-2</v>
      </c>
      <c r="J60">
        <f>IF(mpf_monthly_return!J59 &lt; 0, mpf_monthly_return!J59, 0)</f>
        <v>0</v>
      </c>
      <c r="K60">
        <f>IF(mpf_monthly_return!K59 &lt; 0, mpf_monthly_return!K59, 0)</f>
        <v>-2.3464597775314153E-2</v>
      </c>
    </row>
    <row r="61" spans="1:11" x14ac:dyDescent="0.4">
      <c r="A61" s="6">
        <v>44652</v>
      </c>
      <c r="B61">
        <f>IF(mpf_monthly_return!B60 &lt; 0, mpf_monthly_return!B60, 0)</f>
        <v>-3.135096870103446E-2</v>
      </c>
      <c r="C61">
        <f>IF(mpf_monthly_return!C60 &lt; 0, mpf_monthly_return!C60, 0)</f>
        <v>0</v>
      </c>
      <c r="D61">
        <f>IF(mpf_monthly_return!D60 &lt; 0, mpf_monthly_return!D60, 0)</f>
        <v>-1.9618868911686335E-2</v>
      </c>
      <c r="E61">
        <f>IF(mpf_monthly_return!E60 &lt; 0, mpf_monthly_return!E60, 0)</f>
        <v>0</v>
      </c>
      <c r="F61">
        <f>IF(mpf_monthly_return!F60 &lt; 0, mpf_monthly_return!F60, 0)</f>
        <v>-3.1308516300981295E-3</v>
      </c>
      <c r="G61">
        <f>IF(mpf_monthly_return!G60 &lt; 0, mpf_monthly_return!G60, 0)</f>
        <v>0</v>
      </c>
      <c r="H61">
        <f>IF(mpf_monthly_return!H60 &lt; 0, mpf_monthly_return!H60, 0)</f>
        <v>-2.4065332489246943E-2</v>
      </c>
      <c r="I61">
        <f>IF(mpf_monthly_return!I60 &lt; 0, mpf_monthly_return!I60, 0)</f>
        <v>0</v>
      </c>
      <c r="J61">
        <f>IF(mpf_monthly_return!J60 &lt; 0, mpf_monthly_return!J60, 0)</f>
        <v>0</v>
      </c>
      <c r="K61">
        <f>IF(mpf_monthly_return!K60 &lt; 0, mpf_monthly_return!K60, 0)</f>
        <v>-1.8196498954862785E-2</v>
      </c>
    </row>
    <row r="62" spans="1:11" x14ac:dyDescent="0.4">
      <c r="A62" s="6">
        <v>44682</v>
      </c>
      <c r="B62">
        <f>IF(mpf_monthly_return!B61 &lt; 0, mpf_monthly_return!B61, 0)</f>
        <v>-4.3960727187037495E-2</v>
      </c>
      <c r="C62">
        <f>IF(mpf_monthly_return!C61 &lt; 0, mpf_monthly_return!C61, 0)</f>
        <v>-6.7486416824246748E-2</v>
      </c>
      <c r="D62">
        <f>IF(mpf_monthly_return!D61 &lt; 0, mpf_monthly_return!D61, 0)</f>
        <v>-3.6443671322521048E-2</v>
      </c>
      <c r="E62">
        <f>IF(mpf_monthly_return!E61 &lt; 0, mpf_monthly_return!E61, 0)</f>
        <v>-5.9962265626861327E-2</v>
      </c>
      <c r="F62">
        <f>IF(mpf_monthly_return!F61 &lt; 0, mpf_monthly_return!F61, 0)</f>
        <v>-5.8099182591565705E-2</v>
      </c>
      <c r="G62">
        <f>IF(mpf_monthly_return!G61 &lt; 0, mpf_monthly_return!G61, 0)</f>
        <v>-8.6955801365084406E-2</v>
      </c>
      <c r="H62">
        <f>IF(mpf_monthly_return!H61 &lt; 0, mpf_monthly_return!H61, 0)</f>
        <v>-4.7152654320242134E-2</v>
      </c>
      <c r="I62">
        <f>IF(mpf_monthly_return!I61 &lt; 0, mpf_monthly_return!I61, 0)</f>
        <v>-9.4288504664329531E-2</v>
      </c>
      <c r="J62">
        <f>IF(mpf_monthly_return!J61 &lt; 0, mpf_monthly_return!J61, 0)</f>
        <v>0</v>
      </c>
      <c r="K62">
        <f>IF(mpf_monthly_return!K61 &lt; 0, mpf_monthly_return!K61, 0)</f>
        <v>-4.8278752465316342E-2</v>
      </c>
    </row>
    <row r="63" spans="1:11" x14ac:dyDescent="0.4">
      <c r="A63" s="6">
        <v>44713</v>
      </c>
      <c r="B63">
        <f>IF(mpf_monthly_return!B62 &lt; 0, mpf_monthly_return!B62, 0)</f>
        <v>0</v>
      </c>
      <c r="C63">
        <f>IF(mpf_monthly_return!C62 &lt; 0, mpf_monthly_return!C62, 0)</f>
        <v>-9.4126818484989861E-4</v>
      </c>
      <c r="D63">
        <f>IF(mpf_monthly_return!D62 &lt; 0, mpf_monthly_return!D62, 0)</f>
        <v>0</v>
      </c>
      <c r="E63">
        <f>IF(mpf_monthly_return!E62 &lt; 0, mpf_monthly_return!E62, 0)</f>
        <v>-7.8877921286110673E-3</v>
      </c>
      <c r="F63">
        <f>IF(mpf_monthly_return!F62 &lt; 0, mpf_monthly_return!F62, 0)</f>
        <v>0</v>
      </c>
      <c r="G63">
        <f>IF(mpf_monthly_return!G62 &lt; 0, mpf_monthly_return!G62, 0)</f>
        <v>-4.6486980792228086E-3</v>
      </c>
      <c r="H63">
        <f>IF(mpf_monthly_return!H62 &lt; 0, mpf_monthly_return!H62, 0)</f>
        <v>-1.5773703254768701E-3</v>
      </c>
      <c r="I63">
        <f>IF(mpf_monthly_return!I62 &lt; 0, mpf_monthly_return!I62, 0)</f>
        <v>-6.3452915107981489E-3</v>
      </c>
      <c r="J63">
        <f>IF(mpf_monthly_return!J62 &lt; 0, mpf_monthly_return!J62, 0)</f>
        <v>0</v>
      </c>
      <c r="K63">
        <f>IF(mpf_monthly_return!K62 &lt; 0, mpf_monthly_return!K62, 0)</f>
        <v>-1.4234224227643664E-3</v>
      </c>
    </row>
    <row r="64" spans="1:11" x14ac:dyDescent="0.4">
      <c r="A64" s="6">
        <v>44743</v>
      </c>
      <c r="B64">
        <f>IF(mpf_monthly_return!B63 &lt; 0, mpf_monthly_return!B63, 0)</f>
        <v>0</v>
      </c>
      <c r="C64">
        <f>IF(mpf_monthly_return!C63 &lt; 0, mpf_monthly_return!C63, 0)</f>
        <v>-0.12196859732925334</v>
      </c>
      <c r="D64">
        <f>IF(mpf_monthly_return!D63 &lt; 0, mpf_monthly_return!D63, 0)</f>
        <v>-2.6471171041354814E-2</v>
      </c>
      <c r="E64">
        <f>IF(mpf_monthly_return!E63 &lt; 0, mpf_monthly_return!E63, 0)</f>
        <v>-5.1481668499091915E-2</v>
      </c>
      <c r="F64">
        <f>IF(mpf_monthly_return!F63 &lt; 0, mpf_monthly_return!F63, 0)</f>
        <v>-4.6549122009276474E-2</v>
      </c>
      <c r="G64">
        <f>IF(mpf_monthly_return!G63 &lt; 0, mpf_monthly_return!G63, 0)</f>
        <v>-8.6967080691685641E-2</v>
      </c>
      <c r="H64">
        <f>IF(mpf_monthly_return!H63 &lt; 0, mpf_monthly_return!H63, 0)</f>
        <v>-2.9476717629100684E-2</v>
      </c>
      <c r="I64">
        <f>IF(mpf_monthly_return!I63 &lt; 0, mpf_monthly_return!I63, 0)</f>
        <v>-7.9896385838399545E-2</v>
      </c>
      <c r="J64">
        <f>IF(mpf_monthly_return!J63 &lt; 0, mpf_monthly_return!J63, 0)</f>
        <v>0</v>
      </c>
      <c r="K64">
        <f>IF(mpf_monthly_return!K63 &lt; 0, mpf_monthly_return!K63, 0)</f>
        <v>-3.1601966977172033E-2</v>
      </c>
    </row>
    <row r="65" spans="1:11" x14ac:dyDescent="0.4">
      <c r="A65" s="6">
        <v>44774</v>
      </c>
      <c r="B65">
        <f>IF(mpf_monthly_return!B64 &lt; 0, mpf_monthly_return!B64, 0)</f>
        <v>-7.5329719404044287E-2</v>
      </c>
      <c r="C65">
        <f>IF(mpf_monthly_return!C64 &lt; 0, mpf_monthly_return!C64, 0)</f>
        <v>0</v>
      </c>
      <c r="D65">
        <f>IF(mpf_monthly_return!D64 &lt; 0, mpf_monthly_return!D64, 0)</f>
        <v>0</v>
      </c>
      <c r="E65">
        <f>IF(mpf_monthly_return!E64 &lt; 0, mpf_monthly_return!E64, 0)</f>
        <v>0</v>
      </c>
      <c r="F65">
        <f>IF(mpf_monthly_return!F64 &lt; 0, mpf_monthly_return!F64, 0)</f>
        <v>0</v>
      </c>
      <c r="G65">
        <f>IF(mpf_monthly_return!G64 &lt; 0, mpf_monthly_return!G64, 0)</f>
        <v>0</v>
      </c>
      <c r="H65">
        <f>IF(mpf_monthly_return!H64 &lt; 0, mpf_monthly_return!H64, 0)</f>
        <v>0</v>
      </c>
      <c r="I65">
        <f>IF(mpf_monthly_return!I64 &lt; 0, mpf_monthly_return!I64, 0)</f>
        <v>0</v>
      </c>
      <c r="J65">
        <f>IF(mpf_monthly_return!J64 &lt; 0, mpf_monthly_return!J64, 0)</f>
        <v>0</v>
      </c>
      <c r="K65">
        <f>IF(mpf_monthly_return!K64 &lt; 0, mpf_monthly_return!K64, 0)</f>
        <v>0</v>
      </c>
    </row>
    <row r="66" spans="1:11" x14ac:dyDescent="0.4">
      <c r="A66" s="6">
        <v>44805</v>
      </c>
      <c r="B66">
        <f>IF(mpf_monthly_return!B65 &lt; 0, mpf_monthly_return!B65, 0)</f>
        <v>-2.4518804346266309E-2</v>
      </c>
      <c r="C66">
        <f>IF(mpf_monthly_return!C65 &lt; 0, mpf_monthly_return!C65, 0)</f>
        <v>-3.2019132205522292E-2</v>
      </c>
      <c r="D66">
        <f>IF(mpf_monthly_return!D65 &lt; 0, mpf_monthly_return!D65, 0)</f>
        <v>-3.3413300800772643E-2</v>
      </c>
      <c r="E66">
        <f>IF(mpf_monthly_return!E65 &lt; 0, mpf_monthly_return!E65, 0)</f>
        <v>-4.4815603697557486E-2</v>
      </c>
      <c r="F66">
        <f>IF(mpf_monthly_return!F65 &lt; 0, mpf_monthly_return!F65, 0)</f>
        <v>-4.0325121770978876E-2</v>
      </c>
      <c r="G66">
        <f>IF(mpf_monthly_return!G65 &lt; 0, mpf_monthly_return!G65, 0)</f>
        <v>-3.483715790877074E-2</v>
      </c>
      <c r="H66">
        <f>IF(mpf_monthly_return!H65 &lt; 0, mpf_monthly_return!H65, 0)</f>
        <v>-4.3091308876507875E-2</v>
      </c>
      <c r="I66">
        <f>IF(mpf_monthly_return!I65 &lt; 0, mpf_monthly_return!I65, 0)</f>
        <v>-3.6904556935450861E-2</v>
      </c>
      <c r="J66">
        <f>IF(mpf_monthly_return!J65 &lt; 0, mpf_monthly_return!J65, 0)</f>
        <v>0</v>
      </c>
      <c r="K66">
        <f>IF(mpf_monthly_return!K65 &lt; 0, mpf_monthly_return!K65, 0)</f>
        <v>-4.3766260903682429E-2</v>
      </c>
    </row>
    <row r="67" spans="1:11" x14ac:dyDescent="0.4">
      <c r="A67" s="6">
        <v>44835</v>
      </c>
      <c r="B67">
        <f>IF(mpf_monthly_return!B66 &lt; 0, mpf_monthly_return!B66, 0)</f>
        <v>-0.12140127196488092</v>
      </c>
      <c r="C67">
        <f>IF(mpf_monthly_return!C66 &lt; 0, mpf_monthly_return!C66, 0)</f>
        <v>-9.6521183917731804E-2</v>
      </c>
      <c r="D67">
        <f>IF(mpf_monthly_return!D66 &lt; 0, mpf_monthly_return!D66, 0)</f>
        <v>-4.6128128602705223E-2</v>
      </c>
      <c r="E67">
        <f>IF(mpf_monthly_return!E66 &lt; 0, mpf_monthly_return!E66, 0)</f>
        <v>-6.6490737682242895E-2</v>
      </c>
      <c r="F67">
        <f>IF(mpf_monthly_return!F66 &lt; 0, mpf_monthly_return!F66, 0)</f>
        <v>-9.0688184121489268E-2</v>
      </c>
      <c r="G67">
        <f>IF(mpf_monthly_return!G66 &lt; 0, mpf_monthly_return!G66, 0)</f>
        <v>-9.6960206168980323E-2</v>
      </c>
      <c r="H67">
        <f>IF(mpf_monthly_return!H66 &lt; 0, mpf_monthly_return!H66, 0)</f>
        <v>-5.7056778660974902E-2</v>
      </c>
      <c r="I67">
        <f>IF(mpf_monthly_return!I66 &lt; 0, mpf_monthly_return!I66, 0)</f>
        <v>-0.1020202150266442</v>
      </c>
      <c r="J67">
        <f>IF(mpf_monthly_return!J66 &lt; 0, mpf_monthly_return!J66, 0)</f>
        <v>0</v>
      </c>
      <c r="K67">
        <f>IF(mpf_monthly_return!K66 &lt; 0, mpf_monthly_return!K66, 0)</f>
        <v>-6.4858363438462727E-2</v>
      </c>
    </row>
    <row r="68" spans="1:11" x14ac:dyDescent="0.4">
      <c r="A68" s="6">
        <v>44866</v>
      </c>
      <c r="B68">
        <f>IF(mpf_monthly_return!B67 &lt; 0, mpf_monthly_return!B67, 0)</f>
        <v>-0.10574369695147767</v>
      </c>
      <c r="C68">
        <f>IF(mpf_monthly_return!C67 &lt; 0, mpf_monthly_return!C67, 0)</f>
        <v>0</v>
      </c>
      <c r="D68">
        <f>IF(mpf_monthly_return!D67 &lt; 0, mpf_monthly_return!D67, 0)</f>
        <v>-1.4042128686509016E-3</v>
      </c>
      <c r="E68">
        <f>IF(mpf_monthly_return!E67 &lt; 0, mpf_monthly_return!E67, 0)</f>
        <v>0</v>
      </c>
      <c r="F68">
        <f>IF(mpf_monthly_return!F67 &lt; 0, mpf_monthly_return!F67, 0)</f>
        <v>0</v>
      </c>
      <c r="G68">
        <f>IF(mpf_monthly_return!G67 &lt; 0, mpf_monthly_return!G67, 0)</f>
        <v>0</v>
      </c>
      <c r="H68">
        <f>IF(mpf_monthly_return!H67 &lt; 0, mpf_monthly_return!H67, 0)</f>
        <v>-4.3763745997988882E-3</v>
      </c>
      <c r="I68">
        <f>IF(mpf_monthly_return!I67 &lt; 0, mpf_monthly_return!I67, 0)</f>
        <v>0</v>
      </c>
      <c r="J68">
        <f>IF(mpf_monthly_return!J67 &lt; 0, mpf_monthly_return!J67, 0)</f>
        <v>0</v>
      </c>
      <c r="K68">
        <f>IF(mpf_monthly_return!K67 &lt; 0, mpf_monthly_return!K67, 0)</f>
        <v>-4.1869533087605581E-3</v>
      </c>
    </row>
    <row r="69" spans="1:11" x14ac:dyDescent="0.4">
      <c r="A69" s="6">
        <v>44896</v>
      </c>
      <c r="B69">
        <f>IF(mpf_monthly_return!B68 &lt; 0, mpf_monthly_return!B68, 0)</f>
        <v>0</v>
      </c>
      <c r="C69">
        <f>IF(mpf_monthly_return!C68 &lt; 0, mpf_monthly_return!C68, 0)</f>
        <v>0</v>
      </c>
      <c r="D69">
        <f>IF(mpf_monthly_return!D68 &lt; 0, mpf_monthly_return!D68, 0)</f>
        <v>0</v>
      </c>
      <c r="E69">
        <f>IF(mpf_monthly_return!E68 &lt; 0, mpf_monthly_return!E68, 0)</f>
        <v>0</v>
      </c>
      <c r="F69">
        <f>IF(mpf_monthly_return!F68 &lt; 0, mpf_monthly_return!F68, 0)</f>
        <v>0</v>
      </c>
      <c r="G69">
        <f>IF(mpf_monthly_return!G68 &lt; 0, mpf_monthly_return!G68, 0)</f>
        <v>0</v>
      </c>
      <c r="H69">
        <f>IF(mpf_monthly_return!H68 &lt; 0, mpf_monthly_return!H68, 0)</f>
        <v>0</v>
      </c>
      <c r="I69">
        <f>IF(mpf_monthly_return!I68 &lt; 0, mpf_monthly_return!I68, 0)</f>
        <v>0</v>
      </c>
      <c r="J69">
        <f>IF(mpf_monthly_return!J68 &lt; 0, mpf_monthly_return!J68, 0)</f>
        <v>0</v>
      </c>
      <c r="K69">
        <f>IF(mpf_monthly_return!K68 &lt; 0, mpf_monthly_return!K68, 0)</f>
        <v>0</v>
      </c>
    </row>
    <row r="70" spans="1:11" x14ac:dyDescent="0.4">
      <c r="A70" s="6">
        <v>44927</v>
      </c>
      <c r="B70">
        <f>IF(mpf_monthly_return!B69 &lt; 0, mpf_monthly_return!B69, 0)</f>
        <v>0</v>
      </c>
      <c r="C70">
        <f>IF(mpf_monthly_return!C69 &lt; 0, mpf_monthly_return!C69, 0)</f>
        <v>-4.9942735972574738E-2</v>
      </c>
      <c r="D70">
        <f>IF(mpf_monthly_return!D69 &lt; 0, mpf_monthly_return!D69, 0)</f>
        <v>0</v>
      </c>
      <c r="E70">
        <f>IF(mpf_monthly_return!E69 &lt; 0, mpf_monthly_return!E69, 0)</f>
        <v>-3.6165276468069406E-2</v>
      </c>
      <c r="F70">
        <f>IF(mpf_monthly_return!F69 &lt; 0, mpf_monthly_return!F69, 0)</f>
        <v>-4.2318826381225706E-3</v>
      </c>
      <c r="G70">
        <f>IF(mpf_monthly_return!G69 &lt; 0, mpf_monthly_return!G69, 0)</f>
        <v>-5.8150180439384989E-2</v>
      </c>
      <c r="H70">
        <f>IF(mpf_monthly_return!H69 &lt; 0, mpf_monthly_return!H69, 0)</f>
        <v>-9.2115406354248627E-3</v>
      </c>
      <c r="I70">
        <f>IF(mpf_monthly_return!I69 &lt; 0, mpf_monthly_return!I69, 0)</f>
        <v>-5.8945837259071536E-2</v>
      </c>
      <c r="J70">
        <f>IF(mpf_monthly_return!J69 &lt; 0, mpf_monthly_return!J69, 0)</f>
        <v>0</v>
      </c>
      <c r="K70">
        <f>IF(mpf_monthly_return!K69 &lt; 0, mpf_monthly_return!K69, 0)</f>
        <v>-9.1409203602294178E-3</v>
      </c>
    </row>
    <row r="71" spans="1:11" x14ac:dyDescent="0.4">
      <c r="A71" s="6">
        <v>44958</v>
      </c>
      <c r="B71">
        <f>IF(mpf_monthly_return!B70 &lt; 0, mpf_monthly_return!B70, 0)</f>
        <v>0</v>
      </c>
      <c r="C71">
        <f>IF(mpf_monthly_return!C70 &lt; 0, mpf_monthly_return!C70, 0)</f>
        <v>0</v>
      </c>
      <c r="D71">
        <f>IF(mpf_monthly_return!D70 &lt; 0, mpf_monthly_return!D70, 0)</f>
        <v>0</v>
      </c>
      <c r="E71">
        <f>IF(mpf_monthly_return!E70 &lt; 0, mpf_monthly_return!E70, 0)</f>
        <v>0</v>
      </c>
      <c r="F71">
        <f>IF(mpf_monthly_return!F70 &lt; 0, mpf_monthly_return!F70, 0)</f>
        <v>0</v>
      </c>
      <c r="G71">
        <f>IF(mpf_monthly_return!G70 &lt; 0, mpf_monthly_return!G70, 0)</f>
        <v>0</v>
      </c>
      <c r="H71">
        <f>IF(mpf_monthly_return!H70 &lt; 0, mpf_monthly_return!H70, 0)</f>
        <v>0</v>
      </c>
      <c r="I71">
        <f>IF(mpf_monthly_return!I70 &lt; 0, mpf_monthly_return!I70, 0)</f>
        <v>0</v>
      </c>
      <c r="J71">
        <f>IF(mpf_monthly_return!J70 &lt; 0, mpf_monthly_return!J70, 0)</f>
        <v>0</v>
      </c>
      <c r="K71">
        <f>IF(mpf_monthly_return!K70 &lt; 0, mpf_monthly_return!K70, 0)</f>
        <v>0</v>
      </c>
    </row>
    <row r="72" spans="1:11" x14ac:dyDescent="0.4">
      <c r="A72" s="6">
        <v>44986</v>
      </c>
      <c r="B72">
        <f>IF(mpf_monthly_return!B71 &lt; 0, mpf_monthly_return!B71, 0)</f>
        <v>-6.6315095414989811E-2</v>
      </c>
      <c r="C72">
        <f>IF(mpf_monthly_return!C71 &lt; 0, mpf_monthly_return!C71, 0)</f>
        <v>-3.9547857136485925E-2</v>
      </c>
      <c r="D72">
        <f>IF(mpf_monthly_return!D71 &lt; 0, mpf_monthly_return!D71, 0)</f>
        <v>-3.9970247445165356E-2</v>
      </c>
      <c r="E72">
        <f>IF(mpf_monthly_return!E71 &lt; 0, mpf_monthly_return!E71, 0)</f>
        <v>-3.328856072112292E-2</v>
      </c>
      <c r="F72">
        <f>IF(mpf_monthly_return!F71 &lt; 0, mpf_monthly_return!F71, 0)</f>
        <v>-4.0721277899519133E-2</v>
      </c>
      <c r="G72">
        <f>IF(mpf_monthly_return!G71 &lt; 0, mpf_monthly_return!G71, 0)</f>
        <v>-3.3953878930343837E-2</v>
      </c>
      <c r="H72">
        <f>IF(mpf_monthly_return!H71 &lt; 0, mpf_monthly_return!H71, 0)</f>
        <v>-3.7031301888817335E-2</v>
      </c>
      <c r="I72">
        <f>IF(mpf_monthly_return!I71 &lt; 0, mpf_monthly_return!I71, 0)</f>
        <v>-4.0517229494003819E-2</v>
      </c>
      <c r="J72">
        <f>IF(mpf_monthly_return!J71 &lt; 0, mpf_monthly_return!J71, 0)</f>
        <v>0</v>
      </c>
      <c r="K72">
        <f>IF(mpf_monthly_return!K71 &lt; 0, mpf_monthly_return!K71, 0)</f>
        <v>-3.8926719802763271E-2</v>
      </c>
    </row>
    <row r="73" spans="1:11" x14ac:dyDescent="0.4">
      <c r="A73" s="6">
        <v>45017</v>
      </c>
      <c r="B73">
        <f>IF(mpf_monthly_return!B72 &lt; 0, mpf_monthly_return!B72, 0)</f>
        <v>-8.9539473011978708E-3</v>
      </c>
      <c r="C73">
        <f>IF(mpf_monthly_return!C72 &lt; 0, mpf_monthly_return!C72, 0)</f>
        <v>0</v>
      </c>
      <c r="D73">
        <f>IF(mpf_monthly_return!D72 &lt; 0, mpf_monthly_return!D72, 0)</f>
        <v>0</v>
      </c>
      <c r="E73">
        <f>IF(mpf_monthly_return!E72 &lt; 0, mpf_monthly_return!E72, 0)</f>
        <v>0</v>
      </c>
      <c r="F73">
        <f>IF(mpf_monthly_return!F72 &lt; 0, mpf_monthly_return!F72, 0)</f>
        <v>0</v>
      </c>
      <c r="G73">
        <f>IF(mpf_monthly_return!G72 &lt; 0, mpf_monthly_return!G72, 0)</f>
        <v>0</v>
      </c>
      <c r="H73">
        <f>IF(mpf_monthly_return!H72 &lt; 0, mpf_monthly_return!H72, 0)</f>
        <v>0</v>
      </c>
      <c r="I73">
        <f>IF(mpf_monthly_return!I72 &lt; 0, mpf_monthly_return!I72, 0)</f>
        <v>0</v>
      </c>
      <c r="J73">
        <f>IF(mpf_monthly_return!J72 &lt; 0, mpf_monthly_return!J72, 0)</f>
        <v>0</v>
      </c>
      <c r="K73">
        <f>IF(mpf_monthly_return!K72 &lt; 0, mpf_monthly_return!K72, 0)</f>
        <v>0</v>
      </c>
    </row>
    <row r="74" spans="1:11" x14ac:dyDescent="0.4">
      <c r="A74" s="6">
        <v>45047</v>
      </c>
      <c r="B74">
        <f>IF(mpf_monthly_return!B73 &lt; 0, mpf_monthly_return!B73, 0)</f>
        <v>-2.3892827571896466E-2</v>
      </c>
      <c r="C74">
        <f>IF(mpf_monthly_return!C73 &lt; 0, mpf_monthly_return!C73, 0)</f>
        <v>-1.2805393493728512E-3</v>
      </c>
      <c r="D74">
        <f>IF(mpf_monthly_return!D73 &lt; 0, mpf_monthly_return!D73, 0)</f>
        <v>-1.2857013434229363E-3</v>
      </c>
      <c r="E74">
        <f>IF(mpf_monthly_return!E73 &lt; 0, mpf_monthly_return!E73, 0)</f>
        <v>0</v>
      </c>
      <c r="F74">
        <f>IF(mpf_monthly_return!F73 &lt; 0, mpf_monthly_return!F73, 0)</f>
        <v>-6.1025339691976694E-3</v>
      </c>
      <c r="G74">
        <f>IF(mpf_monthly_return!G73 &lt; 0, mpf_monthly_return!G73, 0)</f>
        <v>0</v>
      </c>
      <c r="H74">
        <f>IF(mpf_monthly_return!H73 &lt; 0, mpf_monthly_return!H73, 0)</f>
        <v>-4.4338777083546554E-3</v>
      </c>
      <c r="I74">
        <f>IF(mpf_monthly_return!I73 &lt; 0, mpf_monthly_return!I73, 0)</f>
        <v>0</v>
      </c>
      <c r="J74">
        <f>IF(mpf_monthly_return!J73 &lt; 0, mpf_monthly_return!J73, 0)</f>
        <v>0</v>
      </c>
      <c r="K74">
        <f>IF(mpf_monthly_return!K73 &lt; 0, mpf_monthly_return!K73, 0)</f>
        <v>-4.7550759307477585E-3</v>
      </c>
    </row>
    <row r="75" spans="1:11" x14ac:dyDescent="0.4">
      <c r="A75" s="6">
        <v>45078</v>
      </c>
      <c r="B75">
        <f>IF(mpf_monthly_return!B74 &lt; 0, mpf_monthly_return!B74, 0)</f>
        <v>-8.2284157484525694E-2</v>
      </c>
      <c r="C75">
        <f>IF(mpf_monthly_return!C74 &lt; 0, mpf_monthly_return!C74, 0)</f>
        <v>0</v>
      </c>
      <c r="D75">
        <f>IF(mpf_monthly_return!D74 &lt; 0, mpf_monthly_return!D74, 0)</f>
        <v>-1.3786940564346204E-2</v>
      </c>
      <c r="E75">
        <f>IF(mpf_monthly_return!E74 &lt; 0, mpf_monthly_return!E74, 0)</f>
        <v>-4.1839473761462161E-3</v>
      </c>
      <c r="F75">
        <f>IF(mpf_monthly_return!F74 &lt; 0, mpf_monthly_return!F74, 0)</f>
        <v>-2.9404154487712084E-2</v>
      </c>
      <c r="G75">
        <f>IF(mpf_monthly_return!G74 &lt; 0, mpf_monthly_return!G74, 0)</f>
        <v>0</v>
      </c>
      <c r="H75">
        <f>IF(mpf_monthly_return!H74 &lt; 0, mpf_monthly_return!H74, 0)</f>
        <v>-2.2524585659893941E-2</v>
      </c>
      <c r="I75">
        <f>IF(mpf_monthly_return!I74 &lt; 0, mpf_monthly_return!I74, 0)</f>
        <v>0</v>
      </c>
      <c r="J75">
        <f>IF(mpf_monthly_return!J74 &lt; 0, mpf_monthly_return!J74, 0)</f>
        <v>0</v>
      </c>
      <c r="K75">
        <f>IF(mpf_monthly_return!K74 &lt; 0, mpf_monthly_return!K74, 0)</f>
        <v>-2.3250754973633308E-2</v>
      </c>
    </row>
    <row r="76" spans="1:11" x14ac:dyDescent="0.4">
      <c r="A76" s="6">
        <v>45108</v>
      </c>
      <c r="B76">
        <f>IF(mpf_monthly_return!B75 &lt; 0, mpf_monthly_return!B75, 0)</f>
        <v>0</v>
      </c>
      <c r="C76">
        <f>IF(mpf_monthly_return!C75 &lt; 0, mpf_monthly_return!C75, 0)</f>
        <v>0</v>
      </c>
      <c r="D76">
        <f>IF(mpf_monthly_return!D75 &lt; 0, mpf_monthly_return!D75, 0)</f>
        <v>-6.3557555760733611E-3</v>
      </c>
      <c r="E76">
        <f>IF(mpf_monthly_return!E75 &lt; 0, mpf_monthly_return!E75, 0)</f>
        <v>0</v>
      </c>
      <c r="F76">
        <f>IF(mpf_monthly_return!F75 &lt; 0, mpf_monthly_return!F75, 0)</f>
        <v>0</v>
      </c>
      <c r="G76">
        <f>IF(mpf_monthly_return!G75 &lt; 0, mpf_monthly_return!G75, 0)</f>
        <v>0</v>
      </c>
      <c r="H76">
        <f>IF(mpf_monthly_return!H75 &lt; 0, mpf_monthly_return!H75, 0)</f>
        <v>0</v>
      </c>
      <c r="I76">
        <f>IF(mpf_monthly_return!I75 &lt; 0, mpf_monthly_return!I75, 0)</f>
        <v>0</v>
      </c>
      <c r="J76">
        <f>IF(mpf_monthly_return!J75 &lt; 0, mpf_monthly_return!J75, 0)</f>
        <v>0</v>
      </c>
      <c r="K76">
        <f>IF(mpf_monthly_return!K75 &lt; 0, mpf_monthly_return!K75, 0)</f>
        <v>0</v>
      </c>
    </row>
    <row r="77" spans="1:11" x14ac:dyDescent="0.4">
      <c r="A77" s="6">
        <v>45139</v>
      </c>
      <c r="B77">
        <f>IF(mpf_monthly_return!B76 &lt; 0, mpf_monthly_return!B76, 0)</f>
        <v>0</v>
      </c>
      <c r="C77">
        <f>IF(mpf_monthly_return!C76 &lt; 0, mpf_monthly_return!C76, 0)</f>
        <v>0</v>
      </c>
      <c r="D77">
        <f>IF(mpf_monthly_return!D76 &lt; 0, mpf_monthly_return!D76, 0)</f>
        <v>0</v>
      </c>
      <c r="E77">
        <f>IF(mpf_monthly_return!E76 &lt; 0, mpf_monthly_return!E76, 0)</f>
        <v>0</v>
      </c>
      <c r="F77">
        <f>IF(mpf_monthly_return!F76 &lt; 0, mpf_monthly_return!F76, 0)</f>
        <v>0</v>
      </c>
      <c r="G77">
        <f>IF(mpf_monthly_return!G76 &lt; 0, mpf_monthly_return!G76, 0)</f>
        <v>0</v>
      </c>
      <c r="H77">
        <f>IF(mpf_monthly_return!H76 &lt; 0, mpf_monthly_return!H76, 0)</f>
        <v>0</v>
      </c>
      <c r="I77">
        <f>IF(mpf_monthly_return!I76 &lt; 0, mpf_monthly_return!I76, 0)</f>
        <v>0</v>
      </c>
      <c r="J77">
        <f>IF(mpf_monthly_return!J76 &lt; 0, mpf_monthly_return!J76, 0)</f>
        <v>0</v>
      </c>
      <c r="K77">
        <f>IF(mpf_monthly_return!K76 &lt; 0, mpf_monthly_return!K76, 0)</f>
        <v>0</v>
      </c>
    </row>
    <row r="78" spans="1:11" x14ac:dyDescent="0.4">
      <c r="A78" s="6">
        <v>45170</v>
      </c>
      <c r="B78">
        <f>IF(mpf_monthly_return!B77 &lt; 0, mpf_monthly_return!B77, 0)</f>
        <v>-8.1473944500010234E-2</v>
      </c>
      <c r="C78">
        <f>IF(mpf_monthly_return!C77 &lt; 0, mpf_monthly_return!C77, 0)</f>
        <v>-4.63250221665562E-2</v>
      </c>
      <c r="D78">
        <f>IF(mpf_monthly_return!D77 &lt; 0, mpf_monthly_return!D77, 0)</f>
        <v>-7.3876990045799234E-3</v>
      </c>
      <c r="E78">
        <f>IF(mpf_monthly_return!E77 &lt; 0, mpf_monthly_return!E77, 0)</f>
        <v>-9.6026738775823114E-3</v>
      </c>
      <c r="F78">
        <f>IF(mpf_monthly_return!F77 &lt; 0, mpf_monthly_return!F77, 0)</f>
        <v>-3.7644974452847535E-2</v>
      </c>
      <c r="G78">
        <f>IF(mpf_monthly_return!G77 &lt; 0, mpf_monthly_return!G77, 0)</f>
        <v>-1.0482363711206965E-2</v>
      </c>
      <c r="H78">
        <f>IF(mpf_monthly_return!H77 &lt; 0, mpf_monthly_return!H77, 0)</f>
        <v>-2.1130980751926088E-2</v>
      </c>
      <c r="I78">
        <f>IF(mpf_monthly_return!I77 &lt; 0, mpf_monthly_return!I77, 0)</f>
        <v>-1.0461246792258856E-2</v>
      </c>
      <c r="J78">
        <f>IF(mpf_monthly_return!J77 &lt; 0, mpf_monthly_return!J77, 0)</f>
        <v>0</v>
      </c>
      <c r="K78">
        <f>IF(mpf_monthly_return!K77 &lt; 0, mpf_monthly_return!K77, 0)</f>
        <v>-2.2667070485308874E-2</v>
      </c>
    </row>
    <row r="79" spans="1:11" x14ac:dyDescent="0.4">
      <c r="A79" s="6">
        <v>45200</v>
      </c>
      <c r="B79">
        <f>IF(mpf_monthly_return!B78 &lt; 0, mpf_monthly_return!B78, 0)</f>
        <v>-2.7197984369040033E-2</v>
      </c>
      <c r="C79">
        <f>IF(mpf_monthly_return!C78 &lt; 0, mpf_monthly_return!C78, 0)</f>
        <v>-2.4787479663112903E-2</v>
      </c>
      <c r="D79">
        <f>IF(mpf_monthly_return!D78 &lt; 0, mpf_monthly_return!D78, 0)</f>
        <v>-1.8759432172886659E-2</v>
      </c>
      <c r="E79">
        <f>IF(mpf_monthly_return!E78 &lt; 0, mpf_monthly_return!E78, 0)</f>
        <v>-3.3893873513526122E-2</v>
      </c>
      <c r="F79">
        <f>IF(mpf_monthly_return!F78 &lt; 0, mpf_monthly_return!F78, 0)</f>
        <v>-3.3252842602690916E-2</v>
      </c>
      <c r="G79">
        <f>IF(mpf_monthly_return!G78 &lt; 0, mpf_monthly_return!G78, 0)</f>
        <v>-4.7861227734773054E-2</v>
      </c>
      <c r="H79">
        <f>IF(mpf_monthly_return!H78 &lt; 0, mpf_monthly_return!H78, 0)</f>
        <v>-2.7929968521690222E-2</v>
      </c>
      <c r="I79">
        <f>IF(mpf_monthly_return!I78 &lt; 0, mpf_monthly_return!I78, 0)</f>
        <v>-5.2013430456049239E-2</v>
      </c>
      <c r="J79">
        <f>IF(mpf_monthly_return!J78 &lt; 0, mpf_monthly_return!J78, 0)</f>
        <v>0</v>
      </c>
      <c r="K79">
        <f>IF(mpf_monthly_return!K78 &lt; 0, mpf_monthly_return!K78, 0)</f>
        <v>-3.0798525340884925E-2</v>
      </c>
    </row>
    <row r="80" spans="1:11" x14ac:dyDescent="0.4">
      <c r="A80" s="6">
        <v>45231</v>
      </c>
      <c r="B80">
        <f>IF(mpf_monthly_return!B79 &lt; 0, mpf_monthly_return!B79, 0)</f>
        <v>-3.9538250403904213E-2</v>
      </c>
      <c r="C80">
        <f>IF(mpf_monthly_return!C79 &lt; 0, mpf_monthly_return!C79, 0)</f>
        <v>-3.1123699316812251E-2</v>
      </c>
      <c r="D80">
        <f>IF(mpf_monthly_return!D79 &lt; 0, mpf_monthly_return!D79, 0)</f>
        <v>-8.4518367120019096E-3</v>
      </c>
      <c r="E80">
        <f>IF(mpf_monthly_return!E79 &lt; 0, mpf_monthly_return!E79, 0)</f>
        <v>-1.3527821958840927E-2</v>
      </c>
      <c r="F80">
        <f>IF(mpf_monthly_return!F79 &lt; 0, mpf_monthly_return!F79, 0)</f>
        <v>-2.8439737508425534E-2</v>
      </c>
      <c r="G80">
        <f>IF(mpf_monthly_return!G79 &lt; 0, mpf_monthly_return!G79, 0)</f>
        <v>-1.4709622502566091E-2</v>
      </c>
      <c r="H80">
        <f>IF(mpf_monthly_return!H79 &lt; 0, mpf_monthly_return!H79, 0)</f>
        <v>-1.8011338867664317E-2</v>
      </c>
      <c r="I80">
        <f>IF(mpf_monthly_return!I79 &lt; 0, mpf_monthly_return!I79, 0)</f>
        <v>-1.2380892175390477E-2</v>
      </c>
      <c r="J80">
        <f>IF(mpf_monthly_return!J79 &lt; 0, mpf_monthly_return!J79, 0)</f>
        <v>0</v>
      </c>
      <c r="K80">
        <f>IF(mpf_monthly_return!K79 &lt; 0, mpf_monthly_return!K79, 0)</f>
        <v>-2.0150436765128534E-2</v>
      </c>
    </row>
    <row r="81" spans="1:11" x14ac:dyDescent="0.4">
      <c r="A81" s="6">
        <v>45261</v>
      </c>
      <c r="B81">
        <f>IF(mpf_monthly_return!B80 &lt; 0, mpf_monthly_return!B80, 0)</f>
        <v>-1.3035484876604364E-2</v>
      </c>
      <c r="C81">
        <f>IF(mpf_monthly_return!C80 &lt; 0, mpf_monthly_return!C80, 0)</f>
        <v>0</v>
      </c>
      <c r="D81">
        <f>IF(mpf_monthly_return!D80 &lt; 0, mpf_monthly_return!D80, 0)</f>
        <v>0</v>
      </c>
      <c r="E81">
        <f>IF(mpf_monthly_return!E80 &lt; 0, mpf_monthly_return!E80, 0)</f>
        <v>0</v>
      </c>
      <c r="F81">
        <f>IF(mpf_monthly_return!F80 &lt; 0, mpf_monthly_return!F80, 0)</f>
        <v>0</v>
      </c>
      <c r="G81">
        <f>IF(mpf_monthly_return!G80 &lt; 0, mpf_monthly_return!G80, 0)</f>
        <v>0</v>
      </c>
      <c r="H81">
        <f>IF(mpf_monthly_return!H80 &lt; 0, mpf_monthly_return!H80, 0)</f>
        <v>0</v>
      </c>
      <c r="I81">
        <f>IF(mpf_monthly_return!I80 &lt; 0, mpf_monthly_return!I80, 0)</f>
        <v>0</v>
      </c>
      <c r="J81">
        <f>IF(mpf_monthly_return!J80 &lt; 0, mpf_monthly_return!J80, 0)</f>
        <v>0</v>
      </c>
      <c r="K81">
        <f>IF(mpf_monthly_return!K80 &lt; 0, mpf_monthly_return!K80, 0)</f>
        <v>0</v>
      </c>
    </row>
    <row r="82" spans="1:11" x14ac:dyDescent="0.4">
      <c r="A82" s="6">
        <v>45292</v>
      </c>
      <c r="B82">
        <f>IF(mpf_monthly_return!B81 &lt; 0, mpf_monthly_return!B81, 0)</f>
        <v>0</v>
      </c>
      <c r="C82">
        <f>IF(mpf_monthly_return!C81 &lt; 0, mpf_monthly_return!C81, 0)</f>
        <v>0</v>
      </c>
      <c r="D82">
        <f>IF(mpf_monthly_return!D81 &lt; 0, mpf_monthly_return!D81, 0)</f>
        <v>0</v>
      </c>
      <c r="E82">
        <f>IF(mpf_monthly_return!E81 &lt; 0, mpf_monthly_return!E81, 0)</f>
        <v>0</v>
      </c>
      <c r="F82">
        <f>IF(mpf_monthly_return!F81 &lt; 0, mpf_monthly_return!F81, 0)</f>
        <v>0</v>
      </c>
      <c r="G82">
        <f>IF(mpf_monthly_return!G81 &lt; 0, mpf_monthly_return!G81, 0)</f>
        <v>0</v>
      </c>
      <c r="H82">
        <f>IF(mpf_monthly_return!H81 &lt; 0, mpf_monthly_return!H81, 0)</f>
        <v>0</v>
      </c>
      <c r="I82">
        <f>IF(mpf_monthly_return!I81 &lt; 0, mpf_monthly_return!I81, 0)</f>
        <v>0</v>
      </c>
      <c r="J82">
        <f>IF(mpf_monthly_return!J81 &lt; 0, mpf_monthly_return!J81, 0)</f>
        <v>0</v>
      </c>
      <c r="K82">
        <f>IF(mpf_monthly_return!K81 &lt; 0, mpf_monthly_return!K81, 0)</f>
        <v>0</v>
      </c>
    </row>
    <row r="83" spans="1:11" x14ac:dyDescent="0.4">
      <c r="A83" s="6">
        <v>45323</v>
      </c>
      <c r="B83">
        <f>IF(mpf_monthly_return!B82 &lt; 0, mpf_monthly_return!B82, 0)</f>
        <v>-8.8142746502415492E-2</v>
      </c>
      <c r="C83">
        <f>IF(mpf_monthly_return!C82 &lt; 0, mpf_monthly_return!C82, 0)</f>
        <v>-2.7950681807653498E-2</v>
      </c>
      <c r="D83">
        <f>IF(mpf_monthly_return!D82 &lt; 0, mpf_monthly_return!D82, 0)</f>
        <v>-5.0061543590345621E-3</v>
      </c>
      <c r="E83">
        <f>IF(mpf_monthly_return!E82 &lt; 0, mpf_monthly_return!E82, 0)</f>
        <v>0</v>
      </c>
      <c r="F83">
        <f>IF(mpf_monthly_return!F82 &lt; 0, mpf_monthly_return!F82, 0)</f>
        <v>-2.1551235682525552E-2</v>
      </c>
      <c r="G83">
        <f>IF(mpf_monthly_return!G82 &lt; 0, mpf_monthly_return!G82, 0)</f>
        <v>0</v>
      </c>
      <c r="H83">
        <f>IF(mpf_monthly_return!H82 &lt; 0, mpf_monthly_return!H82, 0)</f>
        <v>-1.406206082777209E-2</v>
      </c>
      <c r="I83">
        <f>IF(mpf_monthly_return!I82 &lt; 0, mpf_monthly_return!I82, 0)</f>
        <v>0</v>
      </c>
      <c r="J83">
        <f>IF(mpf_monthly_return!J82 &lt; 0, mpf_monthly_return!J82, 0)</f>
        <v>0</v>
      </c>
      <c r="K83">
        <f>IF(mpf_monthly_return!K82 &lt; 0, mpf_monthly_return!K82, 0)</f>
        <v>-1.5705405808784476E-2</v>
      </c>
    </row>
    <row r="84" spans="1:11" x14ac:dyDescent="0.4">
      <c r="A84" s="6">
        <v>45352</v>
      </c>
      <c r="B84">
        <f>IF(mpf_monthly_return!B83 &lt; 0, mpf_monthly_return!B83, 0)</f>
        <v>0</v>
      </c>
      <c r="C84">
        <f>IF(mpf_monthly_return!C83 &lt; 0, mpf_monthly_return!C83, 0)</f>
        <v>0</v>
      </c>
      <c r="D84">
        <f>IF(mpf_monthly_return!D83 &lt; 0, mpf_monthly_return!D83, 0)</f>
        <v>-4.9396368276627706E-3</v>
      </c>
      <c r="E84">
        <f>IF(mpf_monthly_return!E83 &lt; 0, mpf_monthly_return!E83, 0)</f>
        <v>0</v>
      </c>
      <c r="F84">
        <f>IF(mpf_monthly_return!F83 &lt; 0, mpf_monthly_return!F83, 0)</f>
        <v>0</v>
      </c>
      <c r="G84">
        <f>IF(mpf_monthly_return!G83 &lt; 0, mpf_monthly_return!G83, 0)</f>
        <v>0</v>
      </c>
      <c r="H84">
        <f>IF(mpf_monthly_return!H83 &lt; 0, mpf_monthly_return!H83, 0)</f>
        <v>0</v>
      </c>
      <c r="I84">
        <f>IF(mpf_monthly_return!I83 &lt; 0, mpf_monthly_return!I83, 0)</f>
        <v>0</v>
      </c>
      <c r="J84">
        <f>IF(mpf_monthly_return!J83 &lt; 0, mpf_monthly_return!J83, 0)</f>
        <v>0</v>
      </c>
      <c r="K84">
        <f>IF(mpf_monthly_return!K83 &lt; 0, mpf_monthly_return!K83, 0)</f>
        <v>0</v>
      </c>
    </row>
    <row r="85" spans="1:11" x14ac:dyDescent="0.4">
      <c r="A85" s="6">
        <v>45383</v>
      </c>
      <c r="B85">
        <f>IF(mpf_monthly_return!B84 &lt; 0, mpf_monthly_return!B84, 0)</f>
        <v>0</v>
      </c>
      <c r="C85">
        <f>IF(mpf_monthly_return!C84 &lt; 0, mpf_monthly_return!C84, 0)</f>
        <v>0</v>
      </c>
      <c r="D85">
        <f>IF(mpf_monthly_return!D84 &lt; 0, mpf_monthly_return!D84, 0)</f>
        <v>0</v>
      </c>
      <c r="E85">
        <f>IF(mpf_monthly_return!E84 &lt; 0, mpf_monthly_return!E84, 0)</f>
        <v>0</v>
      </c>
      <c r="F85">
        <f>IF(mpf_monthly_return!F84 &lt; 0, mpf_monthly_return!F84, 0)</f>
        <v>0</v>
      </c>
      <c r="G85">
        <f>IF(mpf_monthly_return!G84 &lt; 0, mpf_monthly_return!G84, 0)</f>
        <v>0</v>
      </c>
      <c r="H85">
        <f>IF(mpf_monthly_return!H84 &lt; 0, mpf_monthly_return!H84, 0)</f>
        <v>0</v>
      </c>
      <c r="I85">
        <f>IF(mpf_monthly_return!I84 &lt; 0, mpf_monthly_return!I84, 0)</f>
        <v>0</v>
      </c>
      <c r="J85">
        <f>IF(mpf_monthly_return!J84 &lt; 0, mpf_monthly_return!J84, 0)</f>
        <v>0</v>
      </c>
      <c r="K85">
        <f>IF(mpf_monthly_return!K84 &lt; 0, mpf_monthly_return!K84, 0)</f>
        <v>0</v>
      </c>
    </row>
    <row r="86" spans="1:11" x14ac:dyDescent="0.4">
      <c r="A86" s="6">
        <v>45413</v>
      </c>
      <c r="B86">
        <f>IF(mpf_monthly_return!B85 &lt; 0, mpf_monthly_return!B85, 0)</f>
        <v>0</v>
      </c>
      <c r="C86">
        <f>IF(mpf_monthly_return!C85 &lt; 0, mpf_monthly_return!C85, 0)</f>
        <v>-2.3729921608960465E-3</v>
      </c>
      <c r="D86">
        <f>IF(mpf_monthly_return!D85 &lt; 0, mpf_monthly_return!D85, 0)</f>
        <v>-1.5929621864078293E-2</v>
      </c>
      <c r="E86">
        <f>IF(mpf_monthly_return!E85 &lt; 0, mpf_monthly_return!E85, 0)</f>
        <v>-2.7378240498223745E-2</v>
      </c>
      <c r="F86">
        <f>IF(mpf_monthly_return!F85 &lt; 0, mpf_monthly_return!F85, 0)</f>
        <v>-1.4861154647197456E-3</v>
      </c>
      <c r="G86">
        <f>IF(mpf_monthly_return!G85 &lt; 0, mpf_monthly_return!G85, 0)</f>
        <v>-4.3406318540012187E-2</v>
      </c>
      <c r="H86">
        <f>IF(mpf_monthly_return!H85 &lt; 0, mpf_monthly_return!H85, 0)</f>
        <v>-1.0570922960010717E-2</v>
      </c>
      <c r="I86">
        <f>IF(mpf_monthly_return!I85 &lt; 0, mpf_monthly_return!I85, 0)</f>
        <v>-4.1935111056284551E-2</v>
      </c>
      <c r="J86">
        <f>IF(mpf_monthly_return!J85 &lt; 0, mpf_monthly_return!J85, 0)</f>
        <v>0</v>
      </c>
      <c r="K86">
        <f>IF(mpf_monthly_return!K85 &lt; 0, mpf_monthly_return!K85, 0)</f>
        <v>-1.0901692177009254E-2</v>
      </c>
    </row>
    <row r="87" spans="1:11" x14ac:dyDescent="0.4">
      <c r="A87" s="6">
        <v>45444</v>
      </c>
      <c r="B87">
        <f>IF(mpf_monthly_return!B86 &lt; 0, mpf_monthly_return!B86, 0)</f>
        <v>0</v>
      </c>
      <c r="C87">
        <f>IF(mpf_monthly_return!C86 &lt; 0, mpf_monthly_return!C86, 0)</f>
        <v>0</v>
      </c>
      <c r="D87">
        <f>IF(mpf_monthly_return!D86 &lt; 0, mpf_monthly_return!D86, 0)</f>
        <v>0</v>
      </c>
      <c r="E87">
        <f>IF(mpf_monthly_return!E86 &lt; 0, mpf_monthly_return!E86, 0)</f>
        <v>0</v>
      </c>
      <c r="F87">
        <f>IF(mpf_monthly_return!F86 &lt; 0, mpf_monthly_return!F86, 0)</f>
        <v>0</v>
      </c>
      <c r="G87">
        <f>IF(mpf_monthly_return!G86 &lt; 0, mpf_monthly_return!G86, 0)</f>
        <v>0</v>
      </c>
      <c r="H87">
        <f>IF(mpf_monthly_return!H86 &lt; 0, mpf_monthly_return!H86, 0)</f>
        <v>0</v>
      </c>
      <c r="I87">
        <f>IF(mpf_monthly_return!I86 &lt; 0, mpf_monthly_return!I86, 0)</f>
        <v>0</v>
      </c>
      <c r="J87">
        <f>IF(mpf_monthly_return!J86 &lt; 0, mpf_monthly_return!J86, 0)</f>
        <v>0</v>
      </c>
      <c r="K87">
        <f>IF(mpf_monthly_return!K86 &lt; 0, mpf_monthly_return!K86, 0)</f>
        <v>0</v>
      </c>
    </row>
    <row r="88" spans="1:11" x14ac:dyDescent="0.4">
      <c r="A88" s="6">
        <v>45474</v>
      </c>
      <c r="B88">
        <f>IF(mpf_monthly_return!B87 &lt; 0, mpf_monthly_return!B87, 0)</f>
        <v>-1.0704028335828883E-2</v>
      </c>
      <c r="C88">
        <f>IF(mpf_monthly_return!C87 &lt; 0, mpf_monthly_return!C87, 0)</f>
        <v>0</v>
      </c>
      <c r="D88">
        <f>IF(mpf_monthly_return!D87 &lt; 0, mpf_monthly_return!D87, 0)</f>
        <v>0</v>
      </c>
      <c r="E88">
        <f>IF(mpf_monthly_return!E87 &lt; 0, mpf_monthly_return!E87, 0)</f>
        <v>0</v>
      </c>
      <c r="F88">
        <f>IF(mpf_monthly_return!F87 &lt; 0, mpf_monthly_return!F87, 0)</f>
        <v>0</v>
      </c>
      <c r="G88">
        <f>IF(mpf_monthly_return!G87 &lt; 0, mpf_monthly_return!G87, 0)</f>
        <v>0</v>
      </c>
      <c r="H88">
        <f>IF(mpf_monthly_return!H87 &lt; 0, mpf_monthly_return!H87, 0)</f>
        <v>0</v>
      </c>
      <c r="I88">
        <f>IF(mpf_monthly_return!I87 &lt; 0, mpf_monthly_return!I87, 0)</f>
        <v>0</v>
      </c>
      <c r="J88">
        <f>IF(mpf_monthly_return!J87 &lt; 0, mpf_monthly_return!J87, 0)</f>
        <v>0</v>
      </c>
      <c r="K88">
        <f>IF(mpf_monthly_return!K87 &lt; 0, mpf_monthly_return!K87, 0)</f>
        <v>0</v>
      </c>
    </row>
    <row r="89" spans="1:11" x14ac:dyDescent="0.4">
      <c r="A89" s="6">
        <v>45505</v>
      </c>
      <c r="B89">
        <f>IF(mpf_monthly_return!B88 &lt; 0, mpf_monthly_return!B88, 0)</f>
        <v>-1.5397655202496524E-2</v>
      </c>
      <c r="C89">
        <f>IF(mpf_monthly_return!C88 &lt; 0, mpf_monthly_return!C88, 0)</f>
        <v>-4.3752180319294757E-3</v>
      </c>
      <c r="D89">
        <f>IF(mpf_monthly_return!D88 &lt; 0, mpf_monthly_return!D88, 0)</f>
        <v>0</v>
      </c>
      <c r="E89">
        <f>IF(mpf_monthly_return!E88 &lt; 0, mpf_monthly_return!E88, 0)</f>
        <v>0</v>
      </c>
      <c r="F89">
        <f>IF(mpf_monthly_return!F88 &lt; 0, mpf_monthly_return!F88, 0)</f>
        <v>-1.2079727661766125E-3</v>
      </c>
      <c r="G89">
        <f>IF(mpf_monthly_return!G88 &lt; 0, mpf_monthly_return!G88, 0)</f>
        <v>-2.2655356468785121E-3</v>
      </c>
      <c r="H89">
        <f>IF(mpf_monthly_return!H88 &lt; 0, mpf_monthly_return!H88, 0)</f>
        <v>0</v>
      </c>
      <c r="I89">
        <f>IF(mpf_monthly_return!I88 &lt; 0, mpf_monthly_return!I88, 0)</f>
        <v>-2.4894901106910961E-3</v>
      </c>
      <c r="J89">
        <f>IF(mpf_monthly_return!J88 &lt; 0, mpf_monthly_return!J88, 0)</f>
        <v>0</v>
      </c>
      <c r="K89">
        <f>IF(mpf_monthly_return!K88 &lt; 0, mpf_monthly_return!K88, 0)</f>
        <v>0</v>
      </c>
    </row>
    <row r="90" spans="1:11" x14ac:dyDescent="0.4">
      <c r="A90" s="6">
        <v>45536</v>
      </c>
      <c r="B90">
        <f>IF(mpf_monthly_return!B89 &lt; 0, mpf_monthly_return!B89, 0)</f>
        <v>0</v>
      </c>
      <c r="C90">
        <f>IF(mpf_monthly_return!C89 &lt; 0, mpf_monthly_return!C89, 0)</f>
        <v>0</v>
      </c>
      <c r="D90">
        <f>IF(mpf_monthly_return!D89 &lt; 0, mpf_monthly_return!D89, 0)</f>
        <v>0</v>
      </c>
      <c r="E90">
        <f>IF(mpf_monthly_return!E89 &lt; 0, mpf_monthly_return!E89, 0)</f>
        <v>0</v>
      </c>
      <c r="F90">
        <f>IF(mpf_monthly_return!F89 &lt; 0, mpf_monthly_return!F89, 0)</f>
        <v>0</v>
      </c>
      <c r="G90">
        <f>IF(mpf_monthly_return!G89 &lt; 0, mpf_monthly_return!G89, 0)</f>
        <v>0</v>
      </c>
      <c r="H90">
        <f>IF(mpf_monthly_return!H89 &lt; 0, mpf_monthly_return!H89, 0)</f>
        <v>0</v>
      </c>
      <c r="I90">
        <f>IF(mpf_monthly_return!I89 &lt; 0, mpf_monthly_return!I89, 0)</f>
        <v>0</v>
      </c>
      <c r="J90">
        <f>IF(mpf_monthly_return!J89 &lt; 0, mpf_monthly_return!J89, 0)</f>
        <v>0</v>
      </c>
      <c r="K90">
        <f>IF(mpf_monthly_return!K89 &lt; 0, mpf_monthly_return!K89, 0)</f>
        <v>0</v>
      </c>
    </row>
    <row r="91" spans="1:11" x14ac:dyDescent="0.4">
      <c r="A91" s="6">
        <v>45566</v>
      </c>
      <c r="B91">
        <f>IF(mpf_monthly_return!B90 &lt; 0, mpf_monthly_return!B90, 0)</f>
        <v>0</v>
      </c>
      <c r="C91">
        <f>IF(mpf_monthly_return!C90 &lt; 0, mpf_monthly_return!C90, 0)</f>
        <v>0</v>
      </c>
      <c r="D91">
        <f>IF(mpf_monthly_return!D90 &lt; 0, mpf_monthly_return!D90, 0)</f>
        <v>0</v>
      </c>
      <c r="E91">
        <f>IF(mpf_monthly_return!E90 &lt; 0, mpf_monthly_return!E90, 0)</f>
        <v>0</v>
      </c>
      <c r="F91">
        <f>IF(mpf_monthly_return!F90 &lt; 0, mpf_monthly_return!F90, 0)</f>
        <v>0</v>
      </c>
      <c r="G91">
        <f>IF(mpf_monthly_return!G90 &lt; 0, mpf_monthly_return!G90, 0)</f>
        <v>0</v>
      </c>
      <c r="H91">
        <f>IF(mpf_monthly_return!H90 &lt; 0, mpf_monthly_return!H90, 0)</f>
        <v>0</v>
      </c>
      <c r="I91">
        <f>IF(mpf_monthly_return!I90 &lt; 0, mpf_monthly_return!I90, 0)</f>
        <v>0</v>
      </c>
      <c r="J91">
        <f>IF(mpf_monthly_return!J90 &lt; 0, mpf_monthly_return!J90, 0)</f>
        <v>0</v>
      </c>
      <c r="K91">
        <f>IF(mpf_monthly_return!K90 &lt; 0, mpf_monthly_return!K90, 0)</f>
        <v>0</v>
      </c>
    </row>
    <row r="92" spans="1:11" x14ac:dyDescent="0.4">
      <c r="A92" s="6">
        <v>45597</v>
      </c>
      <c r="B92">
        <f>IF(mpf_monthly_return!B91 &lt; 0, mpf_monthly_return!B91, 0)</f>
        <v>-2.7345859585759677E-2</v>
      </c>
      <c r="C92">
        <f>IF(mpf_monthly_return!C91 &lt; 0, mpf_monthly_return!C91, 0)</f>
        <v>-4.1249970259406805E-2</v>
      </c>
      <c r="D92">
        <f>IF(mpf_monthly_return!D91 &lt; 0, mpf_monthly_return!D91, 0)</f>
        <v>-1.603841217086947E-2</v>
      </c>
      <c r="E92">
        <f>IF(mpf_monthly_return!E91 &lt; 0, mpf_monthly_return!E91, 0)</f>
        <v>-1.8385835459776526E-2</v>
      </c>
      <c r="F92">
        <f>IF(mpf_monthly_return!F91 &lt; 0, mpf_monthly_return!F91, 0)</f>
        <v>-3.4158084618419356E-2</v>
      </c>
      <c r="G92">
        <f>IF(mpf_monthly_return!G91 &lt; 0, mpf_monthly_return!G91, 0)</f>
        <v>-1.0279330514073644E-3</v>
      </c>
      <c r="H92">
        <f>IF(mpf_monthly_return!H91 &lt; 0, mpf_monthly_return!H91, 0)</f>
        <v>-2.9994355868191602E-2</v>
      </c>
      <c r="I92">
        <f>IF(mpf_monthly_return!I91 &lt; 0, mpf_monthly_return!I91, 0)</f>
        <v>-5.1472351628711914E-3</v>
      </c>
      <c r="J92">
        <f>IF(mpf_monthly_return!J91 &lt; 0, mpf_monthly_return!J91, 0)</f>
        <v>0</v>
      </c>
      <c r="K92">
        <f>IF(mpf_monthly_return!K91 &lt; 0, mpf_monthly_return!K91, 0)</f>
        <v>-3.1897110714433935E-2</v>
      </c>
    </row>
    <row r="93" spans="1:11" x14ac:dyDescent="0.4">
      <c r="A93" s="6">
        <v>45627</v>
      </c>
      <c r="B93">
        <f>IF(mpf_monthly_return!B92 &lt; 0, mpf_monthly_return!B92, 0)</f>
        <v>-4.9934839273439301E-2</v>
      </c>
      <c r="C93">
        <f>IF(mpf_monthly_return!C92 &lt; 0, mpf_monthly_return!C92, 0)</f>
        <v>-1.2075860013401885E-2</v>
      </c>
      <c r="D93">
        <f>IF(mpf_monthly_return!D92 &lt; 0, mpf_monthly_return!D92, 0)</f>
        <v>0</v>
      </c>
      <c r="E93">
        <f>IF(mpf_monthly_return!E92 &lt; 0, mpf_monthly_return!E92, 0)</f>
        <v>0</v>
      </c>
      <c r="F93">
        <f>IF(mpf_monthly_return!F92 &lt; 0, mpf_monthly_return!F92, 0)</f>
        <v>-5.5726508547628015E-3</v>
      </c>
      <c r="G93">
        <f>IF(mpf_monthly_return!G92 &lt; 0, mpf_monthly_return!G92, 0)</f>
        <v>0</v>
      </c>
      <c r="H93">
        <f>IF(mpf_monthly_return!H92 &lt; 0, mpf_monthly_return!H92, 0)</f>
        <v>0</v>
      </c>
      <c r="I93">
        <f>IF(mpf_monthly_return!I92 &lt; 0, mpf_monthly_return!I92, 0)</f>
        <v>0</v>
      </c>
      <c r="J93">
        <f>IF(mpf_monthly_return!J92 &lt; 0, mpf_monthly_return!J92, 0)</f>
        <v>0</v>
      </c>
      <c r="K93">
        <f>IF(mpf_monthly_return!K92 &lt; 0, mpf_monthly_return!K92, 0)</f>
        <v>0</v>
      </c>
    </row>
    <row r="94" spans="1:11" x14ac:dyDescent="0.4">
      <c r="A94" s="6">
        <v>45658</v>
      </c>
      <c r="B94">
        <f>IF(mpf_monthly_return!B93 &lt; 0, mpf_monthly_return!B93, 0)</f>
        <v>0</v>
      </c>
      <c r="C94">
        <f>IF(mpf_monthly_return!C93 &lt; 0, mpf_monthly_return!C93, 0)</f>
        <v>-1.0328633613492358E-2</v>
      </c>
      <c r="D94">
        <f>IF(mpf_monthly_return!D93 &lt; 0, mpf_monthly_return!D93, 0)</f>
        <v>-1.1251502973042641E-2</v>
      </c>
      <c r="E94">
        <f>IF(mpf_monthly_return!E93 &lt; 0, mpf_monthly_return!E93, 0)</f>
        <v>-1.9489045587484398E-2</v>
      </c>
      <c r="F94">
        <f>IF(mpf_monthly_return!F93 &lt; 0, mpf_monthly_return!F93, 0)</f>
        <v>-9.0007866304275454E-3</v>
      </c>
      <c r="G94">
        <f>IF(mpf_monthly_return!G93 &lt; 0, mpf_monthly_return!G93, 0)</f>
        <v>-3.0391169001238186E-2</v>
      </c>
      <c r="H94">
        <f>IF(mpf_monthly_return!H93 &lt; 0, mpf_monthly_return!H93, 0)</f>
        <v>-1.3491269316625755E-2</v>
      </c>
      <c r="I94">
        <f>IF(mpf_monthly_return!I93 &lt; 0, mpf_monthly_return!I93, 0)</f>
        <v>-2.7161126478579187E-2</v>
      </c>
      <c r="J94">
        <f>IF(mpf_monthly_return!J93 &lt; 0, mpf_monthly_return!J93, 0)</f>
        <v>0</v>
      </c>
      <c r="K94">
        <f>IF(mpf_monthly_return!K93 &lt; 0, mpf_monthly_return!K93, 0)</f>
        <v>-1.3980054265633967E-2</v>
      </c>
    </row>
    <row r="95" spans="1:11" x14ac:dyDescent="0.4">
      <c r="A95" s="6">
        <v>45689</v>
      </c>
      <c r="B95">
        <f>IF(mpf_monthly_return!B94 &lt; 0, mpf_monthly_return!B94, 0)</f>
        <v>0</v>
      </c>
      <c r="C95">
        <f>IF(mpf_monthly_return!C94 &lt; 0, mpf_monthly_return!C94, 0)</f>
        <v>0</v>
      </c>
      <c r="D95">
        <f>IF(mpf_monthly_return!D94 &lt; 0, mpf_monthly_return!D94, 0)</f>
        <v>0</v>
      </c>
      <c r="E95">
        <f>IF(mpf_monthly_return!E94 &lt; 0, mpf_monthly_return!E94, 0)</f>
        <v>0</v>
      </c>
      <c r="F95">
        <f>IF(mpf_monthly_return!F94 &lt; 0, mpf_monthly_return!F94, 0)</f>
        <v>0</v>
      </c>
      <c r="G95">
        <f>IF(mpf_monthly_return!G94 &lt; 0, mpf_monthly_return!G94, 0)</f>
        <v>0</v>
      </c>
      <c r="H95">
        <f>IF(mpf_monthly_return!H94 &lt; 0, mpf_monthly_return!H94, 0)</f>
        <v>0</v>
      </c>
      <c r="I95">
        <f>IF(mpf_monthly_return!I94 &lt; 0, mpf_monthly_return!I94, 0)</f>
        <v>0</v>
      </c>
      <c r="J95">
        <f>IF(mpf_monthly_return!J94 &lt; 0, mpf_monthly_return!J94, 0)</f>
        <v>0</v>
      </c>
      <c r="K95">
        <f>IF(mpf_monthly_return!K94 &lt; 0, mpf_monthly_return!K94, 0)</f>
        <v>0</v>
      </c>
    </row>
    <row r="96" spans="1:11" x14ac:dyDescent="0.4">
      <c r="A96" s="6">
        <v>45717</v>
      </c>
      <c r="B96">
        <f>IF(mpf_monthly_return!B95 &lt; 0, mpf_monthly_return!B95, 0)</f>
        <v>0</v>
      </c>
      <c r="C96">
        <f>IF(mpf_monthly_return!C95 &lt; 0, mpf_monthly_return!C95, 0)</f>
        <v>0</v>
      </c>
      <c r="D96">
        <f>IF(mpf_monthly_return!D95 &lt; 0, mpf_monthly_return!D95, 0)</f>
        <v>0</v>
      </c>
      <c r="E96">
        <f>IF(mpf_monthly_return!E95 &lt; 0, mpf_monthly_return!E95, 0)</f>
        <v>0</v>
      </c>
      <c r="F96">
        <f>IF(mpf_monthly_return!F95 &lt; 0, mpf_monthly_return!F95, 0)</f>
        <v>0</v>
      </c>
      <c r="G96">
        <f>IF(mpf_monthly_return!G95 &lt; 0, mpf_monthly_return!G95, 0)</f>
        <v>-2.4499632339413956E-2</v>
      </c>
      <c r="H96">
        <f>IF(mpf_monthly_return!H95 &lt; 0, mpf_monthly_return!H95, 0)</f>
        <v>0</v>
      </c>
      <c r="I96">
        <f>IF(mpf_monthly_return!I95 &lt; 0, mpf_monthly_return!I95, 0)</f>
        <v>-1.9514044152525039E-2</v>
      </c>
      <c r="J96">
        <f>IF(mpf_monthly_return!J95 &lt; 0, mpf_monthly_return!J95, 0)</f>
        <v>0</v>
      </c>
      <c r="K96">
        <f>IF(mpf_monthly_return!K95 &lt; 0, mpf_monthly_return!K95, 0)</f>
        <v>0</v>
      </c>
    </row>
    <row r="97" spans="1:11" x14ac:dyDescent="0.4">
      <c r="A97" s="6">
        <v>45748</v>
      </c>
      <c r="B97">
        <f>IF(mpf_monthly_return!B96 &lt; 0, mpf_monthly_return!B96, 0)</f>
        <v>0</v>
      </c>
      <c r="C97">
        <f>IF(mpf_monthly_return!C96 &lt; 0, mpf_monthly_return!C96, 0)</f>
        <v>0</v>
      </c>
      <c r="D97">
        <f>IF(mpf_monthly_return!D96 &lt; 0, mpf_monthly_return!D96, 0)</f>
        <v>0</v>
      </c>
      <c r="E97">
        <f>IF(mpf_monthly_return!E96 &lt; 0, mpf_monthly_return!E96, 0)</f>
        <v>-2.1405585305716346E-2</v>
      </c>
      <c r="F97">
        <f>IF(mpf_monthly_return!F96 &lt; 0, mpf_monthly_return!F96, 0)</f>
        <v>-4.5785076114546663E-3</v>
      </c>
      <c r="G97">
        <f>IF(mpf_monthly_return!G96 &lt; 0, mpf_monthly_return!G96, 0)</f>
        <v>-5.3517664956580627E-2</v>
      </c>
      <c r="H97">
        <f>IF(mpf_monthly_return!H96 &lt; 0, mpf_monthly_return!H96, 0)</f>
        <v>-1.516300517964075E-3</v>
      </c>
      <c r="I97">
        <f>IF(mpf_monthly_return!I96 &lt; 0, mpf_monthly_return!I96, 0)</f>
        <v>-5.5431651747393368E-2</v>
      </c>
      <c r="J97">
        <f>IF(mpf_monthly_return!J96 &lt; 0, mpf_monthly_return!J96, 0)</f>
        <v>0</v>
      </c>
      <c r="K97">
        <f>IF(mpf_monthly_return!K96 &lt; 0, mpf_monthly_return!K96, 0)</f>
        <v>-1.8060637031403677E-3</v>
      </c>
    </row>
    <row r="98" spans="1:11" x14ac:dyDescent="0.4">
      <c r="A98" s="6">
        <v>45778</v>
      </c>
      <c r="B98">
        <f>IF(mpf_monthly_return!B97 &lt; 0, mpf_monthly_return!B97, 0)</f>
        <v>-4.521719854920845E-2</v>
      </c>
      <c r="C98">
        <f>IF(mpf_monthly_return!C97 &lt; 0, mpf_monthly_return!C97, 0)</f>
        <v>0</v>
      </c>
      <c r="D98">
        <f>IF(mpf_monthly_return!D97 &lt; 0, mpf_monthly_return!D97, 0)</f>
        <v>-2.1793148145063728E-3</v>
      </c>
      <c r="E98">
        <f>IF(mpf_monthly_return!E97 &lt; 0, mpf_monthly_return!E97, 0)</f>
        <v>0</v>
      </c>
      <c r="F98">
        <f>IF(mpf_monthly_return!F97 &lt; 0, mpf_monthly_return!F97, 0)</f>
        <v>-3.4165768108599687E-3</v>
      </c>
      <c r="G98">
        <f>IF(mpf_monthly_return!G97 &lt; 0, mpf_monthly_return!G97, 0)</f>
        <v>-1.5198142596874398E-2</v>
      </c>
      <c r="H98">
        <f>IF(mpf_monthly_return!H97 &lt; 0, mpf_monthly_return!H97, 0)</f>
        <v>0</v>
      </c>
      <c r="I98">
        <f>IF(mpf_monthly_return!I97 &lt; 0, mpf_monthly_return!I97, 0)</f>
        <v>-1.2510656282875895E-2</v>
      </c>
      <c r="J98">
        <f>IF(mpf_monthly_return!J97 &lt; 0, mpf_monthly_return!J97, 0)</f>
        <v>0</v>
      </c>
      <c r="K98">
        <f>IF(mpf_monthly_return!K97 &lt; 0, mpf_monthly_return!K97, 0)</f>
        <v>0</v>
      </c>
    </row>
    <row r="99" spans="1:11" x14ac:dyDescent="0.4">
      <c r="A99" s="6">
        <v>45809</v>
      </c>
      <c r="B99">
        <f>IF(mpf_monthly_return!B98 &lt; 0, mpf_monthly_return!B98, 0)</f>
        <v>0</v>
      </c>
      <c r="C99">
        <f>IF(mpf_monthly_return!C98 &lt; 0, mpf_monthly_return!C98, 0)</f>
        <v>0</v>
      </c>
      <c r="D99">
        <f>IF(mpf_monthly_return!D98 &lt; 0, mpf_monthly_return!D98, 0)</f>
        <v>0</v>
      </c>
      <c r="E99">
        <f>IF(mpf_monthly_return!E98 &lt; 0, mpf_monthly_return!E98, 0)</f>
        <v>0</v>
      </c>
      <c r="F99">
        <f>IF(mpf_monthly_return!F98 &lt; 0, mpf_monthly_return!F98, 0)</f>
        <v>0</v>
      </c>
      <c r="G99">
        <f>IF(mpf_monthly_return!G98 &lt; 0, mpf_monthly_return!G98, 0)</f>
        <v>0</v>
      </c>
      <c r="H99">
        <f>IF(mpf_monthly_return!H98 &lt; 0, mpf_monthly_return!H98, 0)</f>
        <v>0</v>
      </c>
      <c r="I99">
        <f>IF(mpf_monthly_return!I98 &lt; 0, mpf_monthly_return!I98, 0)</f>
        <v>0</v>
      </c>
      <c r="J99">
        <f>IF(mpf_monthly_return!J98 &lt; 0, mpf_monthly_return!J98, 0)</f>
        <v>0</v>
      </c>
      <c r="K99">
        <f>IF(mpf_monthly_return!K98 &lt; 0, mpf_monthly_return!K98, 0)</f>
        <v>0</v>
      </c>
    </row>
    <row r="100" spans="1:11" x14ac:dyDescent="0.4">
      <c r="A100" s="6">
        <v>45839</v>
      </c>
      <c r="B100">
        <f>IF(mpf_monthly_return!B99 &lt; 0, mpf_monthly_return!B99, 0)</f>
        <v>0</v>
      </c>
      <c r="C100">
        <f>IF(mpf_monthly_return!C99 &lt; 0, mpf_monthly_return!C99, 0)</f>
        <v>0</v>
      </c>
      <c r="D100">
        <f>IF(mpf_monthly_return!D99 &lt; 0, mpf_monthly_return!D99, 0)</f>
        <v>0</v>
      </c>
      <c r="E100">
        <f>IF(mpf_monthly_return!E99 &lt; 0, mpf_monthly_return!E99, 0)</f>
        <v>0</v>
      </c>
      <c r="F100">
        <f>IF(mpf_monthly_return!F99 &lt; 0, mpf_monthly_return!F99, 0)</f>
        <v>0</v>
      </c>
      <c r="G100">
        <f>IF(mpf_monthly_return!G99 &lt; 0, mpf_monthly_return!G99, 0)</f>
        <v>0</v>
      </c>
      <c r="H100">
        <f>IF(mpf_monthly_return!H99 &lt; 0, mpf_monthly_return!H99, 0)</f>
        <v>0</v>
      </c>
      <c r="I100">
        <f>IF(mpf_monthly_return!I99 &lt; 0, mpf_monthly_return!I99, 0)</f>
        <v>0</v>
      </c>
      <c r="J100">
        <f>IF(mpf_monthly_return!J99 &lt; 0, mpf_monthly_return!J99, 0)</f>
        <v>0</v>
      </c>
      <c r="K100">
        <f>IF(mpf_monthly_return!K99 &lt; 0, mpf_monthly_return!K99, 0)</f>
        <v>0</v>
      </c>
    </row>
    <row r="101" spans="1:11" x14ac:dyDescent="0.4">
      <c r="A101" s="6">
        <v>45870</v>
      </c>
      <c r="B101">
        <f>IF(mpf_monthly_return!B100 &lt; 0, mpf_monthly_return!B100, 0)</f>
        <v>0</v>
      </c>
      <c r="C101">
        <f>IF(mpf_monthly_return!C100 &lt; 0, mpf_monthly_return!C100, 0)</f>
        <v>-3.0681374546458824E-3</v>
      </c>
      <c r="D101">
        <f>IF(mpf_monthly_return!D100 &lt; 0, mpf_monthly_return!D100, 0)</f>
        <v>0</v>
      </c>
      <c r="E101">
        <f>IF(mpf_monthly_return!E100 &lt; 0, mpf_monthly_return!E100, 0)</f>
        <v>-1.2071464527203945E-3</v>
      </c>
      <c r="F101">
        <f>IF(mpf_monthly_return!F100 &lt; 0, mpf_monthly_return!F100, 0)</f>
        <v>0</v>
      </c>
      <c r="G101">
        <f>IF(mpf_monthly_return!G100 &lt; 0, mpf_monthly_return!G100, 0)</f>
        <v>0</v>
      </c>
      <c r="H101">
        <f>IF(mpf_monthly_return!H100 &lt; 0, mpf_monthly_return!H100, 0)</f>
        <v>0</v>
      </c>
      <c r="I101">
        <f>IF(mpf_monthly_return!I100 &lt; 0, mpf_monthly_return!I100, 0)</f>
        <v>0</v>
      </c>
      <c r="J101">
        <f>IF(mpf_monthly_return!J100 &lt; 0, mpf_monthly_return!J100, 0)</f>
        <v>0</v>
      </c>
      <c r="K101">
        <f>IF(mpf_monthly_return!K100 &lt; 0, mpf_monthly_return!K100, 0)</f>
        <v>0</v>
      </c>
    </row>
    <row r="102" spans="1:11" x14ac:dyDescent="0.4">
      <c r="A102" s="6">
        <v>45901</v>
      </c>
      <c r="B102">
        <f>IF(mpf_monthly_return!B101 &lt; 0, mpf_monthly_return!B101, 0)</f>
        <v>0</v>
      </c>
      <c r="C102">
        <f>IF(mpf_monthly_return!C101 &lt; 0, mpf_monthly_return!C101, 0)</f>
        <v>0</v>
      </c>
      <c r="D102">
        <f>IF(mpf_monthly_return!D101 &lt; 0, mpf_monthly_return!D101, 0)</f>
        <v>0</v>
      </c>
      <c r="E102">
        <f>IF(mpf_monthly_return!E101 &lt; 0, mpf_monthly_return!E101, 0)</f>
        <v>0</v>
      </c>
      <c r="F102">
        <f>IF(mpf_monthly_return!F101 &lt; 0, mpf_monthly_return!F101, 0)</f>
        <v>0</v>
      </c>
      <c r="G102">
        <f>IF(mpf_monthly_return!G101 &lt; 0, mpf_monthly_return!G101, 0)</f>
        <v>0</v>
      </c>
      <c r="H102">
        <f>IF(mpf_monthly_return!H101 &lt; 0, mpf_monthly_return!H101, 0)</f>
        <v>0</v>
      </c>
      <c r="I102">
        <f>IF(mpf_monthly_return!I101 &lt; 0, mpf_monthly_return!I101, 0)</f>
        <v>0</v>
      </c>
      <c r="J102">
        <f>IF(mpf_monthly_return!J101 &lt; 0, mpf_monthly_return!J101, 0)</f>
        <v>0</v>
      </c>
      <c r="K102">
        <f>IF(mpf_monthly_return!K101 &lt; 0, mpf_monthly_return!K101, 0)</f>
        <v>0</v>
      </c>
    </row>
    <row r="103" spans="1:11" x14ac:dyDescent="0.4">
      <c r="A103" s="6">
        <v>45931</v>
      </c>
      <c r="B103">
        <f>IF(mpf_monthly_return!B102 &lt; 0, mpf_monthly_return!B102, 0)</f>
        <v>0</v>
      </c>
      <c r="C103">
        <f>IF(mpf_monthly_return!C102 &lt; 0, mpf_monthly_return!C102, 0)</f>
        <v>0</v>
      </c>
      <c r="D103">
        <f>IF(mpf_monthly_return!D102 &lt; 0, mpf_monthly_return!D102, 0)</f>
        <v>0</v>
      </c>
      <c r="E103">
        <f>IF(mpf_monthly_return!E102 &lt; 0, mpf_monthly_return!E102, 0)</f>
        <v>0</v>
      </c>
      <c r="F103">
        <f>IF(mpf_monthly_return!F102 &lt; 0, mpf_monthly_return!F102, 0)</f>
        <v>0</v>
      </c>
      <c r="G103">
        <f>IF(mpf_monthly_return!G102 &lt; 0, mpf_monthly_return!G102, 0)</f>
        <v>0</v>
      </c>
      <c r="H103">
        <f>IF(mpf_monthly_return!H102 &lt; 0, mpf_monthly_return!H102, 0)</f>
        <v>0</v>
      </c>
      <c r="I103">
        <f>IF(mpf_monthly_return!I102 &lt; 0, mpf_monthly_return!I102, 0)</f>
        <v>0</v>
      </c>
      <c r="J103">
        <f>IF(mpf_monthly_return!J102 &lt; 0, mpf_monthly_return!J102, 0)</f>
        <v>0</v>
      </c>
      <c r="K103">
        <f>IF(mpf_monthly_return!K102 &lt; 0, mpf_monthly_return!K102, 0)</f>
        <v>0</v>
      </c>
    </row>
    <row r="104" spans="1:11" x14ac:dyDescent="0.4">
      <c r="A104" s="6">
        <v>45962</v>
      </c>
      <c r="B104">
        <f>IF(mpf_monthly_return!B103 &lt; 0, mpf_monthly_return!B103, 0)</f>
        <v>-4.2954459895766142E-2</v>
      </c>
      <c r="C104">
        <f>IF(mpf_monthly_return!C103 &lt; 0, mpf_monthly_return!C103, 0)</f>
        <v>0</v>
      </c>
      <c r="D104">
        <f>IF(mpf_monthly_return!D103 &lt; 0, mpf_monthly_return!D103, 0)</f>
        <v>0</v>
      </c>
      <c r="E104">
        <f>IF(mpf_monthly_return!E103 &lt; 0, mpf_monthly_return!E103, 0)</f>
        <v>0</v>
      </c>
      <c r="F104">
        <f>IF(mpf_monthly_return!F103 &lt; 0, mpf_monthly_return!F103, 0)</f>
        <v>0</v>
      </c>
      <c r="G104">
        <f>IF(mpf_monthly_return!G103 &lt; 0, mpf_monthly_return!G103, 0)</f>
        <v>0</v>
      </c>
      <c r="H104">
        <f>IF(mpf_monthly_return!H103 &lt; 0, mpf_monthly_return!H103, 0)</f>
        <v>-4.380873108715197E-5</v>
      </c>
      <c r="I104">
        <f>IF(mpf_monthly_return!I103 &lt; 0, mpf_monthly_return!I103, 0)</f>
        <v>0</v>
      </c>
      <c r="J104">
        <f>IF(mpf_monthly_return!J103 &lt; 0, mpf_monthly_return!J103, 0)</f>
        <v>0</v>
      </c>
      <c r="K104">
        <f>IF(mpf_monthly_return!K103 &lt; 0, mpf_monthly_return!K103, 0)</f>
        <v>0</v>
      </c>
    </row>
    <row r="105" spans="1:11" x14ac:dyDescent="0.4">
      <c r="A105" s="6">
        <v>45992</v>
      </c>
      <c r="B105">
        <f>IF(mpf_monthly_return!B104 &lt; 0, mpf_monthly_return!B104, 0)</f>
        <v>-3.6687389409931579E-3</v>
      </c>
      <c r="C105">
        <f>IF(mpf_monthly_return!C104 &lt; 0, mpf_monthly_return!C104, 0)</f>
        <v>-3.6190945533182965E-2</v>
      </c>
      <c r="D105">
        <f>IF(mpf_monthly_return!D104 &lt; 0, mpf_monthly_return!D104, 0)</f>
        <v>0</v>
      </c>
      <c r="E105">
        <f>IF(mpf_monthly_return!E104 &lt; 0, mpf_monthly_return!E104, 0)</f>
        <v>-2.0615021903094533E-3</v>
      </c>
      <c r="F105">
        <f>IF(mpf_monthly_return!F104 &lt; 0, mpf_monthly_return!F104, 0)</f>
        <v>-7.3396262673169404E-3</v>
      </c>
      <c r="G105">
        <f>IF(mpf_monthly_return!G104 &lt; 0, mpf_monthly_return!G104, 0)</f>
        <v>-7.2163366837728928E-3</v>
      </c>
      <c r="H105">
        <f>IF(mpf_monthly_return!H104 &lt; 0, mpf_monthly_return!H104, 0)</f>
        <v>-4.3465921395329154E-3</v>
      </c>
      <c r="I105">
        <f>IF(mpf_monthly_return!I104 &lt; 0, mpf_monthly_return!I104, 0)</f>
        <v>-4.3251505423945085E-3</v>
      </c>
      <c r="J105">
        <f>IF(mpf_monthly_return!J104 &lt; 0, mpf_monthly_return!J104, 0)</f>
        <v>0</v>
      </c>
      <c r="K105">
        <f>IF(mpf_monthly_return!K104 &lt; 0, mpf_monthly_return!K104, 0)</f>
        <v>-3.7471312652540959E-3</v>
      </c>
    </row>
    <row r="106" spans="1:11" x14ac:dyDescent="0.4">
      <c r="A106" s="6">
        <v>46023</v>
      </c>
      <c r="B106">
        <f>IF(mpf_monthly_return!B105 &lt; 0, mpf_monthly_return!B105, 0)</f>
        <v>0</v>
      </c>
      <c r="C106">
        <f>IF(mpf_monthly_return!C105 &lt; 0, mpf_monthly_return!C105, 0)</f>
        <v>0</v>
      </c>
      <c r="D106">
        <f>IF(mpf_monthly_return!D105 &lt; 0, mpf_monthly_return!D105, 0)</f>
        <v>0</v>
      </c>
      <c r="E106">
        <f>IF(mpf_monthly_return!E105 &lt; 0, mpf_monthly_return!E105, 0)</f>
        <v>0</v>
      </c>
      <c r="F106">
        <f>IF(mpf_monthly_return!F105 &lt; 0, mpf_monthly_return!F105, 0)</f>
        <v>0</v>
      </c>
      <c r="G106">
        <f>IF(mpf_monthly_return!G105 &lt; 0, mpf_monthly_return!G105, 0)</f>
        <v>0</v>
      </c>
      <c r="H106">
        <f>IF(mpf_monthly_return!H105 &lt; 0, mpf_monthly_return!H105, 0)</f>
        <v>0</v>
      </c>
      <c r="I106">
        <f>IF(mpf_monthly_return!I105 &lt; 0, mpf_monthly_return!I105, 0)</f>
        <v>0</v>
      </c>
      <c r="J106">
        <f>IF(mpf_monthly_return!J105 &lt; 0, mpf_monthly_return!J105, 0)</f>
        <v>0</v>
      </c>
      <c r="K106">
        <f>IF(mpf_monthly_return!K105 &lt; 0, mpf_monthly_return!K105, 0)</f>
        <v>0</v>
      </c>
    </row>
    <row r="107" spans="1:11" x14ac:dyDescent="0.4">
      <c r="A107" s="6">
        <v>46054</v>
      </c>
      <c r="B107">
        <f>IF(mpf_monthly_return!B106 &lt; 0, mpf_monthly_return!B106, 0)</f>
        <v>0</v>
      </c>
      <c r="C107">
        <f>IF(mpf_monthly_return!C106 &lt; 0, mpf_monthly_return!C106, 0)</f>
        <v>0</v>
      </c>
      <c r="D107">
        <f>IF(mpf_monthly_return!D106 &lt; 0, mpf_monthly_return!D106, 0)</f>
        <v>0</v>
      </c>
      <c r="E107">
        <f>IF(mpf_monthly_return!E106 &lt; 0, mpf_monthly_return!E106, 0)</f>
        <v>0</v>
      </c>
      <c r="F107">
        <f>IF(mpf_monthly_return!F106 &lt; 0, mpf_monthly_return!F106, 0)</f>
        <v>0</v>
      </c>
      <c r="G107">
        <f>IF(mpf_monthly_return!G106 &lt; 0, mpf_monthly_return!G106, 0)</f>
        <v>0</v>
      </c>
      <c r="H107">
        <f>IF(mpf_monthly_return!H106 &lt; 0, mpf_monthly_return!H106, 0)</f>
        <v>0</v>
      </c>
      <c r="I107">
        <f>IF(mpf_monthly_return!I106 &lt; 0, mpf_monthly_return!I106, 0)</f>
        <v>0</v>
      </c>
      <c r="J107">
        <f>IF(mpf_monthly_return!J106 &lt; 0, mpf_monthly_return!J106, 0)</f>
        <v>0</v>
      </c>
      <c r="K107">
        <f>IF(mpf_monthly_return!K106 &lt; 0, mpf_monthly_return!K106, 0)</f>
        <v>0</v>
      </c>
    </row>
    <row r="108" spans="1:11" x14ac:dyDescent="0.4">
      <c r="A108" s="6">
        <v>46082</v>
      </c>
      <c r="B108">
        <f>IF(mpf_monthly_return!B107 &lt; 0, mpf_monthly_return!B107, 0)</f>
        <v>-2.5478406219808875E-2</v>
      </c>
      <c r="C108">
        <f>IF(mpf_monthly_return!C107 &lt; 0, mpf_monthly_return!C107, 0)</f>
        <v>0</v>
      </c>
      <c r="D108">
        <f>IF(mpf_monthly_return!D107 &lt; 0, mpf_monthly_return!D107, 0)</f>
        <v>0</v>
      </c>
      <c r="E108">
        <f>IF(mpf_monthly_return!E107 &lt; 0, mpf_monthly_return!E107, 0)</f>
        <v>0</v>
      </c>
      <c r="F108">
        <f>IF(mpf_monthly_return!F107 &lt; 0, mpf_monthly_return!F107, 0)</f>
        <v>0</v>
      </c>
      <c r="G108">
        <f>IF(mpf_monthly_return!G107 &lt; 0, mpf_monthly_return!G107, 0)</f>
        <v>-1.3750587191054335E-2</v>
      </c>
      <c r="H108">
        <f>IF(mpf_monthly_return!H107 &lt; 0, mpf_monthly_return!H107, 0)</f>
        <v>0</v>
      </c>
      <c r="I108">
        <f>IF(mpf_monthly_return!I107 &lt; 0, mpf_monthly_return!I107, 0)</f>
        <v>-1.319462824824892E-2</v>
      </c>
      <c r="J108">
        <f>IF(mpf_monthly_return!J107 &lt; 0, mpf_monthly_return!J107, 0)</f>
        <v>0</v>
      </c>
      <c r="K108">
        <f>IF(mpf_monthly_return!K107 &lt; 0, mpf_monthly_return!K107, 0)</f>
        <v>0</v>
      </c>
    </row>
    <row r="109" spans="1:11" x14ac:dyDescent="0.4">
      <c r="A109" s="6">
        <v>46113</v>
      </c>
      <c r="B109">
        <f>IF(mpf_monthly_return!B108 &lt; 0, mpf_monthly_return!B108, 0)</f>
        <v>-2.9085988483571388E-2</v>
      </c>
      <c r="C109">
        <f>IF(mpf_monthly_return!C108 &lt; 0, mpf_monthly_return!C108, 0)</f>
        <v>-7.987303916891586E-2</v>
      </c>
      <c r="D109">
        <f>IF(mpf_monthly_return!D108 &lt; 0, mpf_monthly_return!D108, 0)</f>
        <v>-1.2907675483957366E-2</v>
      </c>
      <c r="E109">
        <f>IF(mpf_monthly_return!E108 &lt; 0, mpf_monthly_return!E108, 0)</f>
        <v>-3.543079930562712E-2</v>
      </c>
      <c r="F109">
        <f>IF(mpf_monthly_return!F108 &lt; 0, mpf_monthly_return!F108, 0)</f>
        <v>-4.992385814612648E-2</v>
      </c>
      <c r="G109">
        <f>IF(mpf_monthly_return!G108 &lt; 0, mpf_monthly_return!G108, 0)</f>
        <v>-4.6692423736299657E-2</v>
      </c>
      <c r="H109">
        <f>IF(mpf_monthly_return!H108 &lt; 0, mpf_monthly_return!H108, 0)</f>
        <v>-4.1572699099526801E-2</v>
      </c>
      <c r="I109">
        <f>IF(mpf_monthly_return!I108 &lt; 0, mpf_monthly_return!I108, 0)</f>
        <v>-4.4328211470996588E-2</v>
      </c>
      <c r="J109">
        <f>IF(mpf_monthly_return!J108 &lt; 0, mpf_monthly_return!J108, 0)</f>
        <v>0</v>
      </c>
      <c r="K109">
        <f>IF(mpf_monthly_return!K108 &lt; 0, mpf_monthly_return!K108, 0)</f>
        <v>-3.5179601474632997E-2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66A4-F7B4-42E6-9F90-C3026D7FB085}">
  <dimension ref="A1:N3200"/>
  <sheetViews>
    <sheetView workbookViewId="0">
      <selection activeCell="I17" sqref="I17"/>
    </sheetView>
  </sheetViews>
  <sheetFormatPr defaultRowHeight="17" x14ac:dyDescent="0.4"/>
  <cols>
    <col min="3" max="5" width="11.54296875" customWidth="1"/>
    <col min="7" max="7" width="11.54296875" customWidth="1"/>
    <col min="8" max="8" width="17.36328125" customWidth="1"/>
    <col min="10" max="10" width="13" customWidth="1"/>
  </cols>
  <sheetData>
    <row r="1" spans="1:14" x14ac:dyDescent="0.4">
      <c r="A1" s="5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N1" s="2"/>
    </row>
    <row r="2" spans="1:14" ht="17.5" thickBot="1" x14ac:dyDescent="0.45">
      <c r="A2" s="4">
        <v>42859</v>
      </c>
      <c r="B2" s="3">
        <v>144.66999999999999</v>
      </c>
      <c r="C2" s="3">
        <v>217.16</v>
      </c>
      <c r="D2" s="3">
        <v>104.38</v>
      </c>
      <c r="E2" s="3">
        <v>1.0136000000000001</v>
      </c>
      <c r="F2" s="3">
        <v>223.3</v>
      </c>
      <c r="G2" s="3">
        <v>200.72</v>
      </c>
      <c r="H2" s="3">
        <v>161.31</v>
      </c>
      <c r="I2" s="3">
        <v>173.66</v>
      </c>
      <c r="J2" s="3">
        <v>111.62</v>
      </c>
      <c r="K2" s="3">
        <v>195.79</v>
      </c>
      <c r="L2" s="3"/>
      <c r="N2" s="4"/>
    </row>
    <row r="3" spans="1:14" ht="17.5" thickBot="1" x14ac:dyDescent="0.45">
      <c r="A3" s="4">
        <v>42860</v>
      </c>
      <c r="B3" s="3">
        <v>143.01</v>
      </c>
      <c r="C3" s="3">
        <v>216.27</v>
      </c>
      <c r="D3" s="3">
        <v>104.28</v>
      </c>
      <c r="E3" s="3">
        <v>1.0164</v>
      </c>
      <c r="F3" s="3">
        <v>223.04</v>
      </c>
      <c r="G3" s="3">
        <v>201.96</v>
      </c>
      <c r="H3" s="3">
        <v>161.19</v>
      </c>
      <c r="I3" s="3">
        <v>174.8</v>
      </c>
      <c r="J3" s="3">
        <v>111.62</v>
      </c>
      <c r="K3" s="3">
        <v>195.7</v>
      </c>
      <c r="L3" s="3"/>
      <c r="N3" s="4"/>
    </row>
    <row r="4" spans="1:14" ht="17.5" thickBot="1" x14ac:dyDescent="0.45">
      <c r="A4" s="4">
        <v>42861</v>
      </c>
      <c r="B4" s="3">
        <v>143.01</v>
      </c>
      <c r="C4" s="3">
        <v>216.27</v>
      </c>
      <c r="D4" s="3">
        <v>104.28</v>
      </c>
      <c r="E4" s="3">
        <v>1.0164</v>
      </c>
      <c r="F4" s="3">
        <v>223.04</v>
      </c>
      <c r="G4" s="3">
        <v>201.96</v>
      </c>
      <c r="H4" s="3">
        <v>161.19</v>
      </c>
      <c r="I4" s="3">
        <v>174.8</v>
      </c>
      <c r="J4" s="3">
        <v>111.62</v>
      </c>
      <c r="K4" s="3">
        <v>195.7</v>
      </c>
      <c r="L4" s="3"/>
      <c r="N4" s="4"/>
    </row>
    <row r="5" spans="1:14" ht="17.5" thickBot="1" x14ac:dyDescent="0.45">
      <c r="A5" s="4">
        <v>42862</v>
      </c>
      <c r="B5" s="3">
        <v>143.01</v>
      </c>
      <c r="C5" s="3">
        <v>216.27</v>
      </c>
      <c r="D5" s="3">
        <v>104.28</v>
      </c>
      <c r="E5" s="3">
        <v>1.0164</v>
      </c>
      <c r="F5" s="3">
        <v>223.04</v>
      </c>
      <c r="G5" s="3">
        <v>201.96</v>
      </c>
      <c r="H5" s="3">
        <v>161.19</v>
      </c>
      <c r="I5" s="3">
        <v>174.8</v>
      </c>
      <c r="J5" s="3">
        <v>111.62</v>
      </c>
      <c r="K5" s="3">
        <v>195.7</v>
      </c>
      <c r="L5" s="3"/>
      <c r="N5" s="4"/>
    </row>
    <row r="6" spans="1:14" ht="17.5" thickBot="1" x14ac:dyDescent="0.45">
      <c r="A6" s="4">
        <v>42863</v>
      </c>
      <c r="B6" s="3">
        <v>143.66</v>
      </c>
      <c r="C6" s="3">
        <v>218.84</v>
      </c>
      <c r="D6" s="3">
        <v>104.28</v>
      </c>
      <c r="E6" s="3">
        <v>1.0165999999999999</v>
      </c>
      <c r="F6" s="3">
        <v>224</v>
      </c>
      <c r="G6" s="3">
        <v>202.15</v>
      </c>
      <c r="H6" s="3">
        <v>161.97</v>
      </c>
      <c r="I6" s="3">
        <v>174.39</v>
      </c>
      <c r="J6" s="3">
        <v>111.62</v>
      </c>
      <c r="K6" s="3">
        <v>196.2</v>
      </c>
      <c r="L6" s="3"/>
      <c r="N6" s="4"/>
    </row>
    <row r="7" spans="1:14" ht="17.5" thickBot="1" x14ac:dyDescent="0.45">
      <c r="A7" s="4">
        <v>42864</v>
      </c>
      <c r="B7" s="3">
        <v>145.41</v>
      </c>
      <c r="C7" s="3">
        <v>218.18</v>
      </c>
      <c r="D7" s="3">
        <v>104.18</v>
      </c>
      <c r="E7" s="3">
        <v>1.0152000000000001</v>
      </c>
      <c r="F7" s="3">
        <v>224.55</v>
      </c>
      <c r="G7" s="3">
        <v>201.83</v>
      </c>
      <c r="H7" s="3">
        <v>162.09</v>
      </c>
      <c r="I7" s="3">
        <v>174.62</v>
      </c>
      <c r="J7" s="3">
        <v>111.62</v>
      </c>
      <c r="K7" s="3">
        <v>196.22</v>
      </c>
      <c r="L7" s="3"/>
      <c r="N7" s="4"/>
    </row>
    <row r="8" spans="1:14" ht="17.5" thickBot="1" x14ac:dyDescent="0.45">
      <c r="A8" s="4">
        <v>42865</v>
      </c>
      <c r="B8" s="3">
        <v>146.09</v>
      </c>
      <c r="C8" s="3">
        <v>217.8</v>
      </c>
      <c r="D8" s="3">
        <v>104.18</v>
      </c>
      <c r="E8" s="3">
        <v>1.0165999999999999</v>
      </c>
      <c r="F8" s="3">
        <v>224.95</v>
      </c>
      <c r="G8" s="3">
        <v>202.19</v>
      </c>
      <c r="H8" s="3">
        <v>162.38999999999999</v>
      </c>
      <c r="I8" s="3">
        <v>175.42</v>
      </c>
      <c r="J8" s="3">
        <v>111.62</v>
      </c>
      <c r="K8" s="3">
        <v>196.51</v>
      </c>
      <c r="L8" s="3"/>
      <c r="N8" s="4"/>
    </row>
    <row r="9" spans="1:14" ht="17.5" thickBot="1" x14ac:dyDescent="0.45">
      <c r="A9" s="4">
        <v>42866</v>
      </c>
      <c r="B9" s="3">
        <v>146.88999999999999</v>
      </c>
      <c r="C9" s="3">
        <v>219.26</v>
      </c>
      <c r="D9" s="3">
        <v>104.27</v>
      </c>
      <c r="E9" s="3">
        <v>1.016</v>
      </c>
      <c r="F9" s="3">
        <v>225.02</v>
      </c>
      <c r="G9" s="3">
        <v>201.68</v>
      </c>
      <c r="H9" s="3">
        <v>162.44999999999999</v>
      </c>
      <c r="I9" s="3">
        <v>175.38</v>
      </c>
      <c r="J9" s="3">
        <v>111.62</v>
      </c>
      <c r="K9" s="3">
        <v>196.54</v>
      </c>
      <c r="L9" s="3"/>
      <c r="N9" s="4"/>
    </row>
    <row r="10" spans="1:14" ht="17.5" thickBot="1" x14ac:dyDescent="0.45">
      <c r="A10" s="4">
        <v>42867</v>
      </c>
      <c r="B10" s="3">
        <v>147.21</v>
      </c>
      <c r="C10" s="3">
        <v>218.51</v>
      </c>
      <c r="D10" s="3">
        <v>104.46</v>
      </c>
      <c r="E10" s="3">
        <v>1.0179</v>
      </c>
      <c r="F10" s="3">
        <v>225.1</v>
      </c>
      <c r="G10" s="3">
        <v>201.24</v>
      </c>
      <c r="H10" s="3">
        <v>162.38999999999999</v>
      </c>
      <c r="I10" s="3">
        <v>175.72</v>
      </c>
      <c r="J10" s="3">
        <v>111.62</v>
      </c>
      <c r="K10" s="3">
        <v>196.7</v>
      </c>
      <c r="L10" s="3"/>
      <c r="N10" s="4"/>
    </row>
    <row r="11" spans="1:14" ht="17.5" thickBot="1" x14ac:dyDescent="0.45">
      <c r="A11" s="4">
        <v>42868</v>
      </c>
      <c r="B11" s="3">
        <v>147.21</v>
      </c>
      <c r="C11" s="3">
        <v>218.51</v>
      </c>
      <c r="D11" s="3">
        <v>104.46</v>
      </c>
      <c r="E11" s="3">
        <v>1.0179</v>
      </c>
      <c r="F11" s="3">
        <v>225.1</v>
      </c>
      <c r="G11" s="3">
        <v>201.24</v>
      </c>
      <c r="H11" s="3">
        <v>162.38999999999999</v>
      </c>
      <c r="I11" s="3">
        <v>175.72</v>
      </c>
      <c r="J11" s="3">
        <v>111.62</v>
      </c>
      <c r="K11" s="3">
        <v>196.7</v>
      </c>
      <c r="L11" s="3"/>
      <c r="N11" s="4"/>
    </row>
    <row r="12" spans="1:14" ht="17.5" thickBot="1" x14ac:dyDescent="0.45">
      <c r="A12" s="4">
        <v>42869</v>
      </c>
      <c r="B12" s="3">
        <v>147.21</v>
      </c>
      <c r="C12" s="3">
        <v>218.51</v>
      </c>
      <c r="D12" s="3">
        <v>104.46</v>
      </c>
      <c r="E12" s="3">
        <v>1.0179</v>
      </c>
      <c r="F12" s="3">
        <v>225.1</v>
      </c>
      <c r="G12" s="3">
        <v>201.24</v>
      </c>
      <c r="H12" s="3">
        <v>162.38999999999999</v>
      </c>
      <c r="I12" s="3">
        <v>175.72</v>
      </c>
      <c r="J12" s="3">
        <v>111.62</v>
      </c>
      <c r="K12" s="3">
        <v>196.7</v>
      </c>
      <c r="L12" s="3"/>
      <c r="N12" s="4"/>
    </row>
    <row r="13" spans="1:14" ht="17.5" thickBot="1" x14ac:dyDescent="0.45">
      <c r="A13" s="4">
        <v>42870</v>
      </c>
      <c r="B13" s="3">
        <v>148.77000000000001</v>
      </c>
      <c r="C13" s="3">
        <v>219.34</v>
      </c>
      <c r="D13" s="3">
        <v>104.73</v>
      </c>
      <c r="E13" s="3">
        <v>1.0198</v>
      </c>
      <c r="F13" s="3">
        <v>226.17</v>
      </c>
      <c r="G13" s="3">
        <v>201.97</v>
      </c>
      <c r="H13" s="3">
        <v>162.91999999999999</v>
      </c>
      <c r="I13" s="3">
        <v>176.72</v>
      </c>
      <c r="J13" s="3">
        <v>111.62</v>
      </c>
      <c r="K13" s="3">
        <v>197.13</v>
      </c>
      <c r="L13" s="3"/>
      <c r="N13" s="4"/>
    </row>
    <row r="14" spans="1:14" ht="17.5" thickBot="1" x14ac:dyDescent="0.45">
      <c r="A14" s="4">
        <v>42871</v>
      </c>
      <c r="B14" s="3">
        <v>148.77000000000001</v>
      </c>
      <c r="C14" s="3">
        <v>220.74</v>
      </c>
      <c r="D14" s="3">
        <v>104.91</v>
      </c>
      <c r="E14" s="3">
        <v>1.0217000000000001</v>
      </c>
      <c r="F14" s="3">
        <v>227.02</v>
      </c>
      <c r="G14" s="3">
        <v>201.88</v>
      </c>
      <c r="H14" s="3">
        <v>163.22999999999999</v>
      </c>
      <c r="I14" s="3">
        <v>176.7</v>
      </c>
      <c r="J14" s="3">
        <v>111.62</v>
      </c>
      <c r="K14" s="3">
        <v>197.48</v>
      </c>
      <c r="L14" s="3"/>
      <c r="N14" s="4"/>
    </row>
    <row r="15" spans="1:14" ht="17.5" thickBot="1" x14ac:dyDescent="0.45">
      <c r="A15" s="4">
        <v>42872</v>
      </c>
      <c r="B15" s="3">
        <v>148.68</v>
      </c>
      <c r="C15" s="3">
        <v>219.33</v>
      </c>
      <c r="D15" s="3">
        <v>105.09</v>
      </c>
      <c r="E15" s="3">
        <v>1.0166999999999999</v>
      </c>
      <c r="F15" s="3">
        <v>225.67</v>
      </c>
      <c r="G15" s="3">
        <v>197.85</v>
      </c>
      <c r="H15" s="3">
        <v>162.19</v>
      </c>
      <c r="I15" s="3">
        <v>173.35</v>
      </c>
      <c r="J15" s="3">
        <v>111.62</v>
      </c>
      <c r="K15" s="3">
        <v>196.86</v>
      </c>
      <c r="L15" s="3"/>
      <c r="N15" s="4"/>
    </row>
    <row r="16" spans="1:14" ht="17.5" thickBot="1" x14ac:dyDescent="0.45">
      <c r="A16" s="4">
        <v>42873</v>
      </c>
      <c r="B16" s="3">
        <v>147.38999999999999</v>
      </c>
      <c r="C16" s="3">
        <v>217.7</v>
      </c>
      <c r="D16" s="3">
        <v>105.09</v>
      </c>
      <c r="E16" s="3">
        <v>1.0147999999999999</v>
      </c>
      <c r="F16" s="3">
        <v>224.67</v>
      </c>
      <c r="G16" s="3">
        <v>198.81</v>
      </c>
      <c r="H16" s="3">
        <v>161.80000000000001</v>
      </c>
      <c r="I16" s="3">
        <v>170.42</v>
      </c>
      <c r="J16" s="3">
        <v>111.62</v>
      </c>
      <c r="K16" s="3">
        <v>196.55</v>
      </c>
      <c r="L16" s="3"/>
      <c r="N16" s="4"/>
    </row>
    <row r="17" spans="1:14" ht="17.5" thickBot="1" x14ac:dyDescent="0.45">
      <c r="A17" s="4">
        <v>42874</v>
      </c>
      <c r="B17" s="3">
        <v>147.62</v>
      </c>
      <c r="C17" s="3">
        <v>217.62</v>
      </c>
      <c r="D17" s="3">
        <v>105.18</v>
      </c>
      <c r="E17" s="3">
        <v>1.0152000000000001</v>
      </c>
      <c r="F17" s="3">
        <v>225.79</v>
      </c>
      <c r="G17" s="3">
        <v>200.32</v>
      </c>
      <c r="H17" s="3">
        <v>162.37</v>
      </c>
      <c r="I17" s="3">
        <v>172.86</v>
      </c>
      <c r="J17" s="3">
        <v>111.62</v>
      </c>
      <c r="K17" s="3">
        <v>197.07</v>
      </c>
      <c r="L17" s="3"/>
      <c r="N17" s="4"/>
    </row>
    <row r="18" spans="1:14" ht="17.5" thickBot="1" x14ac:dyDescent="0.45">
      <c r="A18" s="4">
        <v>42875</v>
      </c>
      <c r="B18" s="3">
        <v>147.62</v>
      </c>
      <c r="C18" s="3">
        <v>217.62</v>
      </c>
      <c r="D18" s="3">
        <v>105.18</v>
      </c>
      <c r="E18" s="3">
        <v>1.0152000000000001</v>
      </c>
      <c r="F18" s="3">
        <v>225.79</v>
      </c>
      <c r="G18" s="3">
        <v>200.32</v>
      </c>
      <c r="H18" s="3">
        <v>162.37</v>
      </c>
      <c r="I18" s="3">
        <v>172.86</v>
      </c>
      <c r="J18" s="3">
        <v>111.62</v>
      </c>
      <c r="K18" s="3">
        <v>197.07</v>
      </c>
      <c r="L18" s="3"/>
      <c r="N18" s="4"/>
    </row>
    <row r="19" spans="1:14" ht="17.5" thickBot="1" x14ac:dyDescent="0.45">
      <c r="A19" s="4">
        <v>42876</v>
      </c>
      <c r="B19" s="3">
        <v>147.62</v>
      </c>
      <c r="C19" s="3">
        <v>217.62</v>
      </c>
      <c r="D19" s="3">
        <v>105.18</v>
      </c>
      <c r="E19" s="3">
        <v>1.0152000000000001</v>
      </c>
      <c r="F19" s="3">
        <v>225.79</v>
      </c>
      <c r="G19" s="3">
        <v>200.32</v>
      </c>
      <c r="H19" s="3">
        <v>162.37</v>
      </c>
      <c r="I19" s="3">
        <v>172.86</v>
      </c>
      <c r="J19" s="3">
        <v>111.62</v>
      </c>
      <c r="K19" s="3">
        <v>197.07</v>
      </c>
      <c r="L19" s="3"/>
      <c r="N19" s="4"/>
    </row>
    <row r="20" spans="1:14" ht="17.5" thickBot="1" x14ac:dyDescent="0.45">
      <c r="A20" s="4">
        <v>42877</v>
      </c>
      <c r="B20" s="3">
        <v>148.82</v>
      </c>
      <c r="C20" s="3">
        <v>220.72</v>
      </c>
      <c r="D20" s="3">
        <v>105.27</v>
      </c>
      <c r="E20" s="3">
        <v>1.018</v>
      </c>
      <c r="F20" s="3">
        <v>227.54</v>
      </c>
      <c r="G20" s="3">
        <v>201.35</v>
      </c>
      <c r="H20" s="3">
        <v>163.41999999999999</v>
      </c>
      <c r="I20" s="3">
        <v>173.17</v>
      </c>
      <c r="J20" s="3">
        <v>111.62</v>
      </c>
      <c r="K20" s="3">
        <v>197.96</v>
      </c>
      <c r="L20" s="3"/>
      <c r="N20" s="4"/>
    </row>
    <row r="21" spans="1:14" ht="17.5" thickBot="1" x14ac:dyDescent="0.45">
      <c r="A21" s="4">
        <v>42878</v>
      </c>
      <c r="B21" s="3">
        <v>149.1</v>
      </c>
      <c r="C21" s="3">
        <v>219.8</v>
      </c>
      <c r="D21" s="3">
        <v>105.36</v>
      </c>
      <c r="E21" s="3">
        <v>1.0185999999999999</v>
      </c>
      <c r="F21" s="3">
        <v>227.48</v>
      </c>
      <c r="G21" s="3">
        <v>201.71</v>
      </c>
      <c r="H21" s="3">
        <v>163.44999999999999</v>
      </c>
      <c r="I21" s="3">
        <v>173.73</v>
      </c>
      <c r="J21" s="3">
        <v>111.62</v>
      </c>
      <c r="K21" s="3">
        <v>197.95</v>
      </c>
      <c r="L21" s="3"/>
      <c r="N21" s="4"/>
    </row>
    <row r="22" spans="1:14" ht="17.5" thickBot="1" x14ac:dyDescent="0.45">
      <c r="A22" s="4">
        <v>42879</v>
      </c>
      <c r="B22" s="3">
        <v>148.88999999999999</v>
      </c>
      <c r="C22" s="3">
        <v>219.4</v>
      </c>
      <c r="D22" s="3">
        <v>105.27</v>
      </c>
      <c r="E22" s="3">
        <v>1.0192000000000001</v>
      </c>
      <c r="F22" s="3">
        <v>227.39</v>
      </c>
      <c r="G22" s="3">
        <v>202.13</v>
      </c>
      <c r="H22" s="3">
        <v>163.53</v>
      </c>
      <c r="I22" s="3">
        <v>174.48</v>
      </c>
      <c r="J22" s="3">
        <v>111.62</v>
      </c>
      <c r="K22" s="3">
        <v>197.98</v>
      </c>
      <c r="L22" s="3"/>
      <c r="N22" s="4"/>
    </row>
    <row r="23" spans="1:14" ht="17.5" thickBot="1" x14ac:dyDescent="0.45">
      <c r="A23" s="4">
        <v>42880</v>
      </c>
      <c r="B23" s="3">
        <v>150.24</v>
      </c>
      <c r="C23" s="3">
        <v>222.16</v>
      </c>
      <c r="D23" s="3">
        <v>105.54</v>
      </c>
      <c r="E23" s="3">
        <v>1.0223</v>
      </c>
      <c r="F23" s="3">
        <v>228.89</v>
      </c>
      <c r="G23" s="3">
        <v>203.14</v>
      </c>
      <c r="H23" s="3">
        <v>164.43</v>
      </c>
      <c r="I23" s="3">
        <v>174.91</v>
      </c>
      <c r="J23" s="3">
        <v>111.62</v>
      </c>
      <c r="K23" s="3">
        <v>198.81</v>
      </c>
      <c r="L23" s="3"/>
      <c r="N23" s="4"/>
    </row>
    <row r="24" spans="1:14" ht="17.5" thickBot="1" x14ac:dyDescent="0.45">
      <c r="A24" s="4">
        <v>42881</v>
      </c>
      <c r="B24" s="3">
        <v>150.55000000000001</v>
      </c>
      <c r="C24" s="3">
        <v>222.01</v>
      </c>
      <c r="D24" s="3">
        <v>105.73</v>
      </c>
      <c r="E24" s="3">
        <v>1.0222</v>
      </c>
      <c r="F24" s="3">
        <v>228.65</v>
      </c>
      <c r="G24" s="3">
        <v>203.01</v>
      </c>
      <c r="H24" s="3">
        <v>164.39</v>
      </c>
      <c r="I24" s="3">
        <v>175.3</v>
      </c>
      <c r="J24" s="3">
        <v>111.62</v>
      </c>
      <c r="K24" s="3">
        <v>198.81</v>
      </c>
      <c r="L24" s="3"/>
      <c r="N24" s="4"/>
    </row>
    <row r="25" spans="1:14" ht="17.5" thickBot="1" x14ac:dyDescent="0.45">
      <c r="A25" s="4">
        <v>42882</v>
      </c>
      <c r="B25" s="3">
        <v>150.55000000000001</v>
      </c>
      <c r="C25" s="3">
        <v>222.01</v>
      </c>
      <c r="D25" s="3">
        <v>105.73</v>
      </c>
      <c r="E25" s="3">
        <v>1.0222</v>
      </c>
      <c r="F25" s="3">
        <v>228.65</v>
      </c>
      <c r="G25" s="3">
        <v>203.01</v>
      </c>
      <c r="H25" s="3">
        <v>164.39</v>
      </c>
      <c r="I25" s="3">
        <v>175.3</v>
      </c>
      <c r="J25" s="3">
        <v>111.62</v>
      </c>
      <c r="K25" s="3">
        <v>198.81</v>
      </c>
      <c r="L25" s="3"/>
      <c r="N25" s="4"/>
    </row>
    <row r="26" spans="1:14" ht="17.5" thickBot="1" x14ac:dyDescent="0.45">
      <c r="A26" s="4">
        <v>42883</v>
      </c>
      <c r="B26" s="3">
        <v>150.55000000000001</v>
      </c>
      <c r="C26" s="3">
        <v>222.01</v>
      </c>
      <c r="D26" s="3">
        <v>105.73</v>
      </c>
      <c r="E26" s="3">
        <v>1.0222</v>
      </c>
      <c r="F26" s="3">
        <v>228.65</v>
      </c>
      <c r="G26" s="3">
        <v>203.01</v>
      </c>
      <c r="H26" s="3">
        <v>164.39</v>
      </c>
      <c r="I26" s="3">
        <v>175.3</v>
      </c>
      <c r="J26" s="3">
        <v>111.62</v>
      </c>
      <c r="K26" s="3">
        <v>198.81</v>
      </c>
      <c r="L26" s="3"/>
      <c r="N26" s="4"/>
    </row>
    <row r="27" spans="1:14" ht="17.5" thickBot="1" x14ac:dyDescent="0.45">
      <c r="A27" s="4">
        <v>42884</v>
      </c>
      <c r="B27" s="3">
        <v>151.09</v>
      </c>
      <c r="C27" s="3">
        <v>221.5</v>
      </c>
      <c r="D27" s="3">
        <v>105.72</v>
      </c>
      <c r="E27" s="3">
        <v>1.0221</v>
      </c>
      <c r="F27" s="3">
        <v>228.72</v>
      </c>
      <c r="G27" s="3">
        <v>203.08</v>
      </c>
      <c r="H27" s="3">
        <v>164.47</v>
      </c>
      <c r="I27" s="3">
        <v>175.34</v>
      </c>
      <c r="J27" s="3">
        <v>111.62</v>
      </c>
      <c r="K27" s="3">
        <v>198.9</v>
      </c>
      <c r="L27" s="3"/>
      <c r="N27" s="4"/>
    </row>
    <row r="28" spans="1:14" ht="17.5" thickBot="1" x14ac:dyDescent="0.45">
      <c r="A28" s="4">
        <v>42885</v>
      </c>
      <c r="B28" s="3">
        <v>151.09</v>
      </c>
      <c r="C28" s="3">
        <v>221.5</v>
      </c>
      <c r="D28" s="3">
        <v>105.72</v>
      </c>
      <c r="E28" s="3">
        <v>1.0221</v>
      </c>
      <c r="F28" s="3">
        <v>228.72</v>
      </c>
      <c r="G28" s="3">
        <v>203.08</v>
      </c>
      <c r="H28" s="3">
        <v>164.47</v>
      </c>
      <c r="I28" s="3">
        <v>175.34</v>
      </c>
      <c r="J28" s="3">
        <v>111.62</v>
      </c>
      <c r="K28" s="3">
        <v>198.9</v>
      </c>
      <c r="L28" s="3"/>
      <c r="N28" s="4"/>
    </row>
    <row r="29" spans="1:14" ht="17.5" thickBot="1" x14ac:dyDescent="0.45">
      <c r="A29" s="4">
        <v>42886</v>
      </c>
      <c r="B29" s="3">
        <v>151.13999999999999</v>
      </c>
      <c r="C29" s="3">
        <v>220.12</v>
      </c>
      <c r="D29" s="3">
        <v>105.81</v>
      </c>
      <c r="E29" s="3">
        <v>1.0218</v>
      </c>
      <c r="F29" s="3">
        <v>228.69</v>
      </c>
      <c r="G29" s="3">
        <v>202.8</v>
      </c>
      <c r="H29" s="3">
        <v>164.44</v>
      </c>
      <c r="I29" s="3">
        <v>174.48</v>
      </c>
      <c r="J29" s="3">
        <v>111.63</v>
      </c>
      <c r="K29" s="3">
        <v>198.95</v>
      </c>
      <c r="L29" s="3"/>
      <c r="N29" s="4"/>
    </row>
    <row r="30" spans="1:14" ht="17.5" thickBot="1" x14ac:dyDescent="0.45">
      <c r="A30" s="4">
        <v>42887</v>
      </c>
      <c r="B30" s="3">
        <v>151.11000000000001</v>
      </c>
      <c r="C30" s="3">
        <v>220.01</v>
      </c>
      <c r="D30" s="3">
        <v>105.71</v>
      </c>
      <c r="E30" s="3">
        <v>1.0248999999999999</v>
      </c>
      <c r="F30" s="3">
        <v>229.67</v>
      </c>
      <c r="G30" s="3">
        <v>204.46</v>
      </c>
      <c r="H30" s="3">
        <v>165.13</v>
      </c>
      <c r="I30" s="3">
        <v>175.67</v>
      </c>
      <c r="J30" s="3">
        <v>111.63</v>
      </c>
      <c r="K30" s="3">
        <v>199.45</v>
      </c>
      <c r="L30" s="3"/>
      <c r="N30" s="4"/>
    </row>
    <row r="31" spans="1:14" ht="17.5" thickBot="1" x14ac:dyDescent="0.45">
      <c r="A31" s="4">
        <v>42888</v>
      </c>
      <c r="B31" s="3">
        <v>152.4</v>
      </c>
      <c r="C31" s="3">
        <v>222.22</v>
      </c>
      <c r="D31" s="3">
        <v>105.81</v>
      </c>
      <c r="E31" s="3">
        <v>1.0295000000000001</v>
      </c>
      <c r="F31" s="3">
        <v>231.2</v>
      </c>
      <c r="G31" s="3">
        <v>204.99</v>
      </c>
      <c r="H31" s="3">
        <v>166.06</v>
      </c>
      <c r="I31" s="3">
        <v>176.18</v>
      </c>
      <c r="J31" s="3">
        <v>111.63</v>
      </c>
      <c r="K31" s="3">
        <v>200.34</v>
      </c>
      <c r="L31" s="3"/>
      <c r="N31" s="4"/>
    </row>
    <row r="32" spans="1:14" ht="17.5" thickBot="1" x14ac:dyDescent="0.45">
      <c r="A32" s="4">
        <v>42889</v>
      </c>
      <c r="B32" s="3">
        <v>152.4</v>
      </c>
      <c r="C32" s="3">
        <v>222.22</v>
      </c>
      <c r="D32" s="3">
        <v>105.81</v>
      </c>
      <c r="E32" s="3">
        <v>1.0295000000000001</v>
      </c>
      <c r="F32" s="3">
        <v>231.2</v>
      </c>
      <c r="G32" s="3">
        <v>204.99</v>
      </c>
      <c r="H32" s="3">
        <v>166.06</v>
      </c>
      <c r="I32" s="3">
        <v>176.18</v>
      </c>
      <c r="J32" s="3">
        <v>111.63</v>
      </c>
      <c r="K32" s="3">
        <v>200.34</v>
      </c>
      <c r="L32" s="3"/>
      <c r="N32" s="4"/>
    </row>
    <row r="33" spans="1:14" ht="17.5" thickBot="1" x14ac:dyDescent="0.45">
      <c r="A33" s="4">
        <v>42890</v>
      </c>
      <c r="B33" s="3">
        <v>152.4</v>
      </c>
      <c r="C33" s="3">
        <v>222.22</v>
      </c>
      <c r="D33" s="3">
        <v>105.81</v>
      </c>
      <c r="E33" s="3">
        <v>1.0295000000000001</v>
      </c>
      <c r="F33" s="3">
        <v>231.2</v>
      </c>
      <c r="G33" s="3">
        <v>204.99</v>
      </c>
      <c r="H33" s="3">
        <v>166.06</v>
      </c>
      <c r="I33" s="3">
        <v>176.18</v>
      </c>
      <c r="J33" s="3">
        <v>111.63</v>
      </c>
      <c r="K33" s="3">
        <v>200.34</v>
      </c>
      <c r="L33" s="3"/>
      <c r="N33" s="4"/>
    </row>
    <row r="34" spans="1:14" ht="17.5" thickBot="1" x14ac:dyDescent="0.45">
      <c r="A34" s="4">
        <v>42891</v>
      </c>
      <c r="B34" s="3">
        <v>152</v>
      </c>
      <c r="C34" s="3">
        <v>222.77</v>
      </c>
      <c r="D34" s="3">
        <v>106.17</v>
      </c>
      <c r="E34" s="3">
        <v>1.0285</v>
      </c>
      <c r="F34" s="3">
        <v>231.15</v>
      </c>
      <c r="G34" s="3">
        <v>204.67</v>
      </c>
      <c r="H34" s="3">
        <v>166.13</v>
      </c>
      <c r="I34" s="3">
        <v>176.1</v>
      </c>
      <c r="J34" s="3">
        <v>111.63</v>
      </c>
      <c r="K34" s="3">
        <v>200.37</v>
      </c>
      <c r="L34" s="3"/>
      <c r="N34" s="4"/>
    </row>
    <row r="35" spans="1:14" ht="17.5" thickBot="1" x14ac:dyDescent="0.45">
      <c r="A35" s="4">
        <v>42892</v>
      </c>
      <c r="B35" s="3">
        <v>152.54</v>
      </c>
      <c r="C35" s="3">
        <v>221.88</v>
      </c>
      <c r="D35" s="3">
        <v>106.35</v>
      </c>
      <c r="E35" s="3">
        <v>1.0278</v>
      </c>
      <c r="F35" s="3">
        <v>230.91</v>
      </c>
      <c r="G35" s="3">
        <v>203.99</v>
      </c>
      <c r="H35" s="3">
        <v>166.07</v>
      </c>
      <c r="I35" s="3">
        <v>175.95</v>
      </c>
      <c r="J35" s="3">
        <v>111.63</v>
      </c>
      <c r="K35" s="3">
        <v>200.44</v>
      </c>
      <c r="L35" s="3"/>
      <c r="N35" s="4"/>
    </row>
    <row r="36" spans="1:14" ht="17.5" thickBot="1" x14ac:dyDescent="0.45">
      <c r="A36" s="4">
        <v>42893</v>
      </c>
      <c r="B36" s="3">
        <v>152.54</v>
      </c>
      <c r="C36" s="3">
        <v>221.63</v>
      </c>
      <c r="D36" s="3">
        <v>106.44</v>
      </c>
      <c r="E36" s="3">
        <v>1.0275000000000001</v>
      </c>
      <c r="F36" s="3">
        <v>231.24</v>
      </c>
      <c r="G36" s="3">
        <v>204.37</v>
      </c>
      <c r="H36" s="3">
        <v>166.29</v>
      </c>
      <c r="I36" s="3">
        <v>176.23</v>
      </c>
      <c r="J36" s="3">
        <v>111.63</v>
      </c>
      <c r="K36" s="3">
        <v>200.6</v>
      </c>
      <c r="L36" s="3"/>
      <c r="N36" s="4"/>
    </row>
    <row r="37" spans="1:14" ht="17.5" thickBot="1" x14ac:dyDescent="0.45">
      <c r="A37" s="4">
        <v>42894</v>
      </c>
      <c r="B37" s="3">
        <v>153.13999999999999</v>
      </c>
      <c r="C37" s="3">
        <v>221.77</v>
      </c>
      <c r="D37" s="3">
        <v>106.35</v>
      </c>
      <c r="E37" s="3">
        <v>1.0267999999999999</v>
      </c>
      <c r="F37" s="3">
        <v>231.33</v>
      </c>
      <c r="G37" s="3">
        <v>204.65</v>
      </c>
      <c r="H37" s="3">
        <v>166.27</v>
      </c>
      <c r="I37" s="3">
        <v>176.25</v>
      </c>
      <c r="J37" s="3">
        <v>111.63</v>
      </c>
      <c r="K37" s="3">
        <v>200.51</v>
      </c>
      <c r="L37" s="3"/>
      <c r="N37" s="4"/>
    </row>
    <row r="38" spans="1:14" ht="17.5" thickBot="1" x14ac:dyDescent="0.45">
      <c r="A38" s="4">
        <v>42895</v>
      </c>
      <c r="B38" s="3">
        <v>152.91</v>
      </c>
      <c r="C38" s="3">
        <v>222.67</v>
      </c>
      <c r="D38" s="3">
        <v>106.16</v>
      </c>
      <c r="E38" s="3">
        <v>1.0267999999999999</v>
      </c>
      <c r="F38" s="3">
        <v>231.15</v>
      </c>
      <c r="G38" s="3">
        <v>204.59</v>
      </c>
      <c r="H38" s="3">
        <v>166.1</v>
      </c>
      <c r="I38" s="3">
        <v>175.8</v>
      </c>
      <c r="J38" s="3">
        <v>111.63</v>
      </c>
      <c r="K38" s="3">
        <v>200.33</v>
      </c>
      <c r="L38" s="3"/>
      <c r="N38" s="4"/>
    </row>
    <row r="39" spans="1:14" ht="17.5" thickBot="1" x14ac:dyDescent="0.45">
      <c r="A39" s="4">
        <v>42896</v>
      </c>
      <c r="B39" s="3">
        <v>152.91</v>
      </c>
      <c r="C39" s="3">
        <v>222.67</v>
      </c>
      <c r="D39" s="3">
        <v>106.16</v>
      </c>
      <c r="E39" s="3">
        <v>1.0267999999999999</v>
      </c>
      <c r="F39" s="3">
        <v>231.15</v>
      </c>
      <c r="G39" s="3">
        <v>204.59</v>
      </c>
      <c r="H39" s="3">
        <v>166.1</v>
      </c>
      <c r="I39" s="3">
        <v>175.8</v>
      </c>
      <c r="J39" s="3">
        <v>111.63</v>
      </c>
      <c r="K39" s="3">
        <v>200.33</v>
      </c>
      <c r="L39" s="3"/>
      <c r="N39" s="4"/>
    </row>
    <row r="40" spans="1:14" ht="17.5" thickBot="1" x14ac:dyDescent="0.45">
      <c r="A40" s="4">
        <v>42897</v>
      </c>
      <c r="B40" s="3">
        <v>152.91</v>
      </c>
      <c r="C40" s="3">
        <v>222.67</v>
      </c>
      <c r="D40" s="3">
        <v>106.16</v>
      </c>
      <c r="E40" s="3">
        <v>1.0267999999999999</v>
      </c>
      <c r="F40" s="3">
        <v>231.15</v>
      </c>
      <c r="G40" s="3">
        <v>204.59</v>
      </c>
      <c r="H40" s="3">
        <v>166.1</v>
      </c>
      <c r="I40" s="3">
        <v>175.8</v>
      </c>
      <c r="J40" s="3">
        <v>111.63</v>
      </c>
      <c r="K40" s="3">
        <v>200.33</v>
      </c>
      <c r="L40" s="3"/>
      <c r="N40" s="4"/>
    </row>
    <row r="41" spans="1:14" ht="17.5" thickBot="1" x14ac:dyDescent="0.45">
      <c r="A41" s="4">
        <v>42898</v>
      </c>
      <c r="B41" s="3">
        <v>151.5</v>
      </c>
      <c r="C41" s="3">
        <v>221.15</v>
      </c>
      <c r="D41" s="3">
        <v>106.07</v>
      </c>
      <c r="E41" s="3">
        <v>1.0253000000000001</v>
      </c>
      <c r="F41" s="3">
        <v>229.54</v>
      </c>
      <c r="G41" s="3">
        <v>204.57</v>
      </c>
      <c r="H41" s="3">
        <v>165.4</v>
      </c>
      <c r="I41" s="3">
        <v>175.61</v>
      </c>
      <c r="J41" s="3">
        <v>111.63</v>
      </c>
      <c r="K41" s="3">
        <v>199.78</v>
      </c>
      <c r="L41" s="3"/>
      <c r="N41" s="4"/>
    </row>
    <row r="42" spans="1:14" ht="17.5" thickBot="1" x14ac:dyDescent="0.45">
      <c r="A42" s="4">
        <v>42899</v>
      </c>
      <c r="B42" s="3">
        <v>152.09</v>
      </c>
      <c r="C42" s="3">
        <v>222.7</v>
      </c>
      <c r="D42" s="3">
        <v>106.16</v>
      </c>
      <c r="E42" s="3">
        <v>1.028</v>
      </c>
      <c r="F42" s="3">
        <v>230.39</v>
      </c>
      <c r="G42" s="3">
        <v>205.37</v>
      </c>
      <c r="H42" s="3">
        <v>165.84</v>
      </c>
      <c r="I42" s="3">
        <v>176.46</v>
      </c>
      <c r="J42" s="3">
        <v>111.63</v>
      </c>
      <c r="K42" s="3">
        <v>200.14</v>
      </c>
      <c r="L42" s="3"/>
      <c r="N42" s="4"/>
    </row>
    <row r="43" spans="1:14" ht="17.5" thickBot="1" x14ac:dyDescent="0.45">
      <c r="A43" s="4">
        <v>42900</v>
      </c>
      <c r="B43" s="3">
        <v>152.06</v>
      </c>
      <c r="C43" s="3">
        <v>224.55</v>
      </c>
      <c r="D43" s="3">
        <v>106.52</v>
      </c>
      <c r="E43" s="3">
        <v>1.0302</v>
      </c>
      <c r="F43" s="3">
        <v>230.76</v>
      </c>
      <c r="G43" s="3">
        <v>205.04</v>
      </c>
      <c r="H43" s="3">
        <v>165.99</v>
      </c>
      <c r="I43" s="3">
        <v>176.53</v>
      </c>
      <c r="J43" s="3">
        <v>111.63</v>
      </c>
      <c r="K43" s="3">
        <v>200.51</v>
      </c>
      <c r="L43" s="3"/>
      <c r="N43" s="4"/>
    </row>
    <row r="44" spans="1:14" ht="17.5" thickBot="1" x14ac:dyDescent="0.45">
      <c r="A44" s="4">
        <v>42901</v>
      </c>
      <c r="B44" s="3">
        <v>150.26</v>
      </c>
      <c r="C44" s="3">
        <v>222.57</v>
      </c>
      <c r="D44" s="3">
        <v>106.43</v>
      </c>
      <c r="E44" s="3">
        <v>1.0249999999999999</v>
      </c>
      <c r="F44" s="3">
        <v>228.84</v>
      </c>
      <c r="G44" s="3">
        <v>204.97</v>
      </c>
      <c r="H44" s="3">
        <v>165.13</v>
      </c>
      <c r="I44" s="3">
        <v>175.97</v>
      </c>
      <c r="J44" s="3">
        <v>111.63</v>
      </c>
      <c r="K44" s="3">
        <v>199.62</v>
      </c>
      <c r="L44" s="3"/>
      <c r="N44" s="4"/>
    </row>
    <row r="45" spans="1:14" ht="17.5" thickBot="1" x14ac:dyDescent="0.45">
      <c r="A45" s="4">
        <v>42902</v>
      </c>
      <c r="B45" s="3">
        <v>150.51</v>
      </c>
      <c r="C45" s="3">
        <v>222.8</v>
      </c>
      <c r="D45" s="3">
        <v>106.33</v>
      </c>
      <c r="E45" s="3">
        <v>1.0267999999999999</v>
      </c>
      <c r="F45" s="3">
        <v>229.33</v>
      </c>
      <c r="G45" s="3">
        <v>204.79</v>
      </c>
      <c r="H45" s="3">
        <v>165.17</v>
      </c>
      <c r="I45" s="3">
        <v>175.95</v>
      </c>
      <c r="J45" s="3">
        <v>111.63</v>
      </c>
      <c r="K45" s="3">
        <v>199.7</v>
      </c>
      <c r="L45" s="3"/>
      <c r="N45" s="4"/>
    </row>
    <row r="46" spans="1:14" ht="17.5" thickBot="1" x14ac:dyDescent="0.45">
      <c r="A46" s="4">
        <v>42903</v>
      </c>
      <c r="B46" s="3">
        <v>150.51</v>
      </c>
      <c r="C46" s="3">
        <v>222.8</v>
      </c>
      <c r="D46" s="3">
        <v>106.33</v>
      </c>
      <c r="E46" s="3">
        <v>1.0267999999999999</v>
      </c>
      <c r="F46" s="3">
        <v>229.33</v>
      </c>
      <c r="G46" s="3">
        <v>204.79</v>
      </c>
      <c r="H46" s="3">
        <v>165.17</v>
      </c>
      <c r="I46" s="3">
        <v>175.95</v>
      </c>
      <c r="J46" s="3">
        <v>111.63</v>
      </c>
      <c r="K46" s="3">
        <v>199.7</v>
      </c>
      <c r="L46" s="3"/>
      <c r="N46" s="4"/>
    </row>
    <row r="47" spans="1:14" ht="17.5" thickBot="1" x14ac:dyDescent="0.45">
      <c r="A47" s="4">
        <v>42904</v>
      </c>
      <c r="B47" s="3">
        <v>150.51</v>
      </c>
      <c r="C47" s="3">
        <v>222.8</v>
      </c>
      <c r="D47" s="3">
        <v>106.33</v>
      </c>
      <c r="E47" s="3">
        <v>1.0267999999999999</v>
      </c>
      <c r="F47" s="3">
        <v>229.33</v>
      </c>
      <c r="G47" s="3">
        <v>204.79</v>
      </c>
      <c r="H47" s="3">
        <v>165.17</v>
      </c>
      <c r="I47" s="3">
        <v>175.95</v>
      </c>
      <c r="J47" s="3">
        <v>111.63</v>
      </c>
      <c r="K47" s="3">
        <v>199.7</v>
      </c>
      <c r="L47" s="3"/>
      <c r="N47" s="4"/>
    </row>
    <row r="48" spans="1:14" ht="17.5" thickBot="1" x14ac:dyDescent="0.45">
      <c r="A48" s="4">
        <v>42905</v>
      </c>
      <c r="B48" s="3">
        <v>152.29</v>
      </c>
      <c r="C48" s="3">
        <v>224.38</v>
      </c>
      <c r="D48" s="3">
        <v>106.33</v>
      </c>
      <c r="E48" s="3">
        <v>1.0309999999999999</v>
      </c>
      <c r="F48" s="3">
        <v>231.35</v>
      </c>
      <c r="G48" s="3">
        <v>206.59</v>
      </c>
      <c r="H48" s="3">
        <v>166.37</v>
      </c>
      <c r="I48" s="3">
        <v>177.25</v>
      </c>
      <c r="J48" s="3">
        <v>111.63</v>
      </c>
      <c r="K48" s="3">
        <v>200.64</v>
      </c>
      <c r="L48" s="3"/>
      <c r="N48" s="4"/>
    </row>
    <row r="49" spans="1:14" ht="17.5" thickBot="1" x14ac:dyDescent="0.45">
      <c r="A49" s="4">
        <v>42906</v>
      </c>
      <c r="B49" s="3">
        <v>151.68</v>
      </c>
      <c r="C49" s="3">
        <v>224.99</v>
      </c>
      <c r="D49" s="3">
        <v>106.23</v>
      </c>
      <c r="E49" s="3">
        <v>1.0277000000000001</v>
      </c>
      <c r="F49" s="3">
        <v>230.69</v>
      </c>
      <c r="G49" s="3">
        <v>204.9</v>
      </c>
      <c r="H49" s="3">
        <v>166.1</v>
      </c>
      <c r="I49" s="3">
        <v>175.5</v>
      </c>
      <c r="J49" s="3">
        <v>111.63</v>
      </c>
      <c r="K49" s="3">
        <v>200.43</v>
      </c>
      <c r="L49" s="3"/>
      <c r="N49" s="4"/>
    </row>
    <row r="50" spans="1:14" ht="17.5" thickBot="1" x14ac:dyDescent="0.45">
      <c r="A50" s="4">
        <v>42907</v>
      </c>
      <c r="B50" s="3">
        <v>150.78</v>
      </c>
      <c r="C50" s="3">
        <v>222.04</v>
      </c>
      <c r="D50" s="3">
        <v>106.14</v>
      </c>
      <c r="E50" s="3">
        <v>1.0267999999999999</v>
      </c>
      <c r="F50" s="3">
        <v>229.87</v>
      </c>
      <c r="G50" s="3">
        <v>204.57</v>
      </c>
      <c r="H50" s="3">
        <v>165.66</v>
      </c>
      <c r="I50" s="3">
        <v>175.4</v>
      </c>
      <c r="J50" s="3">
        <v>111.63</v>
      </c>
      <c r="K50" s="3">
        <v>200.08</v>
      </c>
      <c r="L50" s="3"/>
      <c r="N50" s="4"/>
    </row>
    <row r="51" spans="1:14" ht="17.5" thickBot="1" x14ac:dyDescent="0.45">
      <c r="A51" s="4">
        <v>42908</v>
      </c>
      <c r="B51" s="3">
        <v>151.41</v>
      </c>
      <c r="C51" s="3">
        <v>223.41</v>
      </c>
      <c r="D51" s="3">
        <v>106.23</v>
      </c>
      <c r="E51" s="3">
        <v>1.0276000000000001</v>
      </c>
      <c r="F51" s="3">
        <v>230.16</v>
      </c>
      <c r="G51" s="3">
        <v>204.16</v>
      </c>
      <c r="H51" s="3">
        <v>165.78</v>
      </c>
      <c r="I51" s="3">
        <v>175.51</v>
      </c>
      <c r="J51" s="3">
        <v>111.63</v>
      </c>
      <c r="K51" s="3">
        <v>200.21</v>
      </c>
      <c r="L51" s="3"/>
      <c r="N51" s="4"/>
    </row>
    <row r="52" spans="1:14" ht="17.5" thickBot="1" x14ac:dyDescent="0.45">
      <c r="A52" s="4">
        <v>42909</v>
      </c>
      <c r="B52" s="3">
        <v>151.72999999999999</v>
      </c>
      <c r="C52" s="3">
        <v>223.82</v>
      </c>
      <c r="D52" s="3">
        <v>106.41</v>
      </c>
      <c r="E52" s="3">
        <v>1.0285</v>
      </c>
      <c r="F52" s="3">
        <v>230.54</v>
      </c>
      <c r="G52" s="3">
        <v>204.41</v>
      </c>
      <c r="H52" s="3">
        <v>165.99</v>
      </c>
      <c r="I52" s="3">
        <v>175.73</v>
      </c>
      <c r="J52" s="3">
        <v>111.63</v>
      </c>
      <c r="K52" s="3">
        <v>200.41</v>
      </c>
      <c r="L52" s="3"/>
      <c r="N52" s="4"/>
    </row>
    <row r="53" spans="1:14" ht="17.5" thickBot="1" x14ac:dyDescent="0.45">
      <c r="A53" s="4">
        <v>42910</v>
      </c>
      <c r="B53" s="3">
        <v>151.72999999999999</v>
      </c>
      <c r="C53" s="3">
        <v>223.82</v>
      </c>
      <c r="D53" s="3">
        <v>106.41</v>
      </c>
      <c r="E53" s="3">
        <v>1.0285</v>
      </c>
      <c r="F53" s="3">
        <v>230.54</v>
      </c>
      <c r="G53" s="3">
        <v>204.41</v>
      </c>
      <c r="H53" s="3">
        <v>165.99</v>
      </c>
      <c r="I53" s="3">
        <v>175.73</v>
      </c>
      <c r="J53" s="3">
        <v>111.63</v>
      </c>
      <c r="K53" s="3">
        <v>200.41</v>
      </c>
      <c r="L53" s="3"/>
      <c r="N53" s="4"/>
    </row>
    <row r="54" spans="1:14" ht="17.5" thickBot="1" x14ac:dyDescent="0.45">
      <c r="A54" s="4">
        <v>42911</v>
      </c>
      <c r="B54" s="3">
        <v>151.72999999999999</v>
      </c>
      <c r="C54" s="3">
        <v>223.82</v>
      </c>
      <c r="D54" s="3">
        <v>106.41</v>
      </c>
      <c r="E54" s="3">
        <v>1.0285</v>
      </c>
      <c r="F54" s="3">
        <v>230.54</v>
      </c>
      <c r="G54" s="3">
        <v>204.41</v>
      </c>
      <c r="H54" s="3">
        <v>165.99</v>
      </c>
      <c r="I54" s="3">
        <v>175.73</v>
      </c>
      <c r="J54" s="3">
        <v>111.63</v>
      </c>
      <c r="K54" s="3">
        <v>200.41</v>
      </c>
      <c r="L54" s="3"/>
      <c r="N54" s="4"/>
    </row>
    <row r="55" spans="1:14" ht="17.5" thickBot="1" x14ac:dyDescent="0.45">
      <c r="A55" s="4">
        <v>42912</v>
      </c>
      <c r="B55" s="3">
        <v>152.46</v>
      </c>
      <c r="C55" s="3">
        <v>225.71</v>
      </c>
      <c r="D55" s="3">
        <v>106.41</v>
      </c>
      <c r="E55" s="3">
        <v>1.0299</v>
      </c>
      <c r="F55" s="3">
        <v>231.53</v>
      </c>
      <c r="G55" s="3">
        <v>204.76</v>
      </c>
      <c r="H55" s="3">
        <v>166.5</v>
      </c>
      <c r="I55" s="3">
        <v>176.48</v>
      </c>
      <c r="J55" s="3">
        <v>111.63</v>
      </c>
      <c r="K55" s="3">
        <v>200.89</v>
      </c>
      <c r="L55" s="3"/>
      <c r="N55" s="4"/>
    </row>
    <row r="56" spans="1:14" ht="17.5" thickBot="1" x14ac:dyDescent="0.45">
      <c r="A56" s="4">
        <v>42913</v>
      </c>
      <c r="B56" s="3">
        <v>152.13999999999999</v>
      </c>
      <c r="C56" s="3">
        <v>225.53</v>
      </c>
      <c r="D56" s="3">
        <v>106.5</v>
      </c>
      <c r="E56" s="3">
        <v>1.0250999999999999</v>
      </c>
      <c r="F56" s="3">
        <v>231.34</v>
      </c>
      <c r="G56" s="3">
        <v>203.25</v>
      </c>
      <c r="H56" s="3">
        <v>166.25</v>
      </c>
      <c r="I56" s="3">
        <v>174.8</v>
      </c>
      <c r="J56" s="3">
        <v>111.63</v>
      </c>
      <c r="K56" s="3">
        <v>200.54</v>
      </c>
      <c r="L56" s="3"/>
      <c r="N56" s="4"/>
    </row>
    <row r="57" spans="1:14" ht="17.5" thickBot="1" x14ac:dyDescent="0.45">
      <c r="A57" s="4">
        <v>42914</v>
      </c>
      <c r="B57" s="3">
        <v>151.74</v>
      </c>
      <c r="C57" s="3">
        <v>224.79</v>
      </c>
      <c r="D57" s="3">
        <v>106.22</v>
      </c>
      <c r="E57" s="3">
        <v>1.0289999999999999</v>
      </c>
      <c r="F57" s="3">
        <v>231.3</v>
      </c>
      <c r="G57" s="3">
        <v>205.49</v>
      </c>
      <c r="H57" s="3">
        <v>166.22</v>
      </c>
      <c r="I57" s="3">
        <v>176.51</v>
      </c>
      <c r="J57" s="3">
        <v>111.63</v>
      </c>
      <c r="K57" s="3">
        <v>200.5</v>
      </c>
      <c r="L57" s="3"/>
      <c r="N57" s="4"/>
    </row>
    <row r="58" spans="1:14" ht="17.5" thickBot="1" x14ac:dyDescent="0.45">
      <c r="A58" s="4">
        <v>42915</v>
      </c>
      <c r="B58" s="3">
        <v>152.55000000000001</v>
      </c>
      <c r="C58" s="3">
        <v>227.29</v>
      </c>
      <c r="D58" s="3">
        <v>106.22</v>
      </c>
      <c r="E58" s="3">
        <v>1.0245</v>
      </c>
      <c r="F58" s="3">
        <v>231.68</v>
      </c>
      <c r="G58" s="3">
        <v>203.57</v>
      </c>
      <c r="H58" s="3">
        <v>166.4</v>
      </c>
      <c r="I58" s="3">
        <v>175.09</v>
      </c>
      <c r="J58" s="3">
        <v>111.63</v>
      </c>
      <c r="K58" s="3">
        <v>200.5</v>
      </c>
      <c r="L58" s="3"/>
      <c r="N58" s="4"/>
    </row>
    <row r="59" spans="1:14" ht="17.5" thickBot="1" x14ac:dyDescent="0.45">
      <c r="A59" s="4">
        <v>42916</v>
      </c>
      <c r="B59" s="3">
        <v>151.94</v>
      </c>
      <c r="C59" s="3">
        <v>225.28</v>
      </c>
      <c r="D59" s="3">
        <v>106.03</v>
      </c>
      <c r="E59" s="3">
        <v>1.0228999999999999</v>
      </c>
      <c r="F59" s="3">
        <v>230.71</v>
      </c>
      <c r="G59" s="3">
        <v>203.96</v>
      </c>
      <c r="H59" s="3">
        <v>165.89</v>
      </c>
      <c r="I59" s="3">
        <v>175.58</v>
      </c>
      <c r="J59" s="3">
        <v>111.64</v>
      </c>
      <c r="K59" s="3">
        <v>199.99</v>
      </c>
      <c r="L59" s="3"/>
      <c r="N59" s="4"/>
    </row>
    <row r="60" spans="1:14" ht="17.5" thickBot="1" x14ac:dyDescent="0.45">
      <c r="A60" s="4">
        <v>42917</v>
      </c>
      <c r="B60" s="3">
        <v>151.94</v>
      </c>
      <c r="C60" s="3">
        <v>225.28</v>
      </c>
      <c r="D60" s="3">
        <v>106.03</v>
      </c>
      <c r="E60" s="3">
        <v>1.0228999999999999</v>
      </c>
      <c r="F60" s="3">
        <v>230.71</v>
      </c>
      <c r="G60" s="3">
        <v>203.96</v>
      </c>
      <c r="H60" s="3">
        <v>165.89</v>
      </c>
      <c r="I60" s="3">
        <v>175.58</v>
      </c>
      <c r="J60" s="3">
        <v>111.64</v>
      </c>
      <c r="K60" s="3">
        <v>199.99</v>
      </c>
      <c r="L60" s="3"/>
      <c r="N60" s="4"/>
    </row>
    <row r="61" spans="1:14" ht="17.5" thickBot="1" x14ac:dyDescent="0.45">
      <c r="A61" s="4">
        <v>42918</v>
      </c>
      <c r="B61" s="3">
        <v>151.94</v>
      </c>
      <c r="C61" s="3">
        <v>225.28</v>
      </c>
      <c r="D61" s="3">
        <v>106.03</v>
      </c>
      <c r="E61" s="3">
        <v>1.0228999999999999</v>
      </c>
      <c r="F61" s="3">
        <v>230.71</v>
      </c>
      <c r="G61" s="3">
        <v>203.96</v>
      </c>
      <c r="H61" s="3">
        <v>165.89</v>
      </c>
      <c r="I61" s="3">
        <v>175.58</v>
      </c>
      <c r="J61" s="3">
        <v>111.64</v>
      </c>
      <c r="K61" s="3">
        <v>199.99</v>
      </c>
      <c r="L61" s="3"/>
      <c r="N61" s="4"/>
    </row>
    <row r="62" spans="1:14" ht="17.5" thickBot="1" x14ac:dyDescent="0.45">
      <c r="A62" s="4">
        <v>42919</v>
      </c>
      <c r="B62" s="3">
        <v>152.18</v>
      </c>
      <c r="C62" s="3">
        <v>225.49</v>
      </c>
      <c r="D62" s="3">
        <v>105.65</v>
      </c>
      <c r="E62" s="3">
        <v>1.0241</v>
      </c>
      <c r="F62" s="3">
        <v>231.23</v>
      </c>
      <c r="G62" s="3">
        <v>204.52</v>
      </c>
      <c r="H62" s="3">
        <v>166.02</v>
      </c>
      <c r="I62" s="3">
        <v>176.1</v>
      </c>
      <c r="J62" s="3">
        <v>111.64</v>
      </c>
      <c r="K62" s="3">
        <v>199.99</v>
      </c>
      <c r="L62" s="3"/>
      <c r="N62" s="4"/>
    </row>
    <row r="63" spans="1:14" ht="17.5" thickBot="1" x14ac:dyDescent="0.45">
      <c r="A63" s="4">
        <v>42920</v>
      </c>
      <c r="B63" s="3">
        <v>150.79</v>
      </c>
      <c r="C63" s="3">
        <v>225.19</v>
      </c>
      <c r="D63" s="3">
        <v>105.65</v>
      </c>
      <c r="E63" s="3">
        <v>1.0228999999999999</v>
      </c>
      <c r="F63" s="3">
        <v>229.34</v>
      </c>
      <c r="G63" s="3">
        <v>204.51</v>
      </c>
      <c r="H63" s="3">
        <v>164.99</v>
      </c>
      <c r="I63" s="3">
        <v>176.07</v>
      </c>
      <c r="J63" s="3">
        <v>111.64</v>
      </c>
      <c r="K63" s="3">
        <v>199.12</v>
      </c>
      <c r="L63" s="3"/>
      <c r="N63" s="4"/>
    </row>
    <row r="64" spans="1:14" ht="17.5" thickBot="1" x14ac:dyDescent="0.45">
      <c r="A64" s="4">
        <v>42921</v>
      </c>
      <c r="B64" s="3">
        <v>151.41999999999999</v>
      </c>
      <c r="C64" s="3">
        <v>225.64</v>
      </c>
      <c r="D64" s="3">
        <v>105.65</v>
      </c>
      <c r="E64" s="3">
        <v>1.0237000000000001</v>
      </c>
      <c r="F64" s="3">
        <v>230.13</v>
      </c>
      <c r="G64" s="3">
        <v>204.6</v>
      </c>
      <c r="H64" s="3">
        <v>165.47</v>
      </c>
      <c r="I64" s="3">
        <v>176.41</v>
      </c>
      <c r="J64" s="3">
        <v>111.64</v>
      </c>
      <c r="K64" s="3">
        <v>199.52</v>
      </c>
      <c r="L64" s="3"/>
      <c r="N64" s="4"/>
    </row>
    <row r="65" spans="1:14" ht="17.5" thickBot="1" x14ac:dyDescent="0.45">
      <c r="A65" s="4">
        <v>42922</v>
      </c>
      <c r="B65" s="3">
        <v>151.78</v>
      </c>
      <c r="C65" s="3">
        <v>225.12</v>
      </c>
      <c r="D65" s="3">
        <v>105.65</v>
      </c>
      <c r="E65" s="3">
        <v>1.0195000000000001</v>
      </c>
      <c r="F65" s="3">
        <v>229.93</v>
      </c>
      <c r="G65" s="3">
        <v>202.85</v>
      </c>
      <c r="H65" s="3">
        <v>165.22</v>
      </c>
      <c r="I65" s="3">
        <v>174.78</v>
      </c>
      <c r="J65" s="3">
        <v>111.64</v>
      </c>
      <c r="K65" s="3">
        <v>199.22</v>
      </c>
      <c r="L65" s="3"/>
      <c r="N65" s="4"/>
    </row>
    <row r="66" spans="1:14" ht="17.5" thickBot="1" x14ac:dyDescent="0.45">
      <c r="A66" s="4">
        <v>42923</v>
      </c>
      <c r="B66" s="3">
        <v>150.78</v>
      </c>
      <c r="C66" s="3">
        <v>224.62</v>
      </c>
      <c r="D66" s="3">
        <v>105.46</v>
      </c>
      <c r="E66" s="3">
        <v>1.0199</v>
      </c>
      <c r="F66" s="3">
        <v>229.4</v>
      </c>
      <c r="G66" s="3">
        <v>203.98</v>
      </c>
      <c r="H66" s="3">
        <v>164.96</v>
      </c>
      <c r="I66" s="3">
        <v>175.93</v>
      </c>
      <c r="J66" s="3">
        <v>111.64</v>
      </c>
      <c r="K66" s="3">
        <v>198.91</v>
      </c>
      <c r="L66" s="3"/>
      <c r="N66" s="4"/>
    </row>
    <row r="67" spans="1:14" ht="17.5" thickBot="1" x14ac:dyDescent="0.45">
      <c r="A67" s="4">
        <v>42924</v>
      </c>
      <c r="B67" s="3">
        <v>150.78</v>
      </c>
      <c r="C67" s="3">
        <v>224.62</v>
      </c>
      <c r="D67" s="3">
        <v>105.46</v>
      </c>
      <c r="E67" s="3">
        <v>1.0199</v>
      </c>
      <c r="F67" s="3">
        <v>229.4</v>
      </c>
      <c r="G67" s="3">
        <v>203.98</v>
      </c>
      <c r="H67" s="3">
        <v>164.96</v>
      </c>
      <c r="I67" s="3">
        <v>175.93</v>
      </c>
      <c r="J67" s="3">
        <v>111.64</v>
      </c>
      <c r="K67" s="3">
        <v>198.91</v>
      </c>
      <c r="L67" s="3"/>
      <c r="N67" s="4"/>
    </row>
    <row r="68" spans="1:14" ht="17.5" thickBot="1" x14ac:dyDescent="0.45">
      <c r="A68" s="4">
        <v>42925</v>
      </c>
      <c r="B68" s="3">
        <v>150.78</v>
      </c>
      <c r="C68" s="3">
        <v>224.62</v>
      </c>
      <c r="D68" s="3">
        <v>105.46</v>
      </c>
      <c r="E68" s="3">
        <v>1.0199</v>
      </c>
      <c r="F68" s="3">
        <v>229.4</v>
      </c>
      <c r="G68" s="3">
        <v>203.98</v>
      </c>
      <c r="H68" s="3">
        <v>164.96</v>
      </c>
      <c r="I68" s="3">
        <v>175.93</v>
      </c>
      <c r="J68" s="3">
        <v>111.64</v>
      </c>
      <c r="K68" s="3">
        <v>198.91</v>
      </c>
      <c r="L68" s="3"/>
      <c r="N68" s="4"/>
    </row>
    <row r="69" spans="1:14" ht="17.5" thickBot="1" x14ac:dyDescent="0.45">
      <c r="A69" s="4">
        <v>42926</v>
      </c>
      <c r="B69" s="3">
        <v>151.44</v>
      </c>
      <c r="C69" s="3">
        <v>226.01</v>
      </c>
      <c r="D69" s="3">
        <v>105.46</v>
      </c>
      <c r="E69" s="3">
        <v>1.0222</v>
      </c>
      <c r="F69" s="3">
        <v>230.34</v>
      </c>
      <c r="G69" s="3">
        <v>204.09</v>
      </c>
      <c r="H69" s="3">
        <v>165.46</v>
      </c>
      <c r="I69" s="3">
        <v>176.64</v>
      </c>
      <c r="J69" s="3">
        <v>111.64</v>
      </c>
      <c r="K69" s="3">
        <v>199.37</v>
      </c>
      <c r="L69" s="3"/>
      <c r="N69" s="4"/>
    </row>
    <row r="70" spans="1:14" ht="17.5" thickBot="1" x14ac:dyDescent="0.45">
      <c r="A70" s="4">
        <v>42927</v>
      </c>
      <c r="B70" s="3">
        <v>153.88</v>
      </c>
      <c r="C70" s="3">
        <v>227.86</v>
      </c>
      <c r="D70" s="3">
        <v>105.45</v>
      </c>
      <c r="E70" s="3">
        <v>1.0222</v>
      </c>
      <c r="F70" s="3">
        <v>231.67</v>
      </c>
      <c r="G70" s="3">
        <v>204</v>
      </c>
      <c r="H70" s="3">
        <v>166.29</v>
      </c>
      <c r="I70" s="3">
        <v>176.88</v>
      </c>
      <c r="J70" s="3">
        <v>111.64</v>
      </c>
      <c r="K70" s="3">
        <v>200.03</v>
      </c>
      <c r="L70" s="3"/>
      <c r="N70" s="4"/>
    </row>
    <row r="71" spans="1:14" ht="17.5" thickBot="1" x14ac:dyDescent="0.45">
      <c r="A71" s="4">
        <v>42928</v>
      </c>
      <c r="B71" s="3">
        <v>154.85</v>
      </c>
      <c r="C71" s="3">
        <v>228.49</v>
      </c>
      <c r="D71" s="3">
        <v>105.82</v>
      </c>
      <c r="E71" s="3">
        <v>1.0286</v>
      </c>
      <c r="F71" s="3">
        <v>233.2</v>
      </c>
      <c r="G71" s="3">
        <v>205.65</v>
      </c>
      <c r="H71" s="3">
        <v>167.13</v>
      </c>
      <c r="I71" s="3">
        <v>178.67</v>
      </c>
      <c r="J71" s="3">
        <v>111.64</v>
      </c>
      <c r="K71" s="3">
        <v>200.87</v>
      </c>
      <c r="L71" s="3"/>
      <c r="N71" s="4"/>
    </row>
    <row r="72" spans="1:14" ht="17.5" thickBot="1" x14ac:dyDescent="0.45">
      <c r="A72" s="4">
        <v>42929</v>
      </c>
      <c r="B72" s="3">
        <v>156.71</v>
      </c>
      <c r="C72" s="3">
        <v>231.57</v>
      </c>
      <c r="D72" s="3">
        <v>106.19</v>
      </c>
      <c r="E72" s="3">
        <v>1.0298</v>
      </c>
      <c r="F72" s="3">
        <v>234.86</v>
      </c>
      <c r="G72" s="3">
        <v>206.28</v>
      </c>
      <c r="H72" s="3">
        <v>168.05</v>
      </c>
      <c r="I72" s="3">
        <v>178.98</v>
      </c>
      <c r="J72" s="3">
        <v>111.64</v>
      </c>
      <c r="K72" s="3">
        <v>201.59</v>
      </c>
      <c r="L72" s="3"/>
      <c r="N72" s="4"/>
    </row>
    <row r="73" spans="1:14" ht="17.5" thickBot="1" x14ac:dyDescent="0.45">
      <c r="A73" s="4">
        <v>42930</v>
      </c>
      <c r="B73" s="3">
        <v>157.02000000000001</v>
      </c>
      <c r="C73" s="3">
        <v>232.82</v>
      </c>
      <c r="D73" s="3">
        <v>106.28</v>
      </c>
      <c r="E73" s="3">
        <v>1.0334000000000001</v>
      </c>
      <c r="F73" s="3">
        <v>235.78</v>
      </c>
      <c r="G73" s="3">
        <v>207.29</v>
      </c>
      <c r="H73" s="3">
        <v>168.6</v>
      </c>
      <c r="I73" s="3">
        <v>179.98</v>
      </c>
      <c r="J73" s="3">
        <v>111.64</v>
      </c>
      <c r="K73" s="3">
        <v>202.13</v>
      </c>
      <c r="L73" s="3"/>
      <c r="N73" s="4"/>
    </row>
    <row r="74" spans="1:14" ht="17.5" thickBot="1" x14ac:dyDescent="0.45">
      <c r="A74" s="4">
        <v>42931</v>
      </c>
      <c r="B74" s="3">
        <v>157.02000000000001</v>
      </c>
      <c r="C74" s="3">
        <v>232.82</v>
      </c>
      <c r="D74" s="3">
        <v>106.28</v>
      </c>
      <c r="E74" s="3">
        <v>1.0334000000000001</v>
      </c>
      <c r="F74" s="3">
        <v>235.78</v>
      </c>
      <c r="G74" s="3">
        <v>207.29</v>
      </c>
      <c r="H74" s="3">
        <v>168.6</v>
      </c>
      <c r="I74" s="3">
        <v>179.98</v>
      </c>
      <c r="J74" s="3">
        <v>111.64</v>
      </c>
      <c r="K74" s="3">
        <v>202.13</v>
      </c>
      <c r="L74" s="3"/>
      <c r="N74" s="4"/>
    </row>
    <row r="75" spans="1:14" ht="17.5" thickBot="1" x14ac:dyDescent="0.45">
      <c r="A75" s="4">
        <v>42932</v>
      </c>
      <c r="B75" s="3">
        <v>157.02000000000001</v>
      </c>
      <c r="C75" s="3">
        <v>232.82</v>
      </c>
      <c r="D75" s="3">
        <v>106.28</v>
      </c>
      <c r="E75" s="3">
        <v>1.0334000000000001</v>
      </c>
      <c r="F75" s="3">
        <v>235.78</v>
      </c>
      <c r="G75" s="3">
        <v>207.29</v>
      </c>
      <c r="H75" s="3">
        <v>168.6</v>
      </c>
      <c r="I75" s="3">
        <v>179.98</v>
      </c>
      <c r="J75" s="3">
        <v>111.64</v>
      </c>
      <c r="K75" s="3">
        <v>202.13</v>
      </c>
      <c r="L75" s="3"/>
      <c r="N75" s="4"/>
    </row>
    <row r="76" spans="1:14" ht="17.5" thickBot="1" x14ac:dyDescent="0.45">
      <c r="A76" s="4">
        <v>42933</v>
      </c>
      <c r="B76" s="3">
        <v>157.62</v>
      </c>
      <c r="C76" s="3">
        <v>233.49</v>
      </c>
      <c r="D76" s="3">
        <v>106.46</v>
      </c>
      <c r="E76" s="3">
        <v>1.0341</v>
      </c>
      <c r="F76" s="3">
        <v>236.07</v>
      </c>
      <c r="G76" s="3">
        <v>207.31</v>
      </c>
      <c r="H76" s="3">
        <v>168.75</v>
      </c>
      <c r="I76" s="3">
        <v>179.84</v>
      </c>
      <c r="J76" s="3">
        <v>111.64</v>
      </c>
      <c r="K76" s="3">
        <v>202.28</v>
      </c>
      <c r="L76" s="3"/>
      <c r="N76" s="4"/>
    </row>
    <row r="77" spans="1:14" ht="17.5" thickBot="1" x14ac:dyDescent="0.45">
      <c r="A77" s="4">
        <v>42934</v>
      </c>
      <c r="B77" s="3">
        <v>157.58000000000001</v>
      </c>
      <c r="C77" s="3">
        <v>233.81</v>
      </c>
      <c r="D77" s="3">
        <v>106.83</v>
      </c>
      <c r="E77" s="3">
        <v>1.0353000000000001</v>
      </c>
      <c r="F77" s="3">
        <v>236.33</v>
      </c>
      <c r="G77" s="3">
        <v>207.3</v>
      </c>
      <c r="H77" s="3">
        <v>168.97</v>
      </c>
      <c r="I77" s="3">
        <v>180.14</v>
      </c>
      <c r="J77" s="3">
        <v>111.64</v>
      </c>
      <c r="K77" s="3">
        <v>202.66</v>
      </c>
      <c r="L77" s="3"/>
      <c r="N77" s="4"/>
    </row>
    <row r="78" spans="1:14" ht="17.5" thickBot="1" x14ac:dyDescent="0.45">
      <c r="A78" s="4">
        <v>42935</v>
      </c>
      <c r="B78" s="3">
        <v>158.53</v>
      </c>
      <c r="C78" s="3">
        <v>235.25</v>
      </c>
      <c r="D78" s="3">
        <v>106.92</v>
      </c>
      <c r="E78" s="3">
        <v>1.0386</v>
      </c>
      <c r="F78" s="3">
        <v>237.83</v>
      </c>
      <c r="G78" s="3">
        <v>208.82</v>
      </c>
      <c r="H78" s="3">
        <v>169.92</v>
      </c>
      <c r="I78" s="3">
        <v>180.96</v>
      </c>
      <c r="J78" s="3">
        <v>111.64</v>
      </c>
      <c r="K78" s="3">
        <v>203.47</v>
      </c>
      <c r="L78" s="3"/>
      <c r="N78" s="4"/>
    </row>
    <row r="79" spans="1:14" ht="17.5" thickBot="1" x14ac:dyDescent="0.45">
      <c r="A79" s="4">
        <v>42936</v>
      </c>
      <c r="B79" s="3">
        <v>158.79</v>
      </c>
      <c r="C79" s="3">
        <v>235.41</v>
      </c>
      <c r="D79" s="3">
        <v>106.92</v>
      </c>
      <c r="E79" s="3">
        <v>1.0405</v>
      </c>
      <c r="F79" s="3">
        <v>238.43</v>
      </c>
      <c r="G79" s="3">
        <v>209.11</v>
      </c>
      <c r="H79" s="3">
        <v>170.27</v>
      </c>
      <c r="I79" s="3">
        <v>181.1</v>
      </c>
      <c r="J79" s="3">
        <v>111.64</v>
      </c>
      <c r="K79" s="3">
        <v>203.83</v>
      </c>
      <c r="L79" s="3"/>
      <c r="N79" s="4"/>
    </row>
    <row r="80" spans="1:14" ht="17.5" thickBot="1" x14ac:dyDescent="0.45">
      <c r="A80" s="4">
        <v>42937</v>
      </c>
      <c r="B80" s="3">
        <v>158.88</v>
      </c>
      <c r="C80" s="3">
        <v>235.17</v>
      </c>
      <c r="D80" s="3">
        <v>107.1</v>
      </c>
      <c r="E80" s="3">
        <v>1.0397000000000001</v>
      </c>
      <c r="F80" s="3">
        <v>237.89</v>
      </c>
      <c r="G80" s="3">
        <v>208.79</v>
      </c>
      <c r="H80" s="3">
        <v>170.14</v>
      </c>
      <c r="I80" s="3">
        <v>180.81</v>
      </c>
      <c r="J80" s="3">
        <v>111.64</v>
      </c>
      <c r="K80" s="3">
        <v>203.82</v>
      </c>
      <c r="L80" s="3"/>
      <c r="N80" s="4"/>
    </row>
    <row r="81" spans="1:14" ht="17.5" thickBot="1" x14ac:dyDescent="0.45">
      <c r="A81" s="4">
        <v>42938</v>
      </c>
      <c r="B81" s="3">
        <v>158.88</v>
      </c>
      <c r="C81" s="3">
        <v>235.17</v>
      </c>
      <c r="D81" s="3">
        <v>107.1</v>
      </c>
      <c r="E81" s="3">
        <v>1.0397000000000001</v>
      </c>
      <c r="F81" s="3">
        <v>237.89</v>
      </c>
      <c r="G81" s="3">
        <v>208.79</v>
      </c>
      <c r="H81" s="3">
        <v>170.14</v>
      </c>
      <c r="I81" s="3">
        <v>180.81</v>
      </c>
      <c r="J81" s="3">
        <v>111.64</v>
      </c>
      <c r="K81" s="3">
        <v>203.82</v>
      </c>
      <c r="L81" s="3"/>
      <c r="N81" s="4"/>
    </row>
    <row r="82" spans="1:14" ht="17.5" thickBot="1" x14ac:dyDescent="0.45">
      <c r="A82" s="4">
        <v>42939</v>
      </c>
      <c r="B82" s="3">
        <v>158.88</v>
      </c>
      <c r="C82" s="3">
        <v>235.17</v>
      </c>
      <c r="D82" s="3">
        <v>107.1</v>
      </c>
      <c r="E82" s="3">
        <v>1.0397000000000001</v>
      </c>
      <c r="F82" s="3">
        <v>237.89</v>
      </c>
      <c r="G82" s="3">
        <v>208.79</v>
      </c>
      <c r="H82" s="3">
        <v>170.14</v>
      </c>
      <c r="I82" s="3">
        <v>180.81</v>
      </c>
      <c r="J82" s="3">
        <v>111.64</v>
      </c>
      <c r="K82" s="3">
        <v>203.82</v>
      </c>
      <c r="L82" s="3"/>
      <c r="N82" s="4"/>
    </row>
    <row r="83" spans="1:14" ht="17.5" thickBot="1" x14ac:dyDescent="0.45">
      <c r="A83" s="4">
        <v>42940</v>
      </c>
      <c r="B83" s="3">
        <v>159.59</v>
      </c>
      <c r="C83" s="3">
        <v>235.74</v>
      </c>
      <c r="D83" s="3">
        <v>107.19</v>
      </c>
      <c r="E83" s="3">
        <v>1.0383</v>
      </c>
      <c r="F83" s="3">
        <v>238.24</v>
      </c>
      <c r="G83" s="3">
        <v>208.78</v>
      </c>
      <c r="H83" s="3">
        <v>170.37</v>
      </c>
      <c r="I83" s="3">
        <v>180.8</v>
      </c>
      <c r="J83" s="3">
        <v>111.64</v>
      </c>
      <c r="K83" s="3">
        <v>203.95</v>
      </c>
      <c r="L83" s="3"/>
      <c r="N83" s="4"/>
    </row>
    <row r="84" spans="1:14" ht="17.5" thickBot="1" x14ac:dyDescent="0.45">
      <c r="A84" s="4">
        <v>42941</v>
      </c>
      <c r="B84" s="3">
        <v>159.27000000000001</v>
      </c>
      <c r="C84" s="3">
        <v>236.1</v>
      </c>
      <c r="D84" s="3">
        <v>107.19</v>
      </c>
      <c r="E84" s="3">
        <v>1.0385</v>
      </c>
      <c r="F84" s="3">
        <v>238.52</v>
      </c>
      <c r="G84" s="3">
        <v>209.62</v>
      </c>
      <c r="H84" s="3">
        <v>170.41</v>
      </c>
      <c r="I84" s="3">
        <v>181.27</v>
      </c>
      <c r="J84" s="3">
        <v>111.64</v>
      </c>
      <c r="K84" s="3">
        <v>203.87</v>
      </c>
      <c r="L84" s="3"/>
      <c r="N84" s="4"/>
    </row>
    <row r="85" spans="1:14" ht="17.5" thickBot="1" x14ac:dyDescent="0.45">
      <c r="A85" s="4">
        <v>42942</v>
      </c>
      <c r="B85" s="3">
        <v>159.82</v>
      </c>
      <c r="C85" s="3">
        <v>236.19</v>
      </c>
      <c r="D85" s="3">
        <v>107</v>
      </c>
      <c r="E85" s="3">
        <v>1.0392999999999999</v>
      </c>
      <c r="F85" s="3">
        <v>238.54</v>
      </c>
      <c r="G85" s="3">
        <v>209.81</v>
      </c>
      <c r="H85" s="3">
        <v>170.36</v>
      </c>
      <c r="I85" s="3">
        <v>181.42</v>
      </c>
      <c r="J85" s="3">
        <v>111.64</v>
      </c>
      <c r="K85" s="3">
        <v>203.83</v>
      </c>
      <c r="L85" s="3"/>
      <c r="N85" s="4"/>
    </row>
    <row r="86" spans="1:14" ht="17.5" thickBot="1" x14ac:dyDescent="0.45">
      <c r="A86" s="4">
        <v>42943</v>
      </c>
      <c r="B86" s="3">
        <v>160.83000000000001</v>
      </c>
      <c r="C86" s="3">
        <v>238.09</v>
      </c>
      <c r="D86" s="3">
        <v>107.37</v>
      </c>
      <c r="E86" s="3">
        <v>1.0402</v>
      </c>
      <c r="F86" s="3">
        <v>239.74</v>
      </c>
      <c r="G86" s="3">
        <v>210.28</v>
      </c>
      <c r="H86" s="3">
        <v>171.12</v>
      </c>
      <c r="I86" s="3">
        <v>181.05</v>
      </c>
      <c r="J86" s="3">
        <v>111.64</v>
      </c>
      <c r="K86" s="3">
        <v>204.5</v>
      </c>
      <c r="L86" s="3"/>
      <c r="N86" s="4"/>
    </row>
    <row r="87" spans="1:14" ht="17.5" thickBot="1" x14ac:dyDescent="0.45">
      <c r="A87" s="4">
        <v>42944</v>
      </c>
      <c r="B87" s="3">
        <v>159.91</v>
      </c>
      <c r="C87" s="3">
        <v>234.72</v>
      </c>
      <c r="D87" s="3">
        <v>107.37</v>
      </c>
      <c r="E87" s="3">
        <v>1.0388999999999999</v>
      </c>
      <c r="F87" s="3">
        <v>238.44</v>
      </c>
      <c r="G87" s="3">
        <v>210.32</v>
      </c>
      <c r="H87" s="3">
        <v>170.46</v>
      </c>
      <c r="I87" s="3">
        <v>181.04</v>
      </c>
      <c r="J87" s="3">
        <v>111.64</v>
      </c>
      <c r="K87" s="3">
        <v>204</v>
      </c>
      <c r="L87" s="3"/>
      <c r="N87" s="4"/>
    </row>
    <row r="88" spans="1:14" ht="17.5" thickBot="1" x14ac:dyDescent="0.45">
      <c r="A88" s="4">
        <v>42945</v>
      </c>
      <c r="B88" s="3">
        <v>159.91</v>
      </c>
      <c r="C88" s="3">
        <v>234.72</v>
      </c>
      <c r="D88" s="3">
        <v>107.37</v>
      </c>
      <c r="E88" s="3">
        <v>1.0388999999999999</v>
      </c>
      <c r="F88" s="3">
        <v>238.44</v>
      </c>
      <c r="G88" s="3">
        <v>210.32</v>
      </c>
      <c r="H88" s="3">
        <v>170.46</v>
      </c>
      <c r="I88" s="3">
        <v>181.04</v>
      </c>
      <c r="J88" s="3">
        <v>111.64</v>
      </c>
      <c r="K88" s="3">
        <v>204</v>
      </c>
      <c r="L88" s="3"/>
      <c r="N88" s="4"/>
    </row>
    <row r="89" spans="1:14" ht="17.5" thickBot="1" x14ac:dyDescent="0.45">
      <c r="A89" s="4">
        <v>42946</v>
      </c>
      <c r="B89" s="3">
        <v>159.91</v>
      </c>
      <c r="C89" s="3">
        <v>234.72</v>
      </c>
      <c r="D89" s="3">
        <v>107.37</v>
      </c>
      <c r="E89" s="3">
        <v>1.0388999999999999</v>
      </c>
      <c r="F89" s="3">
        <v>238.44</v>
      </c>
      <c r="G89" s="3">
        <v>210.32</v>
      </c>
      <c r="H89" s="3">
        <v>170.46</v>
      </c>
      <c r="I89" s="3">
        <v>181.04</v>
      </c>
      <c r="J89" s="3">
        <v>111.64</v>
      </c>
      <c r="K89" s="3">
        <v>204</v>
      </c>
      <c r="L89" s="3"/>
      <c r="N89" s="4"/>
    </row>
    <row r="90" spans="1:14" ht="17.5" thickBot="1" x14ac:dyDescent="0.45">
      <c r="A90" s="4">
        <v>42947</v>
      </c>
      <c r="B90" s="3">
        <v>161.22999999999999</v>
      </c>
      <c r="C90" s="3">
        <v>235.92</v>
      </c>
      <c r="D90" s="3">
        <v>107.36</v>
      </c>
      <c r="E90" s="3">
        <v>1.0395000000000001</v>
      </c>
      <c r="F90" s="3">
        <v>239.65</v>
      </c>
      <c r="G90" s="3">
        <v>210.07</v>
      </c>
      <c r="H90" s="3">
        <v>171.07</v>
      </c>
      <c r="I90" s="3">
        <v>181.17</v>
      </c>
      <c r="J90" s="3">
        <v>111.65</v>
      </c>
      <c r="K90" s="3">
        <v>204.52</v>
      </c>
      <c r="L90" s="3"/>
      <c r="N90" s="4"/>
    </row>
    <row r="91" spans="1:14" ht="17.5" thickBot="1" x14ac:dyDescent="0.45">
      <c r="A91" s="4">
        <v>42948</v>
      </c>
      <c r="B91" s="3">
        <v>163.18</v>
      </c>
      <c r="C91" s="3">
        <v>237.06</v>
      </c>
      <c r="D91" s="3">
        <v>107.27</v>
      </c>
      <c r="E91" s="3">
        <v>1.0436000000000001</v>
      </c>
      <c r="F91" s="3">
        <v>240.94</v>
      </c>
      <c r="G91" s="3">
        <v>210.6</v>
      </c>
      <c r="H91" s="3">
        <v>171.77</v>
      </c>
      <c r="I91" s="3">
        <v>181.73</v>
      </c>
      <c r="J91" s="3">
        <v>111.65</v>
      </c>
      <c r="K91" s="3">
        <v>205.23</v>
      </c>
      <c r="L91" s="3"/>
      <c r="N91" s="4"/>
    </row>
    <row r="92" spans="1:14" ht="17.5" thickBot="1" x14ac:dyDescent="0.45">
      <c r="A92" s="4">
        <v>42949</v>
      </c>
      <c r="B92" s="3">
        <v>163.53</v>
      </c>
      <c r="C92" s="3">
        <v>237.58</v>
      </c>
      <c r="D92" s="3">
        <v>107.26</v>
      </c>
      <c r="E92" s="3">
        <v>1.0442</v>
      </c>
      <c r="F92" s="3">
        <v>241.35</v>
      </c>
      <c r="G92" s="3">
        <v>210.76</v>
      </c>
      <c r="H92" s="3">
        <v>172.09</v>
      </c>
      <c r="I92" s="3">
        <v>182.08</v>
      </c>
      <c r="J92" s="3">
        <v>111.65</v>
      </c>
      <c r="K92" s="3">
        <v>205.55</v>
      </c>
      <c r="L92" s="3"/>
      <c r="N92" s="4"/>
    </row>
    <row r="93" spans="1:14" ht="17.5" thickBot="1" x14ac:dyDescent="0.45">
      <c r="A93" s="4">
        <v>42950</v>
      </c>
      <c r="B93" s="3">
        <v>163.36000000000001</v>
      </c>
      <c r="C93" s="3">
        <v>235.53</v>
      </c>
      <c r="D93" s="3">
        <v>107.26</v>
      </c>
      <c r="E93" s="3">
        <v>1.0445</v>
      </c>
      <c r="F93" s="3">
        <v>240.73</v>
      </c>
      <c r="G93" s="3">
        <v>210.43</v>
      </c>
      <c r="H93" s="3">
        <v>171.72</v>
      </c>
      <c r="I93" s="3">
        <v>181.8</v>
      </c>
      <c r="J93" s="3">
        <v>111.65</v>
      </c>
      <c r="K93" s="3">
        <v>205.34</v>
      </c>
      <c r="L93" s="3"/>
      <c r="N93" s="4"/>
    </row>
    <row r="94" spans="1:14" ht="17.5" thickBot="1" x14ac:dyDescent="0.45">
      <c r="A94" s="4">
        <v>42951</v>
      </c>
      <c r="B94" s="3">
        <v>163.35</v>
      </c>
      <c r="C94" s="3">
        <v>235.26</v>
      </c>
      <c r="D94" s="3">
        <v>107.26</v>
      </c>
      <c r="E94" s="3">
        <v>1.0437000000000001</v>
      </c>
      <c r="F94" s="3">
        <v>240.87</v>
      </c>
      <c r="G94" s="3">
        <v>210.97</v>
      </c>
      <c r="H94" s="3">
        <v>171.86</v>
      </c>
      <c r="I94" s="3">
        <v>181.98</v>
      </c>
      <c r="J94" s="3">
        <v>111.65</v>
      </c>
      <c r="K94" s="3">
        <v>205.31</v>
      </c>
      <c r="L94" s="3"/>
      <c r="N94" s="4"/>
    </row>
    <row r="95" spans="1:14" ht="17.5" thickBot="1" x14ac:dyDescent="0.45">
      <c r="A95" s="4">
        <v>42952</v>
      </c>
      <c r="B95" s="3">
        <v>163.35</v>
      </c>
      <c r="C95" s="3">
        <v>235.26</v>
      </c>
      <c r="D95" s="3">
        <v>107.26</v>
      </c>
      <c r="E95" s="3">
        <v>1.0437000000000001</v>
      </c>
      <c r="F95" s="3">
        <v>240.87</v>
      </c>
      <c r="G95" s="3">
        <v>210.97</v>
      </c>
      <c r="H95" s="3">
        <v>171.86</v>
      </c>
      <c r="I95" s="3">
        <v>181.98</v>
      </c>
      <c r="J95" s="3">
        <v>111.65</v>
      </c>
      <c r="K95" s="3">
        <v>205.31</v>
      </c>
      <c r="L95" s="3"/>
      <c r="N95" s="4"/>
    </row>
    <row r="96" spans="1:14" ht="17.5" thickBot="1" x14ac:dyDescent="0.45">
      <c r="A96" s="4">
        <v>42953</v>
      </c>
      <c r="B96" s="3">
        <v>163.35</v>
      </c>
      <c r="C96" s="3">
        <v>235.26</v>
      </c>
      <c r="D96" s="3">
        <v>107.26</v>
      </c>
      <c r="E96" s="3">
        <v>1.0437000000000001</v>
      </c>
      <c r="F96" s="3">
        <v>240.87</v>
      </c>
      <c r="G96" s="3">
        <v>210.97</v>
      </c>
      <c r="H96" s="3">
        <v>171.86</v>
      </c>
      <c r="I96" s="3">
        <v>181.98</v>
      </c>
      <c r="J96" s="3">
        <v>111.65</v>
      </c>
      <c r="K96" s="3">
        <v>205.31</v>
      </c>
      <c r="L96" s="3"/>
      <c r="N96" s="4"/>
    </row>
    <row r="97" spans="1:14" ht="17.5" thickBot="1" x14ac:dyDescent="0.45">
      <c r="A97" s="4">
        <v>42954</v>
      </c>
      <c r="B97" s="3">
        <v>163.92</v>
      </c>
      <c r="C97" s="3">
        <v>236.42</v>
      </c>
      <c r="D97" s="3">
        <v>107.16</v>
      </c>
      <c r="E97" s="3">
        <v>1.046</v>
      </c>
      <c r="F97" s="3">
        <v>241.77</v>
      </c>
      <c r="G97" s="3">
        <v>211.45</v>
      </c>
      <c r="H97" s="3">
        <v>172.39</v>
      </c>
      <c r="I97" s="3">
        <v>182.59</v>
      </c>
      <c r="J97" s="3">
        <v>111.65</v>
      </c>
      <c r="K97" s="3">
        <v>205.77</v>
      </c>
      <c r="L97" s="3"/>
      <c r="N97" s="4"/>
    </row>
    <row r="98" spans="1:14" ht="17.5" thickBot="1" x14ac:dyDescent="0.45">
      <c r="A98" s="4">
        <v>42955</v>
      </c>
      <c r="B98" s="3">
        <v>164.9</v>
      </c>
      <c r="C98" s="3">
        <v>235.9</v>
      </c>
      <c r="D98" s="3">
        <v>107.16</v>
      </c>
      <c r="E98" s="3">
        <v>1.0445</v>
      </c>
      <c r="F98" s="3">
        <v>242.01</v>
      </c>
      <c r="G98" s="3">
        <v>211.11</v>
      </c>
      <c r="H98" s="3">
        <v>172.54</v>
      </c>
      <c r="I98" s="3">
        <v>182.35</v>
      </c>
      <c r="J98" s="3">
        <v>111.65</v>
      </c>
      <c r="K98" s="3">
        <v>205.81</v>
      </c>
      <c r="L98" s="3"/>
      <c r="N98" s="4"/>
    </row>
    <row r="99" spans="1:14" ht="17.5" thickBot="1" x14ac:dyDescent="0.45">
      <c r="A99" s="4">
        <v>42956</v>
      </c>
      <c r="B99" s="3">
        <v>164.16</v>
      </c>
      <c r="C99" s="3">
        <v>233.65</v>
      </c>
      <c r="D99" s="3">
        <v>106.97</v>
      </c>
      <c r="E99" s="3">
        <v>1.0427999999999999</v>
      </c>
      <c r="F99" s="3">
        <v>240.93</v>
      </c>
      <c r="G99" s="3">
        <v>210.45</v>
      </c>
      <c r="H99" s="3">
        <v>171.94</v>
      </c>
      <c r="I99" s="3">
        <v>181.89</v>
      </c>
      <c r="J99" s="3">
        <v>111.65</v>
      </c>
      <c r="K99" s="3">
        <v>205.34</v>
      </c>
      <c r="L99" s="3"/>
      <c r="N99" s="4"/>
    </row>
    <row r="100" spans="1:14" ht="17.5" thickBot="1" x14ac:dyDescent="0.45">
      <c r="A100" s="4">
        <v>42957</v>
      </c>
      <c r="B100" s="3">
        <v>162.26</v>
      </c>
      <c r="C100" s="3">
        <v>232.11</v>
      </c>
      <c r="D100" s="3">
        <v>106.97</v>
      </c>
      <c r="E100" s="3">
        <v>1.0367999999999999</v>
      </c>
      <c r="F100" s="3">
        <v>238.7</v>
      </c>
      <c r="G100" s="3">
        <v>207.08</v>
      </c>
      <c r="H100" s="3">
        <v>170.59</v>
      </c>
      <c r="I100" s="3">
        <v>179.3</v>
      </c>
      <c r="J100" s="3">
        <v>111.65</v>
      </c>
      <c r="K100" s="3">
        <v>204.34</v>
      </c>
      <c r="L100" s="3"/>
      <c r="N100" s="4"/>
    </row>
    <row r="101" spans="1:14" ht="17.5" thickBot="1" x14ac:dyDescent="0.45">
      <c r="A101" s="4">
        <v>42958</v>
      </c>
      <c r="B101" s="3">
        <v>159.37</v>
      </c>
      <c r="C101" s="3">
        <v>228.79</v>
      </c>
      <c r="D101" s="3">
        <v>107.06</v>
      </c>
      <c r="E101" s="3">
        <v>1.0359</v>
      </c>
      <c r="F101" s="3">
        <v>236.33</v>
      </c>
      <c r="G101" s="3">
        <v>207.52</v>
      </c>
      <c r="H101" s="3">
        <v>169.38</v>
      </c>
      <c r="I101" s="3">
        <v>179.66</v>
      </c>
      <c r="J101" s="3">
        <v>111.65</v>
      </c>
      <c r="K101" s="3">
        <v>203.46</v>
      </c>
      <c r="L101" s="3"/>
      <c r="N101" s="4"/>
    </row>
    <row r="102" spans="1:14" ht="17.5" thickBot="1" x14ac:dyDescent="0.45">
      <c r="A102" s="4">
        <v>42959</v>
      </c>
      <c r="B102" s="3">
        <v>159.37</v>
      </c>
      <c r="C102" s="3">
        <v>228.79</v>
      </c>
      <c r="D102" s="3">
        <v>107.06</v>
      </c>
      <c r="E102" s="3">
        <v>1.0359</v>
      </c>
      <c r="F102" s="3">
        <v>236.33</v>
      </c>
      <c r="G102" s="3">
        <v>207.52</v>
      </c>
      <c r="H102" s="3">
        <v>169.38</v>
      </c>
      <c r="I102" s="3">
        <v>179.66</v>
      </c>
      <c r="J102" s="3">
        <v>111.65</v>
      </c>
      <c r="K102" s="3">
        <v>203.46</v>
      </c>
      <c r="L102" s="3"/>
      <c r="N102" s="4"/>
    </row>
    <row r="103" spans="1:14" ht="17.5" thickBot="1" x14ac:dyDescent="0.45">
      <c r="A103" s="4">
        <v>42960</v>
      </c>
      <c r="B103" s="3">
        <v>159.37</v>
      </c>
      <c r="C103" s="3">
        <v>228.79</v>
      </c>
      <c r="D103" s="3">
        <v>107.06</v>
      </c>
      <c r="E103" s="3">
        <v>1.0359</v>
      </c>
      <c r="F103" s="3">
        <v>236.33</v>
      </c>
      <c r="G103" s="3">
        <v>207.52</v>
      </c>
      <c r="H103" s="3">
        <v>169.38</v>
      </c>
      <c r="I103" s="3">
        <v>179.66</v>
      </c>
      <c r="J103" s="3">
        <v>111.65</v>
      </c>
      <c r="K103" s="3">
        <v>203.46</v>
      </c>
      <c r="L103" s="3"/>
      <c r="N103" s="4"/>
    </row>
    <row r="104" spans="1:14" ht="17.5" thickBot="1" x14ac:dyDescent="0.45">
      <c r="A104" s="4">
        <v>42961</v>
      </c>
      <c r="B104" s="3">
        <v>160.84</v>
      </c>
      <c r="C104" s="3">
        <v>230.48</v>
      </c>
      <c r="D104" s="3">
        <v>107.15</v>
      </c>
      <c r="E104" s="3">
        <v>1.0405</v>
      </c>
      <c r="F104" s="3">
        <v>238.27</v>
      </c>
      <c r="G104" s="3">
        <v>209.33</v>
      </c>
      <c r="H104" s="3">
        <v>170.37</v>
      </c>
      <c r="I104" s="3">
        <v>181.41</v>
      </c>
      <c r="J104" s="3">
        <v>111.65</v>
      </c>
      <c r="K104" s="3">
        <v>204.21</v>
      </c>
      <c r="L104" s="3"/>
      <c r="N104" s="4"/>
    </row>
    <row r="105" spans="1:14" ht="17.5" thickBot="1" x14ac:dyDescent="0.45">
      <c r="A105" s="4">
        <v>42962</v>
      </c>
      <c r="B105" s="3">
        <v>160.69</v>
      </c>
      <c r="C105" s="3">
        <v>230.48</v>
      </c>
      <c r="D105" s="3">
        <v>106.87</v>
      </c>
      <c r="E105" s="3">
        <v>1.0389999999999999</v>
      </c>
      <c r="F105" s="3">
        <v>238.18</v>
      </c>
      <c r="G105" s="3">
        <v>209.32</v>
      </c>
      <c r="H105" s="3">
        <v>170.39</v>
      </c>
      <c r="I105" s="3">
        <v>181.65</v>
      </c>
      <c r="J105" s="3">
        <v>111.65</v>
      </c>
      <c r="K105" s="3">
        <v>204.07</v>
      </c>
      <c r="L105" s="3"/>
      <c r="N105" s="4"/>
    </row>
    <row r="106" spans="1:14" ht="17.5" thickBot="1" x14ac:dyDescent="0.45">
      <c r="A106" s="4">
        <v>42963</v>
      </c>
      <c r="B106" s="3">
        <v>162.06</v>
      </c>
      <c r="C106" s="3">
        <v>231.32</v>
      </c>
      <c r="D106" s="3">
        <v>106.87</v>
      </c>
      <c r="E106" s="3">
        <v>1.0408999999999999</v>
      </c>
      <c r="F106" s="3">
        <v>239.15</v>
      </c>
      <c r="G106" s="3">
        <v>209.53</v>
      </c>
      <c r="H106" s="3">
        <v>170.86</v>
      </c>
      <c r="I106" s="3">
        <v>182.28</v>
      </c>
      <c r="J106" s="3">
        <v>111.65</v>
      </c>
      <c r="K106" s="3">
        <v>204.48</v>
      </c>
      <c r="L106" s="3"/>
      <c r="N106" s="4"/>
    </row>
    <row r="107" spans="1:14" ht="17.5" thickBot="1" x14ac:dyDescent="0.45">
      <c r="A107" s="4">
        <v>42964</v>
      </c>
      <c r="B107" s="3">
        <v>161.80000000000001</v>
      </c>
      <c r="C107" s="3">
        <v>233.19</v>
      </c>
      <c r="D107" s="3">
        <v>107.05</v>
      </c>
      <c r="E107" s="3">
        <v>1.0367999999999999</v>
      </c>
      <c r="F107" s="3">
        <v>238.97</v>
      </c>
      <c r="G107" s="3">
        <v>206.06</v>
      </c>
      <c r="H107" s="3">
        <v>170.63</v>
      </c>
      <c r="I107" s="3">
        <v>179.41</v>
      </c>
      <c r="J107" s="3">
        <v>111.65</v>
      </c>
      <c r="K107" s="3">
        <v>204.4</v>
      </c>
      <c r="L107" s="3"/>
      <c r="N107" s="4"/>
    </row>
    <row r="108" spans="1:14" ht="17.5" thickBot="1" x14ac:dyDescent="0.45">
      <c r="A108" s="4">
        <v>42965</v>
      </c>
      <c r="B108" s="3">
        <v>160.15</v>
      </c>
      <c r="C108" s="3">
        <v>231.91</v>
      </c>
      <c r="D108" s="3">
        <v>107.14</v>
      </c>
      <c r="E108" s="3">
        <v>1.0347999999999999</v>
      </c>
      <c r="F108" s="3">
        <v>237.89</v>
      </c>
      <c r="G108" s="3">
        <v>205.82</v>
      </c>
      <c r="H108" s="3">
        <v>170.06</v>
      </c>
      <c r="I108" s="3">
        <v>179.69</v>
      </c>
      <c r="J108" s="3">
        <v>111.65</v>
      </c>
      <c r="K108" s="3">
        <v>204</v>
      </c>
      <c r="L108" s="3"/>
      <c r="N108" s="4"/>
    </row>
    <row r="109" spans="1:14" ht="17.5" thickBot="1" x14ac:dyDescent="0.45">
      <c r="A109" s="4">
        <v>42966</v>
      </c>
      <c r="B109" s="3">
        <v>160.15</v>
      </c>
      <c r="C109" s="3">
        <v>231.91</v>
      </c>
      <c r="D109" s="3">
        <v>107.14</v>
      </c>
      <c r="E109" s="3">
        <v>1.0347999999999999</v>
      </c>
      <c r="F109" s="3">
        <v>237.89</v>
      </c>
      <c r="G109" s="3">
        <v>205.82</v>
      </c>
      <c r="H109" s="3">
        <v>170.06</v>
      </c>
      <c r="I109" s="3">
        <v>179.69</v>
      </c>
      <c r="J109" s="3">
        <v>111.65</v>
      </c>
      <c r="K109" s="3">
        <v>204</v>
      </c>
      <c r="L109" s="3"/>
      <c r="N109" s="4"/>
    </row>
    <row r="110" spans="1:14" ht="17.5" thickBot="1" x14ac:dyDescent="0.45">
      <c r="A110" s="4">
        <v>42967</v>
      </c>
      <c r="B110" s="3">
        <v>160.15</v>
      </c>
      <c r="C110" s="3">
        <v>231.91</v>
      </c>
      <c r="D110" s="3">
        <v>107.14</v>
      </c>
      <c r="E110" s="3">
        <v>1.0347999999999999</v>
      </c>
      <c r="F110" s="3">
        <v>237.89</v>
      </c>
      <c r="G110" s="3">
        <v>205.82</v>
      </c>
      <c r="H110" s="3">
        <v>170.06</v>
      </c>
      <c r="I110" s="3">
        <v>179.69</v>
      </c>
      <c r="J110" s="3">
        <v>111.65</v>
      </c>
      <c r="K110" s="3">
        <v>204</v>
      </c>
      <c r="L110" s="3"/>
      <c r="N110" s="4"/>
    </row>
    <row r="111" spans="1:14" ht="17.5" thickBot="1" x14ac:dyDescent="0.45">
      <c r="A111" s="4">
        <v>42968</v>
      </c>
      <c r="B111" s="3">
        <v>160.97999999999999</v>
      </c>
      <c r="C111" s="3">
        <v>231.26</v>
      </c>
      <c r="D111" s="3">
        <v>107.32</v>
      </c>
      <c r="E111" s="3">
        <v>1.036</v>
      </c>
      <c r="F111" s="3">
        <v>238.19</v>
      </c>
      <c r="G111" s="3">
        <v>206</v>
      </c>
      <c r="H111" s="3">
        <v>170.24</v>
      </c>
      <c r="I111" s="3">
        <v>179.84</v>
      </c>
      <c r="J111" s="3">
        <v>111.65</v>
      </c>
      <c r="K111" s="3">
        <v>204.22</v>
      </c>
      <c r="L111" s="3"/>
      <c r="N111" s="4"/>
    </row>
    <row r="112" spans="1:14" ht="17.5" thickBot="1" x14ac:dyDescent="0.45">
      <c r="A112" s="4">
        <v>42969</v>
      </c>
      <c r="B112" s="3">
        <v>162.63999999999999</v>
      </c>
      <c r="C112" s="3">
        <v>232.35</v>
      </c>
      <c r="D112" s="3">
        <v>107.23</v>
      </c>
      <c r="E112" s="3">
        <v>1.0397000000000001</v>
      </c>
      <c r="F112" s="3">
        <v>239.75</v>
      </c>
      <c r="G112" s="3">
        <v>208.49</v>
      </c>
      <c r="H112" s="3">
        <v>171.17</v>
      </c>
      <c r="I112" s="3">
        <v>181.6</v>
      </c>
      <c r="J112" s="3">
        <v>111.65</v>
      </c>
      <c r="K112" s="3">
        <v>204.83</v>
      </c>
      <c r="L112" s="3"/>
      <c r="N112" s="4"/>
    </row>
    <row r="113" spans="1:14" ht="17.5" thickBot="1" x14ac:dyDescent="0.45">
      <c r="A113" s="4">
        <v>42970</v>
      </c>
      <c r="B113" s="3">
        <v>162.63999999999999</v>
      </c>
      <c r="C113" s="3">
        <v>232.35</v>
      </c>
      <c r="D113" s="3">
        <v>107.23</v>
      </c>
      <c r="E113" s="3">
        <v>1.0397000000000001</v>
      </c>
      <c r="F113" s="3">
        <v>239.75</v>
      </c>
      <c r="G113" s="3">
        <v>208.49</v>
      </c>
      <c r="H113" s="3">
        <v>171.17</v>
      </c>
      <c r="I113" s="3">
        <v>181.6</v>
      </c>
      <c r="J113" s="3">
        <v>111.65</v>
      </c>
      <c r="K113" s="3">
        <v>204.83</v>
      </c>
      <c r="L113" s="3"/>
      <c r="N113" s="4"/>
    </row>
    <row r="114" spans="1:14" ht="17.5" thickBot="1" x14ac:dyDescent="0.45">
      <c r="A114" s="4">
        <v>42971</v>
      </c>
      <c r="B114" s="3">
        <v>163.13999999999999</v>
      </c>
      <c r="C114" s="3">
        <v>233.68</v>
      </c>
      <c r="D114" s="3">
        <v>107.22</v>
      </c>
      <c r="E114" s="3">
        <v>1.0389999999999999</v>
      </c>
      <c r="F114" s="3">
        <v>240.02</v>
      </c>
      <c r="G114" s="3">
        <v>206.74</v>
      </c>
      <c r="H114" s="3">
        <v>171.24</v>
      </c>
      <c r="I114" s="3">
        <v>181.39</v>
      </c>
      <c r="J114" s="3">
        <v>111.65</v>
      </c>
      <c r="K114" s="3">
        <v>204.92</v>
      </c>
      <c r="L114" s="3"/>
      <c r="N114" s="4"/>
    </row>
    <row r="115" spans="1:14" ht="17.5" thickBot="1" x14ac:dyDescent="0.45">
      <c r="A115" s="4">
        <v>42972</v>
      </c>
      <c r="B115" s="3">
        <v>165.43</v>
      </c>
      <c r="C115" s="3">
        <v>234.26</v>
      </c>
      <c r="D115" s="3">
        <v>107.32</v>
      </c>
      <c r="E115" s="3">
        <v>1.0406</v>
      </c>
      <c r="F115" s="3">
        <v>241.05</v>
      </c>
      <c r="G115" s="3">
        <v>207.03</v>
      </c>
      <c r="H115" s="3">
        <v>171.83</v>
      </c>
      <c r="I115" s="3">
        <v>181.58</v>
      </c>
      <c r="J115" s="3">
        <v>111.65</v>
      </c>
      <c r="K115" s="3">
        <v>205.44</v>
      </c>
      <c r="L115" s="3"/>
      <c r="N115" s="4"/>
    </row>
    <row r="116" spans="1:14" ht="17.5" thickBot="1" x14ac:dyDescent="0.45">
      <c r="A116" s="4">
        <v>42973</v>
      </c>
      <c r="B116" s="3">
        <v>165.43</v>
      </c>
      <c r="C116" s="3">
        <v>234.26</v>
      </c>
      <c r="D116" s="3">
        <v>107.32</v>
      </c>
      <c r="E116" s="3">
        <v>1.0406</v>
      </c>
      <c r="F116" s="3">
        <v>241.05</v>
      </c>
      <c r="G116" s="3">
        <v>207.03</v>
      </c>
      <c r="H116" s="3">
        <v>171.83</v>
      </c>
      <c r="I116" s="3">
        <v>181.58</v>
      </c>
      <c r="J116" s="3">
        <v>111.65</v>
      </c>
      <c r="K116" s="3">
        <v>205.44</v>
      </c>
      <c r="L116" s="3"/>
      <c r="N116" s="4"/>
    </row>
    <row r="117" spans="1:14" ht="17.5" thickBot="1" x14ac:dyDescent="0.45">
      <c r="A117" s="4">
        <v>42974</v>
      </c>
      <c r="B117" s="3">
        <v>165.43</v>
      </c>
      <c r="C117" s="3">
        <v>234.26</v>
      </c>
      <c r="D117" s="3">
        <v>107.32</v>
      </c>
      <c r="E117" s="3">
        <v>1.0406</v>
      </c>
      <c r="F117" s="3">
        <v>241.05</v>
      </c>
      <c r="G117" s="3">
        <v>207.03</v>
      </c>
      <c r="H117" s="3">
        <v>171.83</v>
      </c>
      <c r="I117" s="3">
        <v>181.58</v>
      </c>
      <c r="J117" s="3">
        <v>111.65</v>
      </c>
      <c r="K117" s="3">
        <v>205.44</v>
      </c>
      <c r="L117" s="3"/>
      <c r="N117" s="4"/>
    </row>
    <row r="118" spans="1:14" ht="17.5" thickBot="1" x14ac:dyDescent="0.45">
      <c r="A118" s="4">
        <v>42975</v>
      </c>
      <c r="B118" s="3">
        <v>166.08</v>
      </c>
      <c r="C118" s="3">
        <v>233.92</v>
      </c>
      <c r="D118" s="3">
        <v>107.59</v>
      </c>
      <c r="E118" s="3">
        <v>1.0412999999999999</v>
      </c>
      <c r="F118" s="3">
        <v>241.23</v>
      </c>
      <c r="G118" s="3">
        <v>207.02</v>
      </c>
      <c r="H118" s="3">
        <v>171.98</v>
      </c>
      <c r="I118" s="3">
        <v>181.37</v>
      </c>
      <c r="J118" s="3">
        <v>111.65</v>
      </c>
      <c r="K118" s="3">
        <v>205.65</v>
      </c>
      <c r="L118" s="3"/>
      <c r="N118" s="4"/>
    </row>
    <row r="119" spans="1:14" ht="17.5" thickBot="1" x14ac:dyDescent="0.45">
      <c r="A119" s="4">
        <v>42976</v>
      </c>
      <c r="B119" s="3">
        <v>165.24</v>
      </c>
      <c r="C119" s="3">
        <v>232.46</v>
      </c>
      <c r="D119" s="3">
        <v>107.86</v>
      </c>
      <c r="E119" s="3">
        <v>1.0414000000000001</v>
      </c>
      <c r="F119" s="3">
        <v>240.85</v>
      </c>
      <c r="G119" s="3">
        <v>207.2</v>
      </c>
      <c r="H119" s="3">
        <v>171.92</v>
      </c>
      <c r="I119" s="3">
        <v>181.63</v>
      </c>
      <c r="J119" s="3">
        <v>111.65</v>
      </c>
      <c r="K119" s="3">
        <v>205.69</v>
      </c>
      <c r="L119" s="3"/>
      <c r="N119" s="4"/>
    </row>
    <row r="120" spans="1:14" ht="17.5" thickBot="1" x14ac:dyDescent="0.45">
      <c r="A120" s="4">
        <v>42977</v>
      </c>
      <c r="B120" s="3">
        <v>167.1</v>
      </c>
      <c r="C120" s="3">
        <v>232.9</v>
      </c>
      <c r="D120" s="3">
        <v>107.68</v>
      </c>
      <c r="E120" s="3">
        <v>1.0422</v>
      </c>
      <c r="F120" s="3">
        <v>241.79</v>
      </c>
      <c r="G120" s="3">
        <v>208.28</v>
      </c>
      <c r="H120" s="3">
        <v>172.49</v>
      </c>
      <c r="I120" s="3">
        <v>182.24</v>
      </c>
      <c r="J120" s="3">
        <v>111.65</v>
      </c>
      <c r="K120" s="3">
        <v>205.96</v>
      </c>
      <c r="L120" s="3"/>
      <c r="N120" s="4"/>
    </row>
    <row r="121" spans="1:14" ht="17.5" thickBot="1" x14ac:dyDescent="0.45">
      <c r="A121" s="4">
        <v>42978</v>
      </c>
      <c r="B121" s="3">
        <v>166.4</v>
      </c>
      <c r="C121" s="3">
        <v>233.32</v>
      </c>
      <c r="D121" s="3">
        <v>107.67</v>
      </c>
      <c r="E121" s="3">
        <v>1.046</v>
      </c>
      <c r="F121" s="3">
        <v>242.45</v>
      </c>
      <c r="G121" s="3">
        <v>209.28</v>
      </c>
      <c r="H121" s="3">
        <v>172.89</v>
      </c>
      <c r="I121" s="3">
        <v>183.13</v>
      </c>
      <c r="J121" s="3">
        <v>111.66</v>
      </c>
      <c r="K121" s="3">
        <v>206.33</v>
      </c>
      <c r="L121" s="3"/>
      <c r="N121" s="4"/>
    </row>
    <row r="122" spans="1:14" ht="17.5" thickBot="1" x14ac:dyDescent="0.45">
      <c r="A122" s="4">
        <v>42979</v>
      </c>
      <c r="B122" s="3">
        <v>166.4</v>
      </c>
      <c r="C122" s="3">
        <v>234.42</v>
      </c>
      <c r="D122" s="3">
        <v>107.95</v>
      </c>
      <c r="E122" s="3">
        <v>1.0472999999999999</v>
      </c>
      <c r="F122" s="3">
        <v>243.17</v>
      </c>
      <c r="G122" s="3">
        <v>210.06</v>
      </c>
      <c r="H122" s="3">
        <v>173.27</v>
      </c>
      <c r="I122" s="3">
        <v>183.86</v>
      </c>
      <c r="J122" s="3">
        <v>111.66</v>
      </c>
      <c r="K122" s="3">
        <v>206.59</v>
      </c>
      <c r="L122" s="3"/>
      <c r="N122" s="4"/>
    </row>
    <row r="123" spans="1:14" ht="17.5" thickBot="1" x14ac:dyDescent="0.45">
      <c r="A123" s="4">
        <v>42980</v>
      </c>
      <c r="B123" s="3">
        <v>166.4</v>
      </c>
      <c r="C123" s="3">
        <v>234.42</v>
      </c>
      <c r="D123" s="3">
        <v>107.95</v>
      </c>
      <c r="E123" s="3">
        <v>1.0472999999999999</v>
      </c>
      <c r="F123" s="3">
        <v>243.17</v>
      </c>
      <c r="G123" s="3">
        <v>210.06</v>
      </c>
      <c r="H123" s="3">
        <v>173.27</v>
      </c>
      <c r="I123" s="3">
        <v>183.86</v>
      </c>
      <c r="J123" s="3">
        <v>111.66</v>
      </c>
      <c r="K123" s="3">
        <v>206.59</v>
      </c>
      <c r="L123" s="3"/>
      <c r="N123" s="4"/>
    </row>
    <row r="124" spans="1:14" ht="17.5" thickBot="1" x14ac:dyDescent="0.45">
      <c r="A124" s="4">
        <v>42981</v>
      </c>
      <c r="B124" s="3">
        <v>166.4</v>
      </c>
      <c r="C124" s="3">
        <v>234.42</v>
      </c>
      <c r="D124" s="3">
        <v>107.95</v>
      </c>
      <c r="E124" s="3">
        <v>1.0472999999999999</v>
      </c>
      <c r="F124" s="3">
        <v>243.17</v>
      </c>
      <c r="G124" s="3">
        <v>210.06</v>
      </c>
      <c r="H124" s="3">
        <v>173.27</v>
      </c>
      <c r="I124" s="3">
        <v>183.86</v>
      </c>
      <c r="J124" s="3">
        <v>111.66</v>
      </c>
      <c r="K124" s="3">
        <v>206.59</v>
      </c>
      <c r="L124" s="3"/>
      <c r="N124" s="4"/>
    </row>
    <row r="125" spans="1:14" ht="17.5" thickBot="1" x14ac:dyDescent="0.45">
      <c r="A125" s="4">
        <v>42982</v>
      </c>
      <c r="B125" s="3">
        <v>165.44</v>
      </c>
      <c r="C125" s="3">
        <v>232.47</v>
      </c>
      <c r="D125" s="3">
        <v>107.94</v>
      </c>
      <c r="E125" s="3">
        <v>1.0464</v>
      </c>
      <c r="F125" s="3">
        <v>242.21</v>
      </c>
      <c r="G125" s="3">
        <v>210.02</v>
      </c>
      <c r="H125" s="3">
        <v>172.73</v>
      </c>
      <c r="I125" s="3">
        <v>183.84</v>
      </c>
      <c r="J125" s="3">
        <v>111.66</v>
      </c>
      <c r="K125" s="3">
        <v>206.21</v>
      </c>
      <c r="L125" s="3"/>
      <c r="N125" s="4"/>
    </row>
    <row r="126" spans="1:14" ht="17.5" thickBot="1" x14ac:dyDescent="0.45">
      <c r="A126" s="4">
        <v>42983</v>
      </c>
      <c r="B126" s="3">
        <v>165.44</v>
      </c>
      <c r="C126" s="3">
        <v>233.46</v>
      </c>
      <c r="D126" s="3">
        <v>108.03</v>
      </c>
      <c r="E126" s="3">
        <v>1.0451999999999999</v>
      </c>
      <c r="F126" s="3">
        <v>241.69</v>
      </c>
      <c r="G126" s="3">
        <v>208.3</v>
      </c>
      <c r="H126" s="3">
        <v>172.3</v>
      </c>
      <c r="I126" s="3">
        <v>182.56</v>
      </c>
      <c r="J126" s="3">
        <v>111.66</v>
      </c>
      <c r="K126" s="3">
        <v>206.03</v>
      </c>
      <c r="L126" s="3"/>
      <c r="N126" s="4"/>
    </row>
    <row r="127" spans="1:14" ht="17.5" thickBot="1" x14ac:dyDescent="0.45">
      <c r="A127" s="4">
        <v>42984</v>
      </c>
      <c r="B127" s="3">
        <v>164.6</v>
      </c>
      <c r="C127" s="3">
        <v>232.01</v>
      </c>
      <c r="D127" s="3">
        <v>108.22</v>
      </c>
      <c r="E127" s="3">
        <v>1.0458000000000001</v>
      </c>
      <c r="F127" s="3">
        <v>241.54</v>
      </c>
      <c r="G127" s="3">
        <v>208.84</v>
      </c>
      <c r="H127" s="3">
        <v>172.31</v>
      </c>
      <c r="I127" s="3">
        <v>183.73</v>
      </c>
      <c r="J127" s="3">
        <v>111.66</v>
      </c>
      <c r="K127" s="3">
        <v>206.02</v>
      </c>
      <c r="L127" s="3"/>
      <c r="N127" s="4"/>
    </row>
    <row r="128" spans="1:14" ht="17.5" thickBot="1" x14ac:dyDescent="0.45">
      <c r="A128" s="4">
        <v>42985</v>
      </c>
      <c r="B128" s="3">
        <v>164.25</v>
      </c>
      <c r="C128" s="3">
        <v>233.75</v>
      </c>
      <c r="D128" s="3">
        <v>108.49</v>
      </c>
      <c r="E128" s="3">
        <v>1.048</v>
      </c>
      <c r="F128" s="3">
        <v>241.86</v>
      </c>
      <c r="G128" s="3">
        <v>208.27</v>
      </c>
      <c r="H128" s="3">
        <v>172.38</v>
      </c>
      <c r="I128" s="3">
        <v>183.81</v>
      </c>
      <c r="J128" s="3">
        <v>111.66</v>
      </c>
      <c r="K128" s="3">
        <v>206.22</v>
      </c>
      <c r="L128" s="3"/>
      <c r="N128" s="4"/>
    </row>
    <row r="129" spans="1:14" ht="17.5" thickBot="1" x14ac:dyDescent="0.45">
      <c r="A129" s="4">
        <v>42986</v>
      </c>
      <c r="B129" s="3">
        <v>165.03</v>
      </c>
      <c r="C129" s="3">
        <v>234.16</v>
      </c>
      <c r="D129" s="3">
        <v>108.77</v>
      </c>
      <c r="E129" s="3">
        <v>1.0476000000000001</v>
      </c>
      <c r="F129" s="3">
        <v>242.33</v>
      </c>
      <c r="G129" s="3">
        <v>207.87</v>
      </c>
      <c r="H129" s="3">
        <v>172.65</v>
      </c>
      <c r="I129" s="3">
        <v>182.97</v>
      </c>
      <c r="J129" s="3">
        <v>111.66</v>
      </c>
      <c r="K129" s="3">
        <v>206.45</v>
      </c>
      <c r="L129" s="3"/>
      <c r="N129" s="4"/>
    </row>
    <row r="130" spans="1:14" ht="17.5" thickBot="1" x14ac:dyDescent="0.45">
      <c r="A130" s="4">
        <v>42987</v>
      </c>
      <c r="B130" s="3">
        <v>165.03</v>
      </c>
      <c r="C130" s="3">
        <v>234.16</v>
      </c>
      <c r="D130" s="3">
        <v>108.77</v>
      </c>
      <c r="E130" s="3">
        <v>1.0476000000000001</v>
      </c>
      <c r="F130" s="3">
        <v>242.33</v>
      </c>
      <c r="G130" s="3">
        <v>207.87</v>
      </c>
      <c r="H130" s="3">
        <v>172.65</v>
      </c>
      <c r="I130" s="3">
        <v>182.97</v>
      </c>
      <c r="J130" s="3">
        <v>111.66</v>
      </c>
      <c r="K130" s="3">
        <v>206.45</v>
      </c>
      <c r="L130" s="3"/>
      <c r="N130" s="4"/>
    </row>
    <row r="131" spans="1:14" ht="17.5" thickBot="1" x14ac:dyDescent="0.45">
      <c r="A131" s="4">
        <v>42988</v>
      </c>
      <c r="B131" s="3">
        <v>165.03</v>
      </c>
      <c r="C131" s="3">
        <v>234.16</v>
      </c>
      <c r="D131" s="3">
        <v>108.77</v>
      </c>
      <c r="E131" s="3">
        <v>1.0476000000000001</v>
      </c>
      <c r="F131" s="3">
        <v>242.33</v>
      </c>
      <c r="G131" s="3">
        <v>207.87</v>
      </c>
      <c r="H131" s="3">
        <v>172.65</v>
      </c>
      <c r="I131" s="3">
        <v>182.97</v>
      </c>
      <c r="J131" s="3">
        <v>111.66</v>
      </c>
      <c r="K131" s="3">
        <v>206.45</v>
      </c>
      <c r="L131" s="3"/>
      <c r="N131" s="4"/>
    </row>
    <row r="132" spans="1:14" ht="17.5" thickBot="1" x14ac:dyDescent="0.45">
      <c r="A132" s="4">
        <v>42989</v>
      </c>
      <c r="B132" s="3">
        <v>166.67</v>
      </c>
      <c r="C132" s="3">
        <v>234.86</v>
      </c>
      <c r="D132" s="3">
        <v>108.48</v>
      </c>
      <c r="E132" s="3">
        <v>1.0521</v>
      </c>
      <c r="F132" s="3">
        <v>244.21</v>
      </c>
      <c r="G132" s="3">
        <v>210.28</v>
      </c>
      <c r="H132" s="3">
        <v>173.78</v>
      </c>
      <c r="I132" s="3">
        <v>185.17</v>
      </c>
      <c r="J132" s="3">
        <v>111.66</v>
      </c>
      <c r="K132" s="3">
        <v>207.13</v>
      </c>
      <c r="L132" s="3"/>
      <c r="N132" s="4"/>
    </row>
    <row r="133" spans="1:14" ht="17.5" thickBot="1" x14ac:dyDescent="0.45">
      <c r="A133" s="4">
        <v>42990</v>
      </c>
      <c r="B133" s="3">
        <v>166.69</v>
      </c>
      <c r="C133" s="3">
        <v>236.38</v>
      </c>
      <c r="D133" s="3">
        <v>108.39</v>
      </c>
      <c r="E133" s="3">
        <v>1.0528</v>
      </c>
      <c r="F133" s="3">
        <v>244.79</v>
      </c>
      <c r="G133" s="3">
        <v>211.23</v>
      </c>
      <c r="H133" s="3">
        <v>174.1</v>
      </c>
      <c r="I133" s="3">
        <v>185.59</v>
      </c>
      <c r="J133" s="3">
        <v>111.66</v>
      </c>
      <c r="K133" s="3">
        <v>207.22</v>
      </c>
      <c r="L133" s="3"/>
      <c r="N133" s="4"/>
    </row>
    <row r="134" spans="1:14" ht="17.5" thickBot="1" x14ac:dyDescent="0.45">
      <c r="A134" s="4">
        <v>42991</v>
      </c>
      <c r="B134" s="3">
        <v>166.11</v>
      </c>
      <c r="C134" s="3">
        <v>235.55</v>
      </c>
      <c r="D134" s="3">
        <v>108.3</v>
      </c>
      <c r="E134" s="3">
        <v>1.0521</v>
      </c>
      <c r="F134" s="3">
        <v>244.71</v>
      </c>
      <c r="G134" s="3">
        <v>211.71</v>
      </c>
      <c r="H134" s="3">
        <v>174.15</v>
      </c>
      <c r="I134" s="3">
        <v>185.58</v>
      </c>
      <c r="J134" s="3">
        <v>111.66</v>
      </c>
      <c r="K134" s="3">
        <v>207.17</v>
      </c>
      <c r="L134" s="3"/>
      <c r="N134" s="4"/>
    </row>
    <row r="135" spans="1:14" ht="17.5" thickBot="1" x14ac:dyDescent="0.45">
      <c r="A135" s="4">
        <v>42992</v>
      </c>
      <c r="B135" s="3">
        <v>165.71</v>
      </c>
      <c r="C135" s="3">
        <v>235.43</v>
      </c>
      <c r="D135" s="3">
        <v>108.02</v>
      </c>
      <c r="E135" s="3">
        <v>1.0508999999999999</v>
      </c>
      <c r="F135" s="3">
        <v>244.26</v>
      </c>
      <c r="G135" s="3">
        <v>211.46</v>
      </c>
      <c r="H135" s="3">
        <v>173.86</v>
      </c>
      <c r="I135" s="3">
        <v>185.62</v>
      </c>
      <c r="J135" s="3">
        <v>111.66</v>
      </c>
      <c r="K135" s="3">
        <v>206.86</v>
      </c>
      <c r="L135" s="3"/>
      <c r="N135" s="4"/>
    </row>
    <row r="136" spans="1:14" ht="17.5" thickBot="1" x14ac:dyDescent="0.45">
      <c r="A136" s="4">
        <v>42993</v>
      </c>
      <c r="B136" s="3">
        <v>165.54</v>
      </c>
      <c r="C136" s="3">
        <v>234.92</v>
      </c>
      <c r="D136" s="3">
        <v>108.2</v>
      </c>
      <c r="E136" s="3">
        <v>1.0524</v>
      </c>
      <c r="F136" s="3">
        <v>244.58</v>
      </c>
      <c r="G136" s="3">
        <v>212.44</v>
      </c>
      <c r="H136" s="3">
        <v>174.09</v>
      </c>
      <c r="I136" s="3">
        <v>186.11</v>
      </c>
      <c r="J136" s="3">
        <v>111.66</v>
      </c>
      <c r="K136" s="3">
        <v>207.11</v>
      </c>
      <c r="L136" s="3"/>
      <c r="N136" s="4"/>
    </row>
    <row r="137" spans="1:14" ht="17.5" thickBot="1" x14ac:dyDescent="0.45">
      <c r="A137" s="4">
        <v>42994</v>
      </c>
      <c r="B137" s="3">
        <v>165.54</v>
      </c>
      <c r="C137" s="3">
        <v>234.92</v>
      </c>
      <c r="D137" s="3">
        <v>108.2</v>
      </c>
      <c r="E137" s="3">
        <v>1.0524</v>
      </c>
      <c r="F137" s="3">
        <v>244.58</v>
      </c>
      <c r="G137" s="3">
        <v>212.44</v>
      </c>
      <c r="H137" s="3">
        <v>174.09</v>
      </c>
      <c r="I137" s="3">
        <v>186.11</v>
      </c>
      <c r="J137" s="3">
        <v>111.66</v>
      </c>
      <c r="K137" s="3">
        <v>207.11</v>
      </c>
      <c r="L137" s="3"/>
      <c r="N137" s="4"/>
    </row>
    <row r="138" spans="1:14" ht="17.5" thickBot="1" x14ac:dyDescent="0.45">
      <c r="A138" s="4">
        <v>42995</v>
      </c>
      <c r="B138" s="3">
        <v>165.54</v>
      </c>
      <c r="C138" s="3">
        <v>234.92</v>
      </c>
      <c r="D138" s="3">
        <v>108.2</v>
      </c>
      <c r="E138" s="3">
        <v>1.0524</v>
      </c>
      <c r="F138" s="3">
        <v>244.58</v>
      </c>
      <c r="G138" s="3">
        <v>212.44</v>
      </c>
      <c r="H138" s="3">
        <v>174.09</v>
      </c>
      <c r="I138" s="3">
        <v>186.11</v>
      </c>
      <c r="J138" s="3">
        <v>111.66</v>
      </c>
      <c r="K138" s="3">
        <v>207.11</v>
      </c>
      <c r="L138" s="3"/>
      <c r="N138" s="4"/>
    </row>
    <row r="139" spans="1:14" ht="17.5" thickBot="1" x14ac:dyDescent="0.45">
      <c r="A139" s="4">
        <v>42996</v>
      </c>
      <c r="B139" s="3">
        <v>167.2</v>
      </c>
      <c r="C139" s="3">
        <v>237.14</v>
      </c>
      <c r="D139" s="3">
        <v>108.1</v>
      </c>
      <c r="E139" s="3">
        <v>1.0535000000000001</v>
      </c>
      <c r="F139" s="3">
        <v>246.29</v>
      </c>
      <c r="G139" s="3">
        <v>212.61</v>
      </c>
      <c r="H139" s="3">
        <v>175</v>
      </c>
      <c r="I139" s="3">
        <v>186.44</v>
      </c>
      <c r="J139" s="3">
        <v>111.66</v>
      </c>
      <c r="K139" s="3">
        <v>207.74</v>
      </c>
      <c r="L139" s="3"/>
      <c r="N139" s="4"/>
    </row>
    <row r="140" spans="1:14" ht="17.5" thickBot="1" x14ac:dyDescent="0.45">
      <c r="A140" s="4">
        <v>42997</v>
      </c>
      <c r="B140" s="3">
        <v>166.86</v>
      </c>
      <c r="C140" s="3">
        <v>236.21</v>
      </c>
      <c r="D140" s="3">
        <v>107.92</v>
      </c>
      <c r="E140" s="3">
        <v>1.0541</v>
      </c>
      <c r="F140" s="3">
        <v>246.19</v>
      </c>
      <c r="G140" s="3">
        <v>212.74</v>
      </c>
      <c r="H140" s="3">
        <v>175</v>
      </c>
      <c r="I140" s="3">
        <v>186.27</v>
      </c>
      <c r="J140" s="3">
        <v>111.66</v>
      </c>
      <c r="K140" s="3">
        <v>207.69</v>
      </c>
      <c r="L140" s="3"/>
      <c r="N140" s="4"/>
    </row>
    <row r="141" spans="1:14" ht="17.5" thickBot="1" x14ac:dyDescent="0.45">
      <c r="A141" s="4">
        <v>42998</v>
      </c>
      <c r="B141" s="3">
        <v>167.22</v>
      </c>
      <c r="C141" s="3">
        <v>236.92</v>
      </c>
      <c r="D141" s="3">
        <v>108.01</v>
      </c>
      <c r="E141" s="3">
        <v>1.0544</v>
      </c>
      <c r="F141" s="3">
        <v>246.73</v>
      </c>
      <c r="G141" s="3">
        <v>212.28</v>
      </c>
      <c r="H141" s="3">
        <v>175.26</v>
      </c>
      <c r="I141" s="3">
        <v>186.62</v>
      </c>
      <c r="J141" s="3">
        <v>111.66</v>
      </c>
      <c r="K141" s="3">
        <v>207.87</v>
      </c>
      <c r="L141" s="3"/>
      <c r="N141" s="4"/>
    </row>
    <row r="142" spans="1:14" ht="17.5" thickBot="1" x14ac:dyDescent="0.45">
      <c r="A142" s="4">
        <v>42999</v>
      </c>
      <c r="B142" s="3">
        <v>167.28</v>
      </c>
      <c r="C142" s="3">
        <v>234.88</v>
      </c>
      <c r="D142" s="3">
        <v>107.63</v>
      </c>
      <c r="E142" s="3">
        <v>1.0521</v>
      </c>
      <c r="F142" s="3">
        <v>246.01</v>
      </c>
      <c r="G142" s="3">
        <v>211.98</v>
      </c>
      <c r="H142" s="3">
        <v>174.84</v>
      </c>
      <c r="I142" s="3">
        <v>185.93</v>
      </c>
      <c r="J142" s="3">
        <v>111.66</v>
      </c>
      <c r="K142" s="3">
        <v>207.45</v>
      </c>
      <c r="L142" s="3"/>
      <c r="N142" s="4"/>
    </row>
    <row r="143" spans="1:14" ht="17.5" thickBot="1" x14ac:dyDescent="0.45">
      <c r="A143" s="4">
        <v>43000</v>
      </c>
      <c r="B143" s="3">
        <v>165.91</v>
      </c>
      <c r="C143" s="3">
        <v>234.07</v>
      </c>
      <c r="D143" s="3">
        <v>107.82</v>
      </c>
      <c r="E143" s="3">
        <v>1.0532999999999999</v>
      </c>
      <c r="F143" s="3">
        <v>245.54</v>
      </c>
      <c r="G143" s="3">
        <v>212.09</v>
      </c>
      <c r="H143" s="3">
        <v>174.53</v>
      </c>
      <c r="I143" s="3">
        <v>186.07</v>
      </c>
      <c r="J143" s="3">
        <v>111.66</v>
      </c>
      <c r="K143" s="3">
        <v>207.31</v>
      </c>
      <c r="L143" s="3"/>
      <c r="N143" s="4"/>
    </row>
    <row r="144" spans="1:14" ht="17.5" thickBot="1" x14ac:dyDescent="0.45">
      <c r="A144" s="4">
        <v>43001</v>
      </c>
      <c r="B144" s="3">
        <v>165.91</v>
      </c>
      <c r="C144" s="3">
        <v>234.07</v>
      </c>
      <c r="D144" s="3">
        <v>107.82</v>
      </c>
      <c r="E144" s="3">
        <v>1.0532999999999999</v>
      </c>
      <c r="F144" s="3">
        <v>245.54</v>
      </c>
      <c r="G144" s="3">
        <v>212.09</v>
      </c>
      <c r="H144" s="3">
        <v>174.53</v>
      </c>
      <c r="I144" s="3">
        <v>186.07</v>
      </c>
      <c r="J144" s="3">
        <v>111.66</v>
      </c>
      <c r="K144" s="3">
        <v>207.31</v>
      </c>
      <c r="L144" s="3"/>
      <c r="N144" s="4"/>
    </row>
    <row r="145" spans="1:14" ht="17.5" thickBot="1" x14ac:dyDescent="0.45">
      <c r="A145" s="4">
        <v>43002</v>
      </c>
      <c r="B145" s="3">
        <v>165.91</v>
      </c>
      <c r="C145" s="3">
        <v>234.07</v>
      </c>
      <c r="D145" s="3">
        <v>107.82</v>
      </c>
      <c r="E145" s="3">
        <v>1.0532999999999999</v>
      </c>
      <c r="F145" s="3">
        <v>245.54</v>
      </c>
      <c r="G145" s="3">
        <v>212.09</v>
      </c>
      <c r="H145" s="3">
        <v>174.53</v>
      </c>
      <c r="I145" s="3">
        <v>186.07</v>
      </c>
      <c r="J145" s="3">
        <v>111.66</v>
      </c>
      <c r="K145" s="3">
        <v>207.31</v>
      </c>
      <c r="L145" s="3"/>
      <c r="N145" s="4"/>
    </row>
    <row r="146" spans="1:14" ht="17.5" thickBot="1" x14ac:dyDescent="0.45">
      <c r="A146" s="4">
        <v>43003</v>
      </c>
      <c r="B146" s="3">
        <v>164</v>
      </c>
      <c r="C146" s="3">
        <v>233.41</v>
      </c>
      <c r="D146" s="3">
        <v>107.81</v>
      </c>
      <c r="E146" s="3">
        <v>1.0521</v>
      </c>
      <c r="F146" s="3">
        <v>243.73</v>
      </c>
      <c r="G146" s="3">
        <v>211.78</v>
      </c>
      <c r="H146" s="3">
        <v>173.58</v>
      </c>
      <c r="I146" s="3">
        <v>185.21</v>
      </c>
      <c r="J146" s="3">
        <v>111.66</v>
      </c>
      <c r="K146" s="3">
        <v>206.61</v>
      </c>
      <c r="L146" s="3"/>
      <c r="N146" s="4"/>
    </row>
    <row r="147" spans="1:14" ht="17.5" thickBot="1" x14ac:dyDescent="0.45">
      <c r="A147" s="4">
        <v>43004</v>
      </c>
      <c r="B147" s="3">
        <v>164.31</v>
      </c>
      <c r="C147" s="3">
        <v>230.44</v>
      </c>
      <c r="D147" s="3">
        <v>107.53</v>
      </c>
      <c r="E147" s="3">
        <v>1.0497000000000001</v>
      </c>
      <c r="F147" s="3">
        <v>242.89</v>
      </c>
      <c r="G147" s="3">
        <v>211.99</v>
      </c>
      <c r="H147" s="3">
        <v>173.17</v>
      </c>
      <c r="I147" s="3">
        <v>184.97</v>
      </c>
      <c r="J147" s="3">
        <v>111.66</v>
      </c>
      <c r="K147" s="3">
        <v>206.16</v>
      </c>
      <c r="L147" s="3"/>
      <c r="N147" s="4"/>
    </row>
    <row r="148" spans="1:14" ht="17.5" thickBot="1" x14ac:dyDescent="0.45">
      <c r="A148" s="4">
        <v>43005</v>
      </c>
      <c r="B148" s="3">
        <v>164.89</v>
      </c>
      <c r="C148" s="3">
        <v>229.88</v>
      </c>
      <c r="D148" s="3">
        <v>107.16</v>
      </c>
      <c r="E148" s="3">
        <v>1.0495000000000001</v>
      </c>
      <c r="F148" s="3">
        <v>243.46</v>
      </c>
      <c r="G148" s="3">
        <v>213.02</v>
      </c>
      <c r="H148" s="3">
        <v>173.49</v>
      </c>
      <c r="I148" s="3">
        <v>184.98</v>
      </c>
      <c r="J148" s="3">
        <v>111.66</v>
      </c>
      <c r="K148" s="3">
        <v>206.14</v>
      </c>
      <c r="L148" s="3"/>
      <c r="N148" s="4"/>
    </row>
    <row r="149" spans="1:14" ht="17.5" thickBot="1" x14ac:dyDescent="0.45">
      <c r="A149" s="4">
        <v>43006</v>
      </c>
      <c r="B149" s="3">
        <v>163.15</v>
      </c>
      <c r="C149" s="3">
        <v>229.49</v>
      </c>
      <c r="D149" s="3">
        <v>106.79</v>
      </c>
      <c r="E149" s="3">
        <v>1.0505</v>
      </c>
      <c r="F149" s="3">
        <v>243.42</v>
      </c>
      <c r="G149" s="3">
        <v>213.16</v>
      </c>
      <c r="H149" s="3">
        <v>173.48</v>
      </c>
      <c r="I149" s="3">
        <v>185.21</v>
      </c>
      <c r="J149" s="3">
        <v>111.66</v>
      </c>
      <c r="K149" s="3">
        <v>206.17</v>
      </c>
      <c r="L149" s="3"/>
      <c r="N149" s="4"/>
    </row>
    <row r="150" spans="1:14" ht="17.5" thickBot="1" x14ac:dyDescent="0.45">
      <c r="A150" s="4">
        <v>43007</v>
      </c>
      <c r="B150" s="3">
        <v>163.63999999999999</v>
      </c>
      <c r="C150" s="3">
        <v>230.7</v>
      </c>
      <c r="D150" s="3">
        <v>106.97</v>
      </c>
      <c r="E150" s="3">
        <v>1.0537000000000001</v>
      </c>
      <c r="F150" s="3">
        <v>244.68</v>
      </c>
      <c r="G150" s="3">
        <v>213.91</v>
      </c>
      <c r="H150" s="3">
        <v>174.18</v>
      </c>
      <c r="I150" s="3">
        <v>186.1</v>
      </c>
      <c r="J150" s="3">
        <v>111.67</v>
      </c>
      <c r="K150" s="3">
        <v>206.79</v>
      </c>
      <c r="L150" s="3"/>
      <c r="N150" s="4"/>
    </row>
    <row r="151" spans="1:14" ht="17.5" thickBot="1" x14ac:dyDescent="0.45">
      <c r="A151" s="4">
        <v>43008</v>
      </c>
      <c r="B151" s="3">
        <v>163.63999999999999</v>
      </c>
      <c r="C151" s="3">
        <v>230.7</v>
      </c>
      <c r="D151" s="3">
        <v>106.97</v>
      </c>
      <c r="E151" s="3">
        <v>1.0537000000000001</v>
      </c>
      <c r="F151" s="3">
        <v>244.68</v>
      </c>
      <c r="G151" s="3">
        <v>213.91</v>
      </c>
      <c r="H151" s="3">
        <v>174.18</v>
      </c>
      <c r="I151" s="3">
        <v>186.1</v>
      </c>
      <c r="J151" s="3">
        <v>111.67</v>
      </c>
      <c r="K151" s="3">
        <v>206.79</v>
      </c>
      <c r="L151" s="3"/>
      <c r="N151" s="4"/>
    </row>
    <row r="152" spans="1:14" ht="17.5" thickBot="1" x14ac:dyDescent="0.45">
      <c r="A152" s="4">
        <v>43009</v>
      </c>
      <c r="B152" s="3">
        <v>163.63999999999999</v>
      </c>
      <c r="C152" s="3">
        <v>230.7</v>
      </c>
      <c r="D152" s="3">
        <v>106.97</v>
      </c>
      <c r="E152" s="3">
        <v>1.0537000000000001</v>
      </c>
      <c r="F152" s="3">
        <v>244.68</v>
      </c>
      <c r="G152" s="3">
        <v>213.91</v>
      </c>
      <c r="H152" s="3">
        <v>174.18</v>
      </c>
      <c r="I152" s="3">
        <v>186.1</v>
      </c>
      <c r="J152" s="3">
        <v>111.67</v>
      </c>
      <c r="K152" s="3">
        <v>206.79</v>
      </c>
      <c r="L152" s="3"/>
      <c r="N152" s="4"/>
    </row>
    <row r="153" spans="1:14" ht="17.5" thickBot="1" x14ac:dyDescent="0.45">
      <c r="A153" s="4">
        <v>43010</v>
      </c>
      <c r="B153" s="3">
        <v>163.63999999999999</v>
      </c>
      <c r="C153" s="3">
        <v>230.7</v>
      </c>
      <c r="D153" s="3">
        <v>106.97</v>
      </c>
      <c r="E153" s="3">
        <v>1.0537000000000001</v>
      </c>
      <c r="F153" s="3">
        <v>244.68</v>
      </c>
      <c r="G153" s="3">
        <v>213.91</v>
      </c>
      <c r="H153" s="3">
        <v>174.18</v>
      </c>
      <c r="I153" s="3">
        <v>186.1</v>
      </c>
      <c r="J153" s="3">
        <v>111.67</v>
      </c>
      <c r="K153" s="3">
        <v>206.79</v>
      </c>
      <c r="L153" s="3"/>
      <c r="N153" s="4"/>
    </row>
    <row r="154" spans="1:14" ht="17.5" thickBot="1" x14ac:dyDescent="0.45">
      <c r="A154" s="4">
        <v>43011</v>
      </c>
      <c r="B154" s="3">
        <v>167.81</v>
      </c>
      <c r="C154" s="3">
        <v>231.89</v>
      </c>
      <c r="D154" s="3">
        <v>106.69</v>
      </c>
      <c r="E154" s="3">
        <v>1.0569999999999999</v>
      </c>
      <c r="F154" s="3">
        <v>247.1</v>
      </c>
      <c r="G154" s="3">
        <v>214.94</v>
      </c>
      <c r="H154" s="3">
        <v>175.62</v>
      </c>
      <c r="I154" s="3">
        <v>187.97</v>
      </c>
      <c r="J154" s="3">
        <v>111.67</v>
      </c>
      <c r="K154" s="3">
        <v>207.82</v>
      </c>
      <c r="L154" s="3"/>
      <c r="N154" s="4"/>
    </row>
    <row r="155" spans="1:14" ht="17.5" thickBot="1" x14ac:dyDescent="0.45">
      <c r="A155" s="4">
        <v>43012</v>
      </c>
      <c r="B155" s="3">
        <v>168.9</v>
      </c>
      <c r="C155" s="3">
        <v>231.83</v>
      </c>
      <c r="D155" s="3">
        <v>106.78</v>
      </c>
      <c r="E155" s="3">
        <v>1.0571999999999999</v>
      </c>
      <c r="F155" s="3">
        <v>247.63</v>
      </c>
      <c r="G155" s="3">
        <v>215.06</v>
      </c>
      <c r="H155" s="3">
        <v>175.97</v>
      </c>
      <c r="I155" s="3">
        <v>188.08</v>
      </c>
      <c r="J155" s="3">
        <v>111.67</v>
      </c>
      <c r="K155" s="3">
        <v>208.07</v>
      </c>
      <c r="L155" s="3"/>
      <c r="N155" s="4"/>
    </row>
    <row r="156" spans="1:14" ht="17.5" thickBot="1" x14ac:dyDescent="0.45">
      <c r="A156" s="4">
        <v>43013</v>
      </c>
      <c r="B156" s="3">
        <v>168.9</v>
      </c>
      <c r="C156" s="3">
        <v>231.83</v>
      </c>
      <c r="D156" s="3">
        <v>106.78</v>
      </c>
      <c r="E156" s="3">
        <v>1.0571999999999999</v>
      </c>
      <c r="F156" s="3">
        <v>247.63</v>
      </c>
      <c r="G156" s="3">
        <v>215.06</v>
      </c>
      <c r="H156" s="3">
        <v>175.97</v>
      </c>
      <c r="I156" s="3">
        <v>188.08</v>
      </c>
      <c r="J156" s="3">
        <v>111.67</v>
      </c>
      <c r="K156" s="3">
        <v>208.07</v>
      </c>
      <c r="L156" s="3"/>
      <c r="N156" s="4"/>
    </row>
    <row r="157" spans="1:14" ht="17.5" thickBot="1" x14ac:dyDescent="0.45">
      <c r="A157" s="4">
        <v>43014</v>
      </c>
      <c r="B157" s="3">
        <v>169.53</v>
      </c>
      <c r="C157" s="3">
        <v>232.33</v>
      </c>
      <c r="D157" s="3">
        <v>106.59</v>
      </c>
      <c r="E157" s="3">
        <v>1.0577000000000001</v>
      </c>
      <c r="F157" s="3">
        <v>247.9</v>
      </c>
      <c r="G157" s="3">
        <v>215.75</v>
      </c>
      <c r="H157" s="3">
        <v>176.15</v>
      </c>
      <c r="I157" s="3">
        <v>188.34</v>
      </c>
      <c r="J157" s="3">
        <v>111.67</v>
      </c>
      <c r="K157" s="3">
        <v>208.12</v>
      </c>
      <c r="L157" s="3"/>
      <c r="N157" s="4"/>
    </row>
    <row r="158" spans="1:14" ht="17.5" thickBot="1" x14ac:dyDescent="0.45">
      <c r="A158" s="4">
        <v>43015</v>
      </c>
      <c r="B158" s="3">
        <v>169.53</v>
      </c>
      <c r="C158" s="3">
        <v>232.33</v>
      </c>
      <c r="D158" s="3">
        <v>106.59</v>
      </c>
      <c r="E158" s="3">
        <v>1.0577000000000001</v>
      </c>
      <c r="F158" s="3">
        <v>247.9</v>
      </c>
      <c r="G158" s="3">
        <v>215.75</v>
      </c>
      <c r="H158" s="3">
        <v>176.15</v>
      </c>
      <c r="I158" s="3">
        <v>188.34</v>
      </c>
      <c r="J158" s="3">
        <v>111.67</v>
      </c>
      <c r="K158" s="3">
        <v>208.12</v>
      </c>
      <c r="L158" s="3"/>
      <c r="N158" s="4"/>
    </row>
    <row r="159" spans="1:14" ht="17.5" thickBot="1" x14ac:dyDescent="0.45">
      <c r="A159" s="4">
        <v>43016</v>
      </c>
      <c r="B159" s="3">
        <v>169.53</v>
      </c>
      <c r="C159" s="3">
        <v>232.33</v>
      </c>
      <c r="D159" s="3">
        <v>106.59</v>
      </c>
      <c r="E159" s="3">
        <v>1.0577000000000001</v>
      </c>
      <c r="F159" s="3">
        <v>247.9</v>
      </c>
      <c r="G159" s="3">
        <v>215.75</v>
      </c>
      <c r="H159" s="3">
        <v>176.15</v>
      </c>
      <c r="I159" s="3">
        <v>188.34</v>
      </c>
      <c r="J159" s="3">
        <v>111.67</v>
      </c>
      <c r="K159" s="3">
        <v>208.12</v>
      </c>
      <c r="L159" s="3"/>
      <c r="N159" s="4"/>
    </row>
    <row r="160" spans="1:14" ht="17.5" thickBot="1" x14ac:dyDescent="0.45">
      <c r="A160" s="4">
        <v>43017</v>
      </c>
      <c r="B160" s="3">
        <v>168.89</v>
      </c>
      <c r="C160" s="3">
        <v>232.26</v>
      </c>
      <c r="D160" s="3">
        <v>106.58</v>
      </c>
      <c r="E160" s="3">
        <v>1.0576000000000001</v>
      </c>
      <c r="F160" s="3">
        <v>247.33</v>
      </c>
      <c r="G160" s="3">
        <v>214.88</v>
      </c>
      <c r="H160" s="3">
        <v>175.79</v>
      </c>
      <c r="I160" s="3">
        <v>187.5</v>
      </c>
      <c r="J160" s="3">
        <v>111.67</v>
      </c>
      <c r="K160" s="3">
        <v>207.89</v>
      </c>
      <c r="L160" s="3"/>
      <c r="N160" s="4"/>
    </row>
    <row r="161" spans="1:14" ht="17.5" thickBot="1" x14ac:dyDescent="0.45">
      <c r="A161" s="4">
        <v>43018</v>
      </c>
      <c r="B161" s="3">
        <v>169.67</v>
      </c>
      <c r="C161" s="3">
        <v>235.3</v>
      </c>
      <c r="D161" s="3">
        <v>106.86</v>
      </c>
      <c r="E161" s="3">
        <v>1.0608</v>
      </c>
      <c r="F161" s="3">
        <v>248.92</v>
      </c>
      <c r="G161" s="3">
        <v>215.33</v>
      </c>
      <c r="H161" s="3">
        <v>176.75</v>
      </c>
      <c r="I161" s="3">
        <v>188.33</v>
      </c>
      <c r="J161" s="3">
        <v>111.67</v>
      </c>
      <c r="K161" s="3">
        <v>208.74</v>
      </c>
      <c r="L161" s="3"/>
      <c r="N161" s="4"/>
    </row>
    <row r="162" spans="1:14" ht="17.5" thickBot="1" x14ac:dyDescent="0.45">
      <c r="A162" s="4">
        <v>43019</v>
      </c>
      <c r="B162" s="3">
        <v>168.91</v>
      </c>
      <c r="C162" s="3">
        <v>236.9</v>
      </c>
      <c r="D162" s="3">
        <v>106.86</v>
      </c>
      <c r="E162" s="3">
        <v>1.0618000000000001</v>
      </c>
      <c r="F162" s="3">
        <v>249.08</v>
      </c>
      <c r="G162" s="3">
        <v>215.72</v>
      </c>
      <c r="H162" s="3">
        <v>176.82</v>
      </c>
      <c r="I162" s="3">
        <v>188.63</v>
      </c>
      <c r="J162" s="3">
        <v>111.67</v>
      </c>
      <c r="K162" s="3">
        <v>208.84</v>
      </c>
      <c r="L162" s="3"/>
      <c r="N162" s="4"/>
    </row>
    <row r="163" spans="1:14" ht="17.5" thickBot="1" x14ac:dyDescent="0.45">
      <c r="A163" s="4">
        <v>43020</v>
      </c>
      <c r="B163" s="3">
        <v>169.91</v>
      </c>
      <c r="C163" s="3">
        <v>239.12</v>
      </c>
      <c r="D163" s="3">
        <v>107.13</v>
      </c>
      <c r="E163" s="3">
        <v>1.0626</v>
      </c>
      <c r="F163" s="3">
        <v>249.86</v>
      </c>
      <c r="G163" s="3">
        <v>215.44</v>
      </c>
      <c r="H163" s="3">
        <v>177.28</v>
      </c>
      <c r="I163" s="3">
        <v>188.3</v>
      </c>
      <c r="J163" s="3">
        <v>111.67</v>
      </c>
      <c r="K163" s="3">
        <v>209.28</v>
      </c>
      <c r="L163" s="3"/>
      <c r="N163" s="4"/>
    </row>
    <row r="164" spans="1:14" ht="17.5" thickBot="1" x14ac:dyDescent="0.45">
      <c r="A164" s="4">
        <v>43021</v>
      </c>
      <c r="B164" s="3">
        <v>169.96</v>
      </c>
      <c r="C164" s="3">
        <v>240.16</v>
      </c>
      <c r="D164" s="3">
        <v>107.41</v>
      </c>
      <c r="E164" s="3">
        <v>1.0648</v>
      </c>
      <c r="F164" s="3">
        <v>250.56</v>
      </c>
      <c r="G164" s="3">
        <v>215.82</v>
      </c>
      <c r="H164" s="3">
        <v>177.74</v>
      </c>
      <c r="I164" s="3">
        <v>188.85</v>
      </c>
      <c r="J164" s="3">
        <v>111.67</v>
      </c>
      <c r="K164" s="3">
        <v>209.78</v>
      </c>
      <c r="L164" s="3"/>
      <c r="N164" s="4"/>
    </row>
    <row r="165" spans="1:14" ht="17.5" thickBot="1" x14ac:dyDescent="0.45">
      <c r="A165" s="4">
        <v>43022</v>
      </c>
      <c r="B165" s="3">
        <v>169.96</v>
      </c>
      <c r="C165" s="3">
        <v>240.16</v>
      </c>
      <c r="D165" s="3">
        <v>107.41</v>
      </c>
      <c r="E165" s="3">
        <v>1.0648</v>
      </c>
      <c r="F165" s="3">
        <v>250.56</v>
      </c>
      <c r="G165" s="3">
        <v>215.82</v>
      </c>
      <c r="H165" s="3">
        <v>177.74</v>
      </c>
      <c r="I165" s="3">
        <v>188.85</v>
      </c>
      <c r="J165" s="3">
        <v>111.67</v>
      </c>
      <c r="K165" s="3">
        <v>209.78</v>
      </c>
      <c r="L165" s="3"/>
      <c r="N165" s="4"/>
    </row>
    <row r="166" spans="1:14" ht="17.5" thickBot="1" x14ac:dyDescent="0.45">
      <c r="A166" s="4">
        <v>43023</v>
      </c>
      <c r="B166" s="3">
        <v>169.96</v>
      </c>
      <c r="C166" s="3">
        <v>240.16</v>
      </c>
      <c r="D166" s="3">
        <v>107.41</v>
      </c>
      <c r="E166" s="3">
        <v>1.0648</v>
      </c>
      <c r="F166" s="3">
        <v>250.56</v>
      </c>
      <c r="G166" s="3">
        <v>215.82</v>
      </c>
      <c r="H166" s="3">
        <v>177.74</v>
      </c>
      <c r="I166" s="3">
        <v>188.85</v>
      </c>
      <c r="J166" s="3">
        <v>111.67</v>
      </c>
      <c r="K166" s="3">
        <v>209.78</v>
      </c>
      <c r="L166" s="3"/>
      <c r="N166" s="4"/>
    </row>
    <row r="167" spans="1:14" ht="17.5" thickBot="1" x14ac:dyDescent="0.45">
      <c r="A167" s="4">
        <v>43024</v>
      </c>
      <c r="B167" s="3">
        <v>171.1</v>
      </c>
      <c r="C167" s="3">
        <v>241.15</v>
      </c>
      <c r="D167" s="3">
        <v>107.49</v>
      </c>
      <c r="E167" s="3">
        <v>1.0658000000000001</v>
      </c>
      <c r="F167" s="3">
        <v>251.52</v>
      </c>
      <c r="G167" s="3">
        <v>216.23</v>
      </c>
      <c r="H167" s="3">
        <v>178.41</v>
      </c>
      <c r="I167" s="3">
        <v>188.92</v>
      </c>
      <c r="J167" s="3">
        <v>111.67</v>
      </c>
      <c r="K167" s="3">
        <v>210.29</v>
      </c>
      <c r="L167" s="3"/>
      <c r="N167" s="4"/>
    </row>
    <row r="168" spans="1:14" ht="17.5" thickBot="1" x14ac:dyDescent="0.45">
      <c r="A168" s="4">
        <v>43025</v>
      </c>
      <c r="B168" s="3">
        <v>171.25</v>
      </c>
      <c r="C168" s="3">
        <v>241.08</v>
      </c>
      <c r="D168" s="3">
        <v>107.21</v>
      </c>
      <c r="E168" s="3">
        <v>1.0651999999999999</v>
      </c>
      <c r="F168" s="3">
        <v>251.13</v>
      </c>
      <c r="G168" s="3">
        <v>216.61</v>
      </c>
      <c r="H168" s="3">
        <v>178.22</v>
      </c>
      <c r="I168" s="3">
        <v>189.01</v>
      </c>
      <c r="J168" s="3">
        <v>111.67</v>
      </c>
      <c r="K168" s="3">
        <v>210.12</v>
      </c>
      <c r="L168" s="3"/>
      <c r="N168" s="4"/>
    </row>
    <row r="169" spans="1:14" ht="17.5" thickBot="1" x14ac:dyDescent="0.45">
      <c r="A169" s="4">
        <v>43026</v>
      </c>
      <c r="B169" s="3">
        <v>171.36</v>
      </c>
      <c r="C169" s="3">
        <v>241.29</v>
      </c>
      <c r="D169" s="3">
        <v>107.21</v>
      </c>
      <c r="E169" s="3">
        <v>1.0651999999999999</v>
      </c>
      <c r="F169" s="3">
        <v>251.21</v>
      </c>
      <c r="G169" s="3">
        <v>216.9</v>
      </c>
      <c r="H169" s="3">
        <v>178.17</v>
      </c>
      <c r="I169" s="3">
        <v>189.11</v>
      </c>
      <c r="J169" s="3">
        <v>111.67</v>
      </c>
      <c r="K169" s="3">
        <v>210.02</v>
      </c>
      <c r="L169" s="3"/>
      <c r="N169" s="4"/>
    </row>
    <row r="170" spans="1:14" ht="17.5" thickBot="1" x14ac:dyDescent="0.45">
      <c r="A170" s="4">
        <v>43027</v>
      </c>
      <c r="B170" s="3">
        <v>168.4</v>
      </c>
      <c r="C170" s="3">
        <v>240.71</v>
      </c>
      <c r="D170" s="3">
        <v>106.93</v>
      </c>
      <c r="E170" s="3">
        <v>1.0650999999999999</v>
      </c>
      <c r="F170" s="3">
        <v>249.72</v>
      </c>
      <c r="G170" s="3">
        <v>216.57</v>
      </c>
      <c r="H170" s="3">
        <v>177.33</v>
      </c>
      <c r="I170" s="3">
        <v>188.93</v>
      </c>
      <c r="J170" s="3">
        <v>111.67</v>
      </c>
      <c r="K170" s="3">
        <v>209.42</v>
      </c>
      <c r="L170" s="3"/>
      <c r="N170" s="4"/>
    </row>
    <row r="171" spans="1:14" ht="17.5" thickBot="1" x14ac:dyDescent="0.45">
      <c r="A171" s="4">
        <v>43028</v>
      </c>
      <c r="B171" s="3">
        <v>170.22</v>
      </c>
      <c r="C171" s="3">
        <v>240.37</v>
      </c>
      <c r="D171" s="3">
        <v>106.65</v>
      </c>
      <c r="E171" s="3">
        <v>1.0649999999999999</v>
      </c>
      <c r="F171" s="3">
        <v>250.71</v>
      </c>
      <c r="G171" s="3">
        <v>218.1</v>
      </c>
      <c r="H171" s="3">
        <v>177.95</v>
      </c>
      <c r="I171" s="3">
        <v>189.57</v>
      </c>
      <c r="J171" s="3">
        <v>111.67</v>
      </c>
      <c r="K171" s="3">
        <v>209.68</v>
      </c>
      <c r="L171" s="3"/>
      <c r="N171" s="4"/>
    </row>
    <row r="172" spans="1:14" ht="17.5" thickBot="1" x14ac:dyDescent="0.45">
      <c r="A172" s="4">
        <v>43029</v>
      </c>
      <c r="B172" s="3">
        <v>170.22</v>
      </c>
      <c r="C172" s="3">
        <v>240.37</v>
      </c>
      <c r="D172" s="3">
        <v>106.65</v>
      </c>
      <c r="E172" s="3">
        <v>1.0649999999999999</v>
      </c>
      <c r="F172" s="3">
        <v>250.71</v>
      </c>
      <c r="G172" s="3">
        <v>218.1</v>
      </c>
      <c r="H172" s="3">
        <v>177.95</v>
      </c>
      <c r="I172" s="3">
        <v>189.57</v>
      </c>
      <c r="J172" s="3">
        <v>111.67</v>
      </c>
      <c r="K172" s="3">
        <v>209.68</v>
      </c>
      <c r="L172" s="3"/>
      <c r="N172" s="4"/>
    </row>
    <row r="173" spans="1:14" ht="17.5" thickBot="1" x14ac:dyDescent="0.45">
      <c r="A173" s="4">
        <v>43030</v>
      </c>
      <c r="B173" s="3">
        <v>170.22</v>
      </c>
      <c r="C173" s="3">
        <v>240.37</v>
      </c>
      <c r="D173" s="3">
        <v>106.65</v>
      </c>
      <c r="E173" s="3">
        <v>1.0649999999999999</v>
      </c>
      <c r="F173" s="3">
        <v>250.71</v>
      </c>
      <c r="G173" s="3">
        <v>218.1</v>
      </c>
      <c r="H173" s="3">
        <v>177.95</v>
      </c>
      <c r="I173" s="3">
        <v>189.57</v>
      </c>
      <c r="J173" s="3">
        <v>111.67</v>
      </c>
      <c r="K173" s="3">
        <v>209.68</v>
      </c>
      <c r="L173" s="3"/>
      <c r="N173" s="4"/>
    </row>
    <row r="174" spans="1:14" ht="17.5" thickBot="1" x14ac:dyDescent="0.45">
      <c r="A174" s="4">
        <v>43031</v>
      </c>
      <c r="B174" s="3">
        <v>169.16</v>
      </c>
      <c r="C174" s="3">
        <v>240.32</v>
      </c>
      <c r="D174" s="3">
        <v>106.55</v>
      </c>
      <c r="E174" s="3">
        <v>1.0639000000000001</v>
      </c>
      <c r="F174" s="3">
        <v>250.39</v>
      </c>
      <c r="G174" s="3">
        <v>216.89</v>
      </c>
      <c r="H174" s="3">
        <v>177.8</v>
      </c>
      <c r="I174" s="3">
        <v>188.32</v>
      </c>
      <c r="J174" s="3">
        <v>111.67</v>
      </c>
      <c r="K174" s="3">
        <v>209.57</v>
      </c>
      <c r="L174" s="3"/>
      <c r="N174" s="4"/>
    </row>
    <row r="175" spans="1:14" ht="17.5" thickBot="1" x14ac:dyDescent="0.45">
      <c r="A175" s="4">
        <v>43032</v>
      </c>
      <c r="B175" s="3">
        <v>168.41</v>
      </c>
      <c r="C175" s="3">
        <v>240.02</v>
      </c>
      <c r="D175" s="3">
        <v>106.55</v>
      </c>
      <c r="E175" s="3">
        <v>1.0634999999999999</v>
      </c>
      <c r="F175" s="3">
        <v>250.07</v>
      </c>
      <c r="G175" s="3">
        <v>217.64</v>
      </c>
      <c r="H175" s="3">
        <v>177.68</v>
      </c>
      <c r="I175" s="3">
        <v>188.82</v>
      </c>
      <c r="J175" s="3">
        <v>111.67</v>
      </c>
      <c r="K175" s="3">
        <v>209.4</v>
      </c>
      <c r="L175" s="3"/>
      <c r="N175" s="4"/>
    </row>
    <row r="176" spans="1:14" ht="17.5" thickBot="1" x14ac:dyDescent="0.45">
      <c r="A176" s="4">
        <v>43033</v>
      </c>
      <c r="B176" s="3">
        <v>169.12</v>
      </c>
      <c r="C176" s="3">
        <v>240.05</v>
      </c>
      <c r="D176" s="3">
        <v>106.27</v>
      </c>
      <c r="E176" s="3">
        <v>1.0610999999999999</v>
      </c>
      <c r="F176" s="3">
        <v>250.35</v>
      </c>
      <c r="G176" s="3">
        <v>216.46</v>
      </c>
      <c r="H176" s="3">
        <v>177.81</v>
      </c>
      <c r="I176" s="3">
        <v>188.03</v>
      </c>
      <c r="J176" s="3">
        <v>111.67</v>
      </c>
      <c r="K176" s="3">
        <v>209.44</v>
      </c>
      <c r="L176" s="3"/>
      <c r="N176" s="4"/>
    </row>
    <row r="177" spans="1:14" ht="17.5" thickBot="1" x14ac:dyDescent="0.45">
      <c r="A177" s="4">
        <v>43034</v>
      </c>
      <c r="B177" s="3">
        <v>168.6</v>
      </c>
      <c r="C177" s="3">
        <v>239.29</v>
      </c>
      <c r="D177" s="3">
        <v>106.18</v>
      </c>
      <c r="E177" s="3">
        <v>1.0620000000000001</v>
      </c>
      <c r="F177" s="3">
        <v>250.1</v>
      </c>
      <c r="G177" s="3">
        <v>216.95</v>
      </c>
      <c r="H177" s="3">
        <v>177.65</v>
      </c>
      <c r="I177" s="3">
        <v>187.58</v>
      </c>
      <c r="J177" s="3">
        <v>111.67</v>
      </c>
      <c r="K177" s="3">
        <v>209.28</v>
      </c>
      <c r="L177" s="3"/>
      <c r="N177" s="4"/>
    </row>
    <row r="178" spans="1:14" ht="17.5" thickBot="1" x14ac:dyDescent="0.45">
      <c r="A178" s="4">
        <v>43035</v>
      </c>
      <c r="B178" s="3">
        <v>170.06</v>
      </c>
      <c r="C178" s="3">
        <v>239.48</v>
      </c>
      <c r="D178" s="3">
        <v>105.99</v>
      </c>
      <c r="E178" s="3">
        <v>1.0648</v>
      </c>
      <c r="F178" s="3">
        <v>250.69</v>
      </c>
      <c r="G178" s="3">
        <v>217.91</v>
      </c>
      <c r="H178" s="3">
        <v>178.19</v>
      </c>
      <c r="I178" s="3">
        <v>189.3</v>
      </c>
      <c r="J178" s="3">
        <v>111.67</v>
      </c>
      <c r="K178" s="3">
        <v>209.66</v>
      </c>
      <c r="L178" s="3"/>
      <c r="N178" s="4"/>
    </row>
    <row r="179" spans="1:14" ht="17.5" thickBot="1" x14ac:dyDescent="0.45">
      <c r="A179" s="4">
        <v>43036</v>
      </c>
      <c r="B179" s="3">
        <v>170.06</v>
      </c>
      <c r="C179" s="3">
        <v>239.48</v>
      </c>
      <c r="D179" s="3">
        <v>105.99</v>
      </c>
      <c r="E179" s="3">
        <v>1.0648</v>
      </c>
      <c r="F179" s="3">
        <v>250.69</v>
      </c>
      <c r="G179" s="3">
        <v>217.91</v>
      </c>
      <c r="H179" s="3">
        <v>178.19</v>
      </c>
      <c r="I179" s="3">
        <v>189.3</v>
      </c>
      <c r="J179" s="3">
        <v>111.67</v>
      </c>
      <c r="K179" s="3">
        <v>209.66</v>
      </c>
      <c r="L179" s="3"/>
      <c r="N179" s="4"/>
    </row>
    <row r="180" spans="1:14" ht="17.5" thickBot="1" x14ac:dyDescent="0.45">
      <c r="A180" s="4">
        <v>43037</v>
      </c>
      <c r="B180" s="3">
        <v>170.06</v>
      </c>
      <c r="C180" s="3">
        <v>239.48</v>
      </c>
      <c r="D180" s="3">
        <v>105.99</v>
      </c>
      <c r="E180" s="3">
        <v>1.0648</v>
      </c>
      <c r="F180" s="3">
        <v>250.69</v>
      </c>
      <c r="G180" s="3">
        <v>217.91</v>
      </c>
      <c r="H180" s="3">
        <v>178.19</v>
      </c>
      <c r="I180" s="3">
        <v>189.3</v>
      </c>
      <c r="J180" s="3">
        <v>111.67</v>
      </c>
      <c r="K180" s="3">
        <v>209.66</v>
      </c>
      <c r="L180" s="3"/>
      <c r="N180" s="4"/>
    </row>
    <row r="181" spans="1:14" ht="17.5" thickBot="1" x14ac:dyDescent="0.45">
      <c r="A181" s="4">
        <v>43038</v>
      </c>
      <c r="B181" s="3">
        <v>169.59</v>
      </c>
      <c r="C181" s="3">
        <v>241.19</v>
      </c>
      <c r="D181" s="3">
        <v>106.26</v>
      </c>
      <c r="E181" s="3">
        <v>1.0659000000000001</v>
      </c>
      <c r="F181" s="3">
        <v>250.78</v>
      </c>
      <c r="G181" s="3">
        <v>217.28</v>
      </c>
      <c r="H181" s="3">
        <v>178.22</v>
      </c>
      <c r="I181" s="3">
        <v>187.98</v>
      </c>
      <c r="J181" s="3">
        <v>111.67</v>
      </c>
      <c r="K181" s="3">
        <v>209.91</v>
      </c>
      <c r="L181" s="3"/>
      <c r="N181" s="4"/>
    </row>
    <row r="182" spans="1:14" ht="17.5" thickBot="1" x14ac:dyDescent="0.45">
      <c r="A182" s="4">
        <v>43039</v>
      </c>
      <c r="B182" s="3">
        <v>169.12</v>
      </c>
      <c r="C182" s="3">
        <v>241.94</v>
      </c>
      <c r="D182" s="3">
        <v>106.45</v>
      </c>
      <c r="E182" s="3">
        <v>1.0670999999999999</v>
      </c>
      <c r="F182" s="3">
        <v>251.28</v>
      </c>
      <c r="G182" s="3">
        <v>217.41</v>
      </c>
      <c r="H182" s="3">
        <v>178.46</v>
      </c>
      <c r="I182" s="3">
        <v>188.12</v>
      </c>
      <c r="J182" s="3">
        <v>111.68</v>
      </c>
      <c r="K182" s="3">
        <v>210.18</v>
      </c>
      <c r="L182" s="3"/>
      <c r="N182" s="4"/>
    </row>
    <row r="183" spans="1:14" ht="17.5" thickBot="1" x14ac:dyDescent="0.45">
      <c r="A183" s="4">
        <v>43040</v>
      </c>
      <c r="B183" s="3">
        <v>170.83</v>
      </c>
      <c r="C183" s="3">
        <v>244.01</v>
      </c>
      <c r="D183" s="3">
        <v>106.54</v>
      </c>
      <c r="E183" s="3">
        <v>1.069</v>
      </c>
      <c r="F183" s="3">
        <v>252.96</v>
      </c>
      <c r="G183" s="3">
        <v>217.7</v>
      </c>
      <c r="H183" s="3">
        <v>179.47</v>
      </c>
      <c r="I183" s="3">
        <v>188.23</v>
      </c>
      <c r="J183" s="3">
        <v>111.68</v>
      </c>
      <c r="K183" s="3">
        <v>210.97</v>
      </c>
      <c r="L183" s="3"/>
      <c r="N183" s="4"/>
    </row>
    <row r="184" spans="1:14" ht="17.5" thickBot="1" x14ac:dyDescent="0.45">
      <c r="A184" s="4">
        <v>43041</v>
      </c>
      <c r="B184" s="3">
        <v>170.27</v>
      </c>
      <c r="C184" s="3">
        <v>244.51</v>
      </c>
      <c r="D184" s="3">
        <v>106.81</v>
      </c>
      <c r="E184" s="3">
        <v>1.07</v>
      </c>
      <c r="F184" s="3">
        <v>252.94</v>
      </c>
      <c r="G184" s="3">
        <v>217.77</v>
      </c>
      <c r="H184" s="3">
        <v>179.49</v>
      </c>
      <c r="I184" s="3">
        <v>188.32</v>
      </c>
      <c r="J184" s="3">
        <v>111.68</v>
      </c>
      <c r="K184" s="3">
        <v>211.09</v>
      </c>
      <c r="L184" s="3"/>
      <c r="N184" s="4"/>
    </row>
    <row r="185" spans="1:14" ht="17.5" thickBot="1" x14ac:dyDescent="0.45">
      <c r="A185" s="4">
        <v>43042</v>
      </c>
      <c r="B185" s="3">
        <v>171</v>
      </c>
      <c r="C185" s="3">
        <v>244.6</v>
      </c>
      <c r="D185" s="3">
        <v>106.72</v>
      </c>
      <c r="E185" s="3">
        <v>1.0706</v>
      </c>
      <c r="F185" s="3">
        <v>253.04</v>
      </c>
      <c r="G185" s="3">
        <v>218.45</v>
      </c>
      <c r="H185" s="3">
        <v>179.59</v>
      </c>
      <c r="I185" s="3">
        <v>188.48</v>
      </c>
      <c r="J185" s="3">
        <v>111.68</v>
      </c>
      <c r="K185" s="3">
        <v>211.13</v>
      </c>
      <c r="L185" s="3"/>
      <c r="N185" s="4"/>
    </row>
    <row r="186" spans="1:14" ht="17.5" thickBot="1" x14ac:dyDescent="0.45">
      <c r="A186" s="4">
        <v>43043</v>
      </c>
      <c r="B186" s="3">
        <v>171</v>
      </c>
      <c r="C186" s="3">
        <v>244.6</v>
      </c>
      <c r="D186" s="3">
        <v>106.72</v>
      </c>
      <c r="E186" s="3">
        <v>1.0706</v>
      </c>
      <c r="F186" s="3">
        <v>253.04</v>
      </c>
      <c r="G186" s="3">
        <v>218.45</v>
      </c>
      <c r="H186" s="3">
        <v>179.59</v>
      </c>
      <c r="I186" s="3">
        <v>188.48</v>
      </c>
      <c r="J186" s="3">
        <v>111.68</v>
      </c>
      <c r="K186" s="3">
        <v>211.13</v>
      </c>
      <c r="L186" s="3"/>
      <c r="N186" s="4"/>
    </row>
    <row r="187" spans="1:14" ht="17.5" thickBot="1" x14ac:dyDescent="0.45">
      <c r="A187" s="4">
        <v>43044</v>
      </c>
      <c r="B187" s="3">
        <v>171</v>
      </c>
      <c r="C187" s="3">
        <v>244.6</v>
      </c>
      <c r="D187" s="3">
        <v>106.72</v>
      </c>
      <c r="E187" s="3">
        <v>1.0706</v>
      </c>
      <c r="F187" s="3">
        <v>253.04</v>
      </c>
      <c r="G187" s="3">
        <v>218.45</v>
      </c>
      <c r="H187" s="3">
        <v>179.59</v>
      </c>
      <c r="I187" s="3">
        <v>188.48</v>
      </c>
      <c r="J187" s="3">
        <v>111.68</v>
      </c>
      <c r="K187" s="3">
        <v>211.13</v>
      </c>
      <c r="L187" s="3"/>
      <c r="N187" s="4"/>
    </row>
    <row r="188" spans="1:14" ht="17.5" thickBot="1" x14ac:dyDescent="0.45">
      <c r="A188" s="4">
        <v>43045</v>
      </c>
      <c r="B188" s="3">
        <v>170.77</v>
      </c>
      <c r="C188" s="3">
        <v>243.93</v>
      </c>
      <c r="D188" s="3">
        <v>106.81</v>
      </c>
      <c r="E188" s="3">
        <v>1.0714999999999999</v>
      </c>
      <c r="F188" s="3">
        <v>253.08</v>
      </c>
      <c r="G188" s="3">
        <v>218.81</v>
      </c>
      <c r="H188" s="3">
        <v>179.67</v>
      </c>
      <c r="I188" s="3">
        <v>189.49</v>
      </c>
      <c r="J188" s="3">
        <v>111.68</v>
      </c>
      <c r="K188" s="3">
        <v>211.25</v>
      </c>
      <c r="L188" s="3"/>
      <c r="N188" s="4"/>
    </row>
    <row r="189" spans="1:14" ht="17.5" thickBot="1" x14ac:dyDescent="0.45">
      <c r="A189" s="4">
        <v>43046</v>
      </c>
      <c r="B189" s="3">
        <v>172.91</v>
      </c>
      <c r="C189" s="3">
        <v>244.84</v>
      </c>
      <c r="D189" s="3">
        <v>106.8</v>
      </c>
      <c r="E189" s="3">
        <v>1.0723</v>
      </c>
      <c r="F189" s="3">
        <v>254.36</v>
      </c>
      <c r="G189" s="3">
        <v>218.49</v>
      </c>
      <c r="H189" s="3">
        <v>180.54</v>
      </c>
      <c r="I189" s="3">
        <v>188.73</v>
      </c>
      <c r="J189" s="3">
        <v>111.68</v>
      </c>
      <c r="K189" s="3">
        <v>211.96</v>
      </c>
      <c r="L189" s="3"/>
      <c r="N189" s="4"/>
    </row>
    <row r="190" spans="1:14" ht="17.5" thickBot="1" x14ac:dyDescent="0.45">
      <c r="A190" s="4">
        <v>43047</v>
      </c>
      <c r="B190" s="3">
        <v>172.59</v>
      </c>
      <c r="C190" s="3">
        <v>244.71</v>
      </c>
      <c r="D190" s="3">
        <v>106.8</v>
      </c>
      <c r="E190" s="3">
        <v>1.0724</v>
      </c>
      <c r="F190" s="3">
        <v>254.29</v>
      </c>
      <c r="G190" s="3">
        <v>218.79</v>
      </c>
      <c r="H190" s="3">
        <v>180.55</v>
      </c>
      <c r="I190" s="3">
        <v>189.54</v>
      </c>
      <c r="J190" s="3">
        <v>111.68</v>
      </c>
      <c r="K190" s="3">
        <v>211.92</v>
      </c>
      <c r="L190" s="3"/>
      <c r="N190" s="4"/>
    </row>
    <row r="191" spans="1:14" ht="17.5" thickBot="1" x14ac:dyDescent="0.45">
      <c r="A191" s="4">
        <v>43048</v>
      </c>
      <c r="B191" s="3">
        <v>173.64</v>
      </c>
      <c r="C191" s="3">
        <v>244.35</v>
      </c>
      <c r="D191" s="3">
        <v>106.8</v>
      </c>
      <c r="E191" s="3">
        <v>1.0694999999999999</v>
      </c>
      <c r="F191" s="3">
        <v>254.18</v>
      </c>
      <c r="G191" s="3">
        <v>218.42</v>
      </c>
      <c r="H191" s="3">
        <v>180.52</v>
      </c>
      <c r="I191" s="3">
        <v>188.49</v>
      </c>
      <c r="J191" s="3">
        <v>111.68</v>
      </c>
      <c r="K191" s="3">
        <v>211.77</v>
      </c>
      <c r="L191" s="3"/>
      <c r="N191" s="4"/>
    </row>
    <row r="192" spans="1:14" ht="17.5" thickBot="1" x14ac:dyDescent="0.45">
      <c r="A192" s="4">
        <v>43049</v>
      </c>
      <c r="B192" s="3">
        <v>173.9</v>
      </c>
      <c r="C192" s="3">
        <v>243.16</v>
      </c>
      <c r="D192" s="3">
        <v>106.89</v>
      </c>
      <c r="E192" s="3">
        <v>1.0678000000000001</v>
      </c>
      <c r="F192" s="3">
        <v>253.85</v>
      </c>
      <c r="G192" s="3">
        <v>218.62</v>
      </c>
      <c r="H192" s="3">
        <v>180.29</v>
      </c>
      <c r="I192" s="3">
        <v>187.88</v>
      </c>
      <c r="J192" s="3">
        <v>111.68</v>
      </c>
      <c r="K192" s="3">
        <v>211.48</v>
      </c>
      <c r="L192" s="3"/>
      <c r="N192" s="4"/>
    </row>
    <row r="193" spans="1:14" ht="17.5" thickBot="1" x14ac:dyDescent="0.45">
      <c r="A193" s="4">
        <v>43050</v>
      </c>
      <c r="B193" s="3">
        <v>173.9</v>
      </c>
      <c r="C193" s="3">
        <v>243.16</v>
      </c>
      <c r="D193" s="3">
        <v>106.89</v>
      </c>
      <c r="E193" s="3">
        <v>1.0678000000000001</v>
      </c>
      <c r="F193" s="3">
        <v>253.85</v>
      </c>
      <c r="G193" s="3">
        <v>218.62</v>
      </c>
      <c r="H193" s="3">
        <v>180.29</v>
      </c>
      <c r="I193" s="3">
        <v>187.88</v>
      </c>
      <c r="J193" s="3">
        <v>111.68</v>
      </c>
      <c r="K193" s="3">
        <v>211.48</v>
      </c>
      <c r="L193" s="3"/>
      <c r="N193" s="4"/>
    </row>
    <row r="194" spans="1:14" ht="17.5" thickBot="1" x14ac:dyDescent="0.45">
      <c r="A194" s="4">
        <v>43051</v>
      </c>
      <c r="B194" s="3">
        <v>173.9</v>
      </c>
      <c r="C194" s="3">
        <v>243.16</v>
      </c>
      <c r="D194" s="3">
        <v>106.89</v>
      </c>
      <c r="E194" s="3">
        <v>1.0678000000000001</v>
      </c>
      <c r="F194" s="3">
        <v>253.85</v>
      </c>
      <c r="G194" s="3">
        <v>218.62</v>
      </c>
      <c r="H194" s="3">
        <v>180.29</v>
      </c>
      <c r="I194" s="3">
        <v>187.88</v>
      </c>
      <c r="J194" s="3">
        <v>111.68</v>
      </c>
      <c r="K194" s="3">
        <v>211.48</v>
      </c>
      <c r="L194" s="3"/>
      <c r="N194" s="4"/>
    </row>
    <row r="195" spans="1:14" ht="17.5" thickBot="1" x14ac:dyDescent="0.45">
      <c r="A195" s="4">
        <v>43052</v>
      </c>
      <c r="B195" s="3">
        <v>173.99</v>
      </c>
      <c r="C195" s="3">
        <v>241.92</v>
      </c>
      <c r="D195" s="3">
        <v>106.7</v>
      </c>
      <c r="E195" s="3">
        <v>1.0660000000000001</v>
      </c>
      <c r="F195" s="3">
        <v>253.08</v>
      </c>
      <c r="G195" s="3">
        <v>218.49</v>
      </c>
      <c r="H195" s="3">
        <v>179.81</v>
      </c>
      <c r="I195" s="3">
        <v>188</v>
      </c>
      <c r="J195" s="3">
        <v>111.68</v>
      </c>
      <c r="K195" s="3">
        <v>211.02</v>
      </c>
      <c r="L195" s="3"/>
      <c r="N195" s="4"/>
    </row>
    <row r="196" spans="1:14" ht="17.5" thickBot="1" x14ac:dyDescent="0.45">
      <c r="A196" s="4">
        <v>43053</v>
      </c>
      <c r="B196" s="3">
        <v>173.76</v>
      </c>
      <c r="C196" s="3">
        <v>240.54</v>
      </c>
      <c r="D196" s="3">
        <v>106.61</v>
      </c>
      <c r="E196" s="3">
        <v>1.0653999999999999</v>
      </c>
      <c r="F196" s="3">
        <v>252.86</v>
      </c>
      <c r="G196" s="3">
        <v>217.86</v>
      </c>
      <c r="H196" s="3">
        <v>179.68</v>
      </c>
      <c r="I196" s="3">
        <v>187</v>
      </c>
      <c r="J196" s="3">
        <v>111.68</v>
      </c>
      <c r="K196" s="3">
        <v>211</v>
      </c>
      <c r="L196" s="3"/>
      <c r="N196" s="4"/>
    </row>
    <row r="197" spans="1:14" ht="17.5" thickBot="1" x14ac:dyDescent="0.45">
      <c r="A197" s="4">
        <v>43054</v>
      </c>
      <c r="B197" s="3">
        <v>171.83</v>
      </c>
      <c r="C197" s="3">
        <v>238.9</v>
      </c>
      <c r="D197" s="3">
        <v>106.88</v>
      </c>
      <c r="E197" s="3">
        <v>1.0629999999999999</v>
      </c>
      <c r="F197" s="3">
        <v>251.04</v>
      </c>
      <c r="G197" s="3">
        <v>216.5</v>
      </c>
      <c r="H197" s="3">
        <v>178.5</v>
      </c>
      <c r="I197" s="3">
        <v>186.25</v>
      </c>
      <c r="J197" s="3">
        <v>111.68</v>
      </c>
      <c r="K197" s="3">
        <v>210.19</v>
      </c>
      <c r="L197" s="3"/>
      <c r="N197" s="4"/>
    </row>
    <row r="198" spans="1:14" ht="17.5" thickBot="1" x14ac:dyDescent="0.45">
      <c r="A198" s="4">
        <v>43055</v>
      </c>
      <c r="B198" s="3">
        <v>172.63</v>
      </c>
      <c r="C198" s="3">
        <v>240.64</v>
      </c>
      <c r="D198" s="3">
        <v>106.97</v>
      </c>
      <c r="E198" s="3">
        <v>1.0678000000000001</v>
      </c>
      <c r="F198" s="3">
        <v>252.91</v>
      </c>
      <c r="G198" s="3">
        <v>218.48</v>
      </c>
      <c r="H198" s="3">
        <v>179.72</v>
      </c>
      <c r="I198" s="3">
        <v>188.25</v>
      </c>
      <c r="J198" s="3">
        <v>111.68</v>
      </c>
      <c r="K198" s="3">
        <v>211.13</v>
      </c>
      <c r="L198" s="3"/>
      <c r="N198" s="4"/>
    </row>
    <row r="199" spans="1:14" ht="17.5" thickBot="1" x14ac:dyDescent="0.45">
      <c r="A199" s="4">
        <v>43056</v>
      </c>
      <c r="B199" s="3">
        <v>173.49</v>
      </c>
      <c r="C199" s="3">
        <v>241.98</v>
      </c>
      <c r="D199" s="3">
        <v>107.06</v>
      </c>
      <c r="E199" s="3">
        <v>1.0682</v>
      </c>
      <c r="F199" s="3">
        <v>253.78</v>
      </c>
      <c r="G199" s="3">
        <v>218.83</v>
      </c>
      <c r="H199" s="3">
        <v>180.34</v>
      </c>
      <c r="I199" s="3">
        <v>188.45</v>
      </c>
      <c r="J199" s="3">
        <v>111.68</v>
      </c>
      <c r="K199" s="3">
        <v>211.68</v>
      </c>
      <c r="L199" s="3"/>
      <c r="N199" s="4"/>
    </row>
    <row r="200" spans="1:14" ht="17.5" thickBot="1" x14ac:dyDescent="0.45">
      <c r="A200" s="4">
        <v>43057</v>
      </c>
      <c r="B200" s="3">
        <v>173.49</v>
      </c>
      <c r="C200" s="3">
        <v>241.98</v>
      </c>
      <c r="D200" s="3">
        <v>107.06</v>
      </c>
      <c r="E200" s="3">
        <v>1.0682</v>
      </c>
      <c r="F200" s="3">
        <v>253.78</v>
      </c>
      <c r="G200" s="3">
        <v>218.83</v>
      </c>
      <c r="H200" s="3">
        <v>180.34</v>
      </c>
      <c r="I200" s="3">
        <v>188.45</v>
      </c>
      <c r="J200" s="3">
        <v>111.68</v>
      </c>
      <c r="K200" s="3">
        <v>211.68</v>
      </c>
      <c r="L200" s="3"/>
      <c r="N200" s="4"/>
    </row>
    <row r="201" spans="1:14" ht="17.5" thickBot="1" x14ac:dyDescent="0.45">
      <c r="A201" s="4">
        <v>43058</v>
      </c>
      <c r="B201" s="3">
        <v>173.49</v>
      </c>
      <c r="C201" s="3">
        <v>241.98</v>
      </c>
      <c r="D201" s="3">
        <v>107.06</v>
      </c>
      <c r="E201" s="3">
        <v>1.0682</v>
      </c>
      <c r="F201" s="3">
        <v>253.78</v>
      </c>
      <c r="G201" s="3">
        <v>218.83</v>
      </c>
      <c r="H201" s="3">
        <v>180.34</v>
      </c>
      <c r="I201" s="3">
        <v>188.45</v>
      </c>
      <c r="J201" s="3">
        <v>111.68</v>
      </c>
      <c r="K201" s="3">
        <v>211.68</v>
      </c>
      <c r="L201" s="3"/>
      <c r="N201" s="4"/>
    </row>
    <row r="202" spans="1:14" ht="17.5" thickBot="1" x14ac:dyDescent="0.45">
      <c r="A202" s="4">
        <v>43059</v>
      </c>
      <c r="B202" s="3">
        <v>173.28</v>
      </c>
      <c r="C202" s="3">
        <v>241.08</v>
      </c>
      <c r="D202" s="3">
        <v>107.15</v>
      </c>
      <c r="E202" s="3">
        <v>1.069</v>
      </c>
      <c r="F202" s="3">
        <v>254.07</v>
      </c>
      <c r="G202" s="3">
        <v>219.11</v>
      </c>
      <c r="H202" s="3">
        <v>180.51</v>
      </c>
      <c r="I202" s="3">
        <v>188.52</v>
      </c>
      <c r="J202" s="3">
        <v>111.68</v>
      </c>
      <c r="K202" s="3">
        <v>211.79</v>
      </c>
      <c r="L202" s="3"/>
      <c r="N202" s="4"/>
    </row>
    <row r="203" spans="1:14" ht="17.5" thickBot="1" x14ac:dyDescent="0.45">
      <c r="A203" s="4">
        <v>43060</v>
      </c>
      <c r="B203" s="3">
        <v>176.98</v>
      </c>
      <c r="C203" s="3">
        <v>243.14</v>
      </c>
      <c r="D203" s="3">
        <v>107.24</v>
      </c>
      <c r="E203" s="3">
        <v>1.0732999999999999</v>
      </c>
      <c r="F203" s="3">
        <v>256.52999999999997</v>
      </c>
      <c r="G203" s="3">
        <v>220.26</v>
      </c>
      <c r="H203" s="3">
        <v>182.05</v>
      </c>
      <c r="I203" s="3">
        <v>189.91</v>
      </c>
      <c r="J203" s="3">
        <v>111.68</v>
      </c>
      <c r="K203" s="3">
        <v>212.99</v>
      </c>
      <c r="L203" s="3"/>
      <c r="N203" s="4"/>
    </row>
    <row r="204" spans="1:14" ht="17.5" thickBot="1" x14ac:dyDescent="0.45">
      <c r="A204" s="4">
        <v>43061</v>
      </c>
      <c r="B204" s="3">
        <v>178.66</v>
      </c>
      <c r="C204" s="3">
        <v>244.92</v>
      </c>
      <c r="D204" s="3">
        <v>107.51</v>
      </c>
      <c r="E204" s="3">
        <v>1.0750999999999999</v>
      </c>
      <c r="F204" s="3">
        <v>257.43</v>
      </c>
      <c r="G204" s="3">
        <v>219.78</v>
      </c>
      <c r="H204" s="3">
        <v>182.64</v>
      </c>
      <c r="I204" s="3">
        <v>190.04</v>
      </c>
      <c r="J204" s="3">
        <v>111.68</v>
      </c>
      <c r="K204" s="3">
        <v>213.58</v>
      </c>
      <c r="L204" s="3"/>
      <c r="N204" s="4"/>
    </row>
    <row r="205" spans="1:14" ht="17.5" thickBot="1" x14ac:dyDescent="0.45">
      <c r="A205" s="4">
        <v>43062</v>
      </c>
      <c r="B205" s="3">
        <v>176.43</v>
      </c>
      <c r="C205" s="3">
        <v>245.37</v>
      </c>
      <c r="D205" s="3">
        <v>107.7</v>
      </c>
      <c r="E205" s="3">
        <v>1.0758000000000001</v>
      </c>
      <c r="F205" s="3">
        <v>256.45999999999998</v>
      </c>
      <c r="G205" s="3">
        <v>219.79</v>
      </c>
      <c r="H205" s="3">
        <v>182.03</v>
      </c>
      <c r="I205" s="3">
        <v>189.99</v>
      </c>
      <c r="J205" s="3">
        <v>111.68</v>
      </c>
      <c r="K205" s="3">
        <v>213.21</v>
      </c>
      <c r="L205" s="3"/>
      <c r="N205" s="4"/>
    </row>
    <row r="206" spans="1:14" ht="17.5" thickBot="1" x14ac:dyDescent="0.45">
      <c r="A206" s="4">
        <v>43063</v>
      </c>
      <c r="B206" s="3">
        <v>177.51</v>
      </c>
      <c r="C206" s="3">
        <v>245.65</v>
      </c>
      <c r="D206" s="3">
        <v>107.69</v>
      </c>
      <c r="E206" s="3">
        <v>1.077</v>
      </c>
      <c r="F206" s="3">
        <v>257.54000000000002</v>
      </c>
      <c r="G206" s="3">
        <v>219.9</v>
      </c>
      <c r="H206" s="3">
        <v>182.67</v>
      </c>
      <c r="I206" s="3">
        <v>190.06</v>
      </c>
      <c r="J206" s="3">
        <v>111.68</v>
      </c>
      <c r="K206" s="3">
        <v>213.68</v>
      </c>
      <c r="L206" s="3"/>
      <c r="N206" s="4"/>
    </row>
    <row r="207" spans="1:14" ht="17.5" thickBot="1" x14ac:dyDescent="0.45">
      <c r="A207" s="4">
        <v>43064</v>
      </c>
      <c r="B207" s="3">
        <v>177.51</v>
      </c>
      <c r="C207" s="3">
        <v>245.65</v>
      </c>
      <c r="D207" s="3">
        <v>107.69</v>
      </c>
      <c r="E207" s="3">
        <v>1.077</v>
      </c>
      <c r="F207" s="3">
        <v>257.54000000000002</v>
      </c>
      <c r="G207" s="3">
        <v>219.9</v>
      </c>
      <c r="H207" s="3">
        <v>182.67</v>
      </c>
      <c r="I207" s="3">
        <v>190.06</v>
      </c>
      <c r="J207" s="3">
        <v>111.68</v>
      </c>
      <c r="K207" s="3">
        <v>213.68</v>
      </c>
      <c r="L207" s="3"/>
      <c r="N207" s="4"/>
    </row>
    <row r="208" spans="1:14" ht="17.5" thickBot="1" x14ac:dyDescent="0.45">
      <c r="A208" s="4">
        <v>43065</v>
      </c>
      <c r="B208" s="3">
        <v>177.51</v>
      </c>
      <c r="C208" s="3">
        <v>245.65</v>
      </c>
      <c r="D208" s="3">
        <v>107.69</v>
      </c>
      <c r="E208" s="3">
        <v>1.077</v>
      </c>
      <c r="F208" s="3">
        <v>257.54000000000002</v>
      </c>
      <c r="G208" s="3">
        <v>219.9</v>
      </c>
      <c r="H208" s="3">
        <v>182.67</v>
      </c>
      <c r="I208" s="3">
        <v>190.06</v>
      </c>
      <c r="J208" s="3">
        <v>111.68</v>
      </c>
      <c r="K208" s="3">
        <v>213.68</v>
      </c>
      <c r="L208" s="3"/>
      <c r="N208" s="4"/>
    </row>
    <row r="209" spans="1:14" ht="17.5" thickBot="1" x14ac:dyDescent="0.45">
      <c r="A209" s="4">
        <v>43066</v>
      </c>
      <c r="B209" s="3">
        <v>176.5</v>
      </c>
      <c r="C209" s="3">
        <v>242.91</v>
      </c>
      <c r="D209" s="3">
        <v>107.5</v>
      </c>
      <c r="E209" s="3">
        <v>1.075</v>
      </c>
      <c r="F209" s="3">
        <v>256.11</v>
      </c>
      <c r="G209" s="3">
        <v>219.75</v>
      </c>
      <c r="H209" s="3">
        <v>181.82</v>
      </c>
      <c r="I209" s="3">
        <v>189.61</v>
      </c>
      <c r="J209" s="3">
        <v>111.68</v>
      </c>
      <c r="K209" s="3">
        <v>213.01</v>
      </c>
      <c r="L209" s="3"/>
      <c r="N209" s="4"/>
    </row>
    <row r="210" spans="1:14" ht="17.5" thickBot="1" x14ac:dyDescent="0.45">
      <c r="A210" s="4">
        <v>43067</v>
      </c>
      <c r="B210" s="3">
        <v>176.06</v>
      </c>
      <c r="C210" s="3">
        <v>243.15</v>
      </c>
      <c r="D210" s="3">
        <v>107.59</v>
      </c>
      <c r="E210" s="3">
        <v>1.0784</v>
      </c>
      <c r="F210" s="3">
        <v>256.47000000000003</v>
      </c>
      <c r="G210" s="3">
        <v>222.11</v>
      </c>
      <c r="H210" s="3">
        <v>182.07</v>
      </c>
      <c r="I210" s="3">
        <v>191.48</v>
      </c>
      <c r="J210" s="3">
        <v>111.68</v>
      </c>
      <c r="K210" s="3">
        <v>213.16</v>
      </c>
      <c r="L210" s="3"/>
      <c r="N210" s="4"/>
    </row>
    <row r="211" spans="1:14" ht="17.5" thickBot="1" x14ac:dyDescent="0.45">
      <c r="A211" s="4">
        <v>43068</v>
      </c>
      <c r="B211" s="3">
        <v>175.84</v>
      </c>
      <c r="C211" s="3">
        <v>243.82</v>
      </c>
      <c r="D211" s="3">
        <v>107.87</v>
      </c>
      <c r="E211" s="3">
        <v>1.0780000000000001</v>
      </c>
      <c r="F211" s="3">
        <v>256.81</v>
      </c>
      <c r="G211" s="3">
        <v>223.11</v>
      </c>
      <c r="H211" s="3">
        <v>182.28</v>
      </c>
      <c r="I211" s="3">
        <v>190.73</v>
      </c>
      <c r="J211" s="3">
        <v>111.68</v>
      </c>
      <c r="K211" s="3">
        <v>213.25</v>
      </c>
      <c r="L211" s="3"/>
      <c r="N211" s="4"/>
    </row>
    <row r="212" spans="1:14" ht="17.5" thickBot="1" x14ac:dyDescent="0.45">
      <c r="A212" s="4">
        <v>43069</v>
      </c>
      <c r="B212" s="3">
        <v>173.57</v>
      </c>
      <c r="C212" s="3">
        <v>239.07</v>
      </c>
      <c r="D212" s="3">
        <v>107.59</v>
      </c>
      <c r="E212" s="3">
        <v>1.08</v>
      </c>
      <c r="F212" s="3">
        <v>255.23</v>
      </c>
      <c r="G212" s="3">
        <v>224.93</v>
      </c>
      <c r="H212" s="3">
        <v>181.33</v>
      </c>
      <c r="I212" s="3">
        <v>191.44</v>
      </c>
      <c r="J212" s="3">
        <v>111.69</v>
      </c>
      <c r="K212" s="3">
        <v>212.56</v>
      </c>
      <c r="L212" s="3"/>
      <c r="N212" s="4"/>
    </row>
    <row r="213" spans="1:14" ht="17.5" thickBot="1" x14ac:dyDescent="0.45">
      <c r="A213" s="4">
        <v>43070</v>
      </c>
      <c r="B213" s="3">
        <v>172.79</v>
      </c>
      <c r="C213" s="3">
        <v>239.77</v>
      </c>
      <c r="D213" s="3">
        <v>107.68</v>
      </c>
      <c r="E213" s="3">
        <v>1.079</v>
      </c>
      <c r="F213" s="3">
        <v>254.36</v>
      </c>
      <c r="G213" s="3">
        <v>224.34</v>
      </c>
      <c r="H213" s="3">
        <v>180.81</v>
      </c>
      <c r="I213" s="3">
        <v>191.4</v>
      </c>
      <c r="J213" s="3">
        <v>111.69</v>
      </c>
      <c r="K213" s="3">
        <v>212.3</v>
      </c>
      <c r="L213" s="3"/>
      <c r="N213" s="4"/>
    </row>
    <row r="214" spans="1:14" ht="17.5" thickBot="1" x14ac:dyDescent="0.45">
      <c r="A214" s="4">
        <v>43071</v>
      </c>
      <c r="B214" s="3">
        <v>172.79</v>
      </c>
      <c r="C214" s="3">
        <v>239.77</v>
      </c>
      <c r="D214" s="3">
        <v>107.68</v>
      </c>
      <c r="E214" s="3">
        <v>1.079</v>
      </c>
      <c r="F214" s="3">
        <v>254.36</v>
      </c>
      <c r="G214" s="3">
        <v>224.34</v>
      </c>
      <c r="H214" s="3">
        <v>180.81</v>
      </c>
      <c r="I214" s="3">
        <v>191.4</v>
      </c>
      <c r="J214" s="3">
        <v>111.69</v>
      </c>
      <c r="K214" s="3">
        <v>212.3</v>
      </c>
      <c r="L214" s="3"/>
      <c r="N214" s="4"/>
    </row>
    <row r="215" spans="1:14" ht="17.5" thickBot="1" x14ac:dyDescent="0.45">
      <c r="A215" s="4">
        <v>43072</v>
      </c>
      <c r="B215" s="3">
        <v>172.79</v>
      </c>
      <c r="C215" s="3">
        <v>239.77</v>
      </c>
      <c r="D215" s="3">
        <v>107.68</v>
      </c>
      <c r="E215" s="3">
        <v>1.079</v>
      </c>
      <c r="F215" s="3">
        <v>254.36</v>
      </c>
      <c r="G215" s="3">
        <v>224.34</v>
      </c>
      <c r="H215" s="3">
        <v>180.81</v>
      </c>
      <c r="I215" s="3">
        <v>191.4</v>
      </c>
      <c r="J215" s="3">
        <v>111.69</v>
      </c>
      <c r="K215" s="3">
        <v>212.3</v>
      </c>
      <c r="L215" s="3"/>
      <c r="N215" s="4"/>
    </row>
    <row r="216" spans="1:14" ht="17.5" thickBot="1" x14ac:dyDescent="0.45">
      <c r="A216" s="4">
        <v>43073</v>
      </c>
      <c r="B216" s="3">
        <v>173.15</v>
      </c>
      <c r="C216" s="3">
        <v>240.36</v>
      </c>
      <c r="D216" s="3">
        <v>107.67</v>
      </c>
      <c r="E216" s="3">
        <v>1.0797000000000001</v>
      </c>
      <c r="F216" s="3">
        <v>254.9</v>
      </c>
      <c r="G216" s="3">
        <v>224.28</v>
      </c>
      <c r="H216" s="3">
        <v>181.09</v>
      </c>
      <c r="I216" s="3">
        <v>191.55</v>
      </c>
      <c r="J216" s="3">
        <v>111.69</v>
      </c>
      <c r="K216" s="3">
        <v>212.47</v>
      </c>
      <c r="L216" s="3"/>
      <c r="N216" s="4"/>
    </row>
    <row r="217" spans="1:14" ht="17.5" thickBot="1" x14ac:dyDescent="0.45">
      <c r="A217" s="4">
        <v>43074</v>
      </c>
      <c r="B217" s="3">
        <v>171.66</v>
      </c>
      <c r="C217" s="3">
        <v>240.3</v>
      </c>
      <c r="D217" s="3">
        <v>107.76</v>
      </c>
      <c r="E217" s="3">
        <v>1.0780000000000001</v>
      </c>
      <c r="F217" s="3">
        <v>253.66</v>
      </c>
      <c r="G217" s="3">
        <v>223</v>
      </c>
      <c r="H217" s="3">
        <v>180.3</v>
      </c>
      <c r="I217" s="3">
        <v>190.78</v>
      </c>
      <c r="J217" s="3">
        <v>111.69</v>
      </c>
      <c r="K217" s="3">
        <v>211.88</v>
      </c>
      <c r="L217" s="3"/>
      <c r="N217" s="4"/>
    </row>
    <row r="218" spans="1:14" ht="17.5" thickBot="1" x14ac:dyDescent="0.45">
      <c r="A218" s="4">
        <v>43075</v>
      </c>
      <c r="B218" s="3">
        <v>167.7</v>
      </c>
      <c r="C218" s="3">
        <v>236.66</v>
      </c>
      <c r="D218" s="3">
        <v>107.58</v>
      </c>
      <c r="E218" s="3">
        <v>1.0755999999999999</v>
      </c>
      <c r="F218" s="3">
        <v>250.69</v>
      </c>
      <c r="G218" s="3">
        <v>222.84</v>
      </c>
      <c r="H218" s="3">
        <v>178.47</v>
      </c>
      <c r="I218" s="3">
        <v>190.71</v>
      </c>
      <c r="J218" s="3">
        <v>111.69</v>
      </c>
      <c r="K218" s="3">
        <v>210.55</v>
      </c>
      <c r="L218" s="3"/>
      <c r="N218" s="4"/>
    </row>
    <row r="219" spans="1:14" ht="17.5" thickBot="1" x14ac:dyDescent="0.45">
      <c r="A219" s="4">
        <v>43076</v>
      </c>
      <c r="B219" s="3">
        <v>168.08</v>
      </c>
      <c r="C219" s="3">
        <v>236.84</v>
      </c>
      <c r="D219" s="3">
        <v>107.48</v>
      </c>
      <c r="E219" s="3">
        <v>1.0761000000000001</v>
      </c>
      <c r="F219" s="3">
        <v>251.41</v>
      </c>
      <c r="G219" s="3">
        <v>223.47</v>
      </c>
      <c r="H219" s="3">
        <v>178.97</v>
      </c>
      <c r="I219" s="3">
        <v>190.64</v>
      </c>
      <c r="J219" s="3">
        <v>111.69</v>
      </c>
      <c r="K219" s="3">
        <v>210.85</v>
      </c>
      <c r="L219" s="3"/>
      <c r="N219" s="4"/>
    </row>
    <row r="220" spans="1:14" ht="17.5" thickBot="1" x14ac:dyDescent="0.45">
      <c r="A220" s="4">
        <v>43077</v>
      </c>
      <c r="B220" s="3">
        <v>170.1</v>
      </c>
      <c r="C220" s="3">
        <v>238.44</v>
      </c>
      <c r="D220" s="3">
        <v>107.39</v>
      </c>
      <c r="E220" s="3">
        <v>1.0793999999999999</v>
      </c>
      <c r="F220" s="3">
        <v>253.55</v>
      </c>
      <c r="G220" s="3">
        <v>224.78</v>
      </c>
      <c r="H220" s="3">
        <v>180.29</v>
      </c>
      <c r="I220" s="3">
        <v>191.67</v>
      </c>
      <c r="J220" s="3">
        <v>111.69</v>
      </c>
      <c r="K220" s="3">
        <v>211.76</v>
      </c>
      <c r="L220" s="3"/>
      <c r="N220" s="4"/>
    </row>
    <row r="221" spans="1:14" ht="17.5" thickBot="1" x14ac:dyDescent="0.45">
      <c r="A221" s="4">
        <v>43078</v>
      </c>
      <c r="B221" s="3">
        <v>170.1</v>
      </c>
      <c r="C221" s="3">
        <v>238.44</v>
      </c>
      <c r="D221" s="3">
        <v>107.39</v>
      </c>
      <c r="E221" s="3">
        <v>1.0793999999999999</v>
      </c>
      <c r="F221" s="3">
        <v>253.55</v>
      </c>
      <c r="G221" s="3">
        <v>224.78</v>
      </c>
      <c r="H221" s="3">
        <v>180.29</v>
      </c>
      <c r="I221" s="3">
        <v>191.67</v>
      </c>
      <c r="J221" s="3">
        <v>111.69</v>
      </c>
      <c r="K221" s="3">
        <v>211.76</v>
      </c>
      <c r="L221" s="3"/>
      <c r="N221" s="4"/>
    </row>
    <row r="222" spans="1:14" ht="17.5" thickBot="1" x14ac:dyDescent="0.45">
      <c r="A222" s="4">
        <v>43079</v>
      </c>
      <c r="B222" s="3">
        <v>170.1</v>
      </c>
      <c r="C222" s="3">
        <v>238.44</v>
      </c>
      <c r="D222" s="3">
        <v>107.39</v>
      </c>
      <c r="E222" s="3">
        <v>1.0793999999999999</v>
      </c>
      <c r="F222" s="3">
        <v>253.55</v>
      </c>
      <c r="G222" s="3">
        <v>224.78</v>
      </c>
      <c r="H222" s="3">
        <v>180.29</v>
      </c>
      <c r="I222" s="3">
        <v>191.67</v>
      </c>
      <c r="J222" s="3">
        <v>111.69</v>
      </c>
      <c r="K222" s="3">
        <v>211.76</v>
      </c>
      <c r="L222" s="3"/>
      <c r="N222" s="4"/>
    </row>
    <row r="223" spans="1:14" ht="17.5" thickBot="1" x14ac:dyDescent="0.45">
      <c r="A223" s="4">
        <v>43080</v>
      </c>
      <c r="B223" s="3">
        <v>171.91</v>
      </c>
      <c r="C223" s="3">
        <v>239.53</v>
      </c>
      <c r="D223" s="3">
        <v>107.57</v>
      </c>
      <c r="E223" s="3">
        <v>1.0824</v>
      </c>
      <c r="F223" s="3">
        <v>255.43</v>
      </c>
      <c r="G223" s="3">
        <v>225.2</v>
      </c>
      <c r="H223" s="3">
        <v>181.5</v>
      </c>
      <c r="I223" s="3">
        <v>192.26</v>
      </c>
      <c r="J223" s="3">
        <v>111.69</v>
      </c>
      <c r="K223" s="3">
        <v>212.74</v>
      </c>
      <c r="L223" s="3"/>
      <c r="N223" s="4"/>
    </row>
    <row r="224" spans="1:14" ht="17.5" thickBot="1" x14ac:dyDescent="0.45">
      <c r="A224" s="4">
        <v>43081</v>
      </c>
      <c r="B224" s="3">
        <v>170.88</v>
      </c>
      <c r="C224" s="3">
        <v>238.94</v>
      </c>
      <c r="D224" s="3">
        <v>107.66</v>
      </c>
      <c r="E224" s="3">
        <v>1.0820000000000001</v>
      </c>
      <c r="F224" s="3">
        <v>254.76</v>
      </c>
      <c r="G224" s="3">
        <v>225.33</v>
      </c>
      <c r="H224" s="3">
        <v>181.06</v>
      </c>
      <c r="I224" s="3">
        <v>192.98</v>
      </c>
      <c r="J224" s="3">
        <v>111.69</v>
      </c>
      <c r="K224" s="3">
        <v>212.32</v>
      </c>
      <c r="L224" s="3"/>
      <c r="N224" s="4"/>
    </row>
    <row r="225" spans="1:14" ht="17.5" thickBot="1" x14ac:dyDescent="0.45">
      <c r="A225" s="4">
        <v>43082</v>
      </c>
      <c r="B225" s="3">
        <v>173.58</v>
      </c>
      <c r="C225" s="3">
        <v>239.89</v>
      </c>
      <c r="D225" s="3">
        <v>107.75</v>
      </c>
      <c r="E225" s="3">
        <v>1.0828</v>
      </c>
      <c r="F225" s="3">
        <v>255.86</v>
      </c>
      <c r="G225" s="3">
        <v>225.11</v>
      </c>
      <c r="H225" s="3">
        <v>181.7</v>
      </c>
      <c r="I225" s="3">
        <v>192.51</v>
      </c>
      <c r="J225" s="3">
        <v>111.69</v>
      </c>
      <c r="K225" s="3">
        <v>212.84</v>
      </c>
      <c r="L225" s="3"/>
      <c r="N225" s="4"/>
    </row>
    <row r="226" spans="1:14" ht="17.5" thickBot="1" x14ac:dyDescent="0.45">
      <c r="A226" s="4">
        <v>43083</v>
      </c>
      <c r="B226" s="3">
        <v>172.86</v>
      </c>
      <c r="C226" s="3">
        <v>241.07</v>
      </c>
      <c r="D226" s="3">
        <v>107.93</v>
      </c>
      <c r="E226" s="3">
        <v>1.0818000000000001</v>
      </c>
      <c r="F226" s="3">
        <v>255.64</v>
      </c>
      <c r="G226" s="3">
        <v>223.97</v>
      </c>
      <c r="H226" s="3">
        <v>181.56</v>
      </c>
      <c r="I226" s="3">
        <v>191.69</v>
      </c>
      <c r="J226" s="3">
        <v>111.69</v>
      </c>
      <c r="K226" s="3">
        <v>212.82</v>
      </c>
      <c r="L226" s="3"/>
      <c r="N226" s="4"/>
    </row>
    <row r="227" spans="1:14" ht="17.5" thickBot="1" x14ac:dyDescent="0.45">
      <c r="A227" s="4">
        <v>43084</v>
      </c>
      <c r="B227" s="3">
        <v>171.22</v>
      </c>
      <c r="C227" s="3">
        <v>240.74</v>
      </c>
      <c r="D227" s="3">
        <v>108.11</v>
      </c>
      <c r="E227" s="3">
        <v>1.0842000000000001</v>
      </c>
      <c r="F227" s="3">
        <v>254.8</v>
      </c>
      <c r="G227" s="3">
        <v>226.33</v>
      </c>
      <c r="H227" s="3">
        <v>181.1</v>
      </c>
      <c r="I227" s="3">
        <v>193.24</v>
      </c>
      <c r="J227" s="3">
        <v>111.69</v>
      </c>
      <c r="K227" s="3">
        <v>212.56</v>
      </c>
      <c r="L227" s="3"/>
      <c r="N227" s="4"/>
    </row>
    <row r="228" spans="1:14" ht="17.5" thickBot="1" x14ac:dyDescent="0.45">
      <c r="A228" s="4">
        <v>43085</v>
      </c>
      <c r="B228" s="3">
        <v>171.22</v>
      </c>
      <c r="C228" s="3">
        <v>240.74</v>
      </c>
      <c r="D228" s="3">
        <v>108.11</v>
      </c>
      <c r="E228" s="3">
        <v>1.0842000000000001</v>
      </c>
      <c r="F228" s="3">
        <v>254.8</v>
      </c>
      <c r="G228" s="3">
        <v>226.33</v>
      </c>
      <c r="H228" s="3">
        <v>181.1</v>
      </c>
      <c r="I228" s="3">
        <v>193.24</v>
      </c>
      <c r="J228" s="3">
        <v>111.69</v>
      </c>
      <c r="K228" s="3">
        <v>212.56</v>
      </c>
      <c r="L228" s="3"/>
      <c r="N228" s="4"/>
    </row>
    <row r="229" spans="1:14" ht="17.5" thickBot="1" x14ac:dyDescent="0.45">
      <c r="A229" s="4">
        <v>43086</v>
      </c>
      <c r="B229" s="3">
        <v>171.22</v>
      </c>
      <c r="C229" s="3">
        <v>240.74</v>
      </c>
      <c r="D229" s="3">
        <v>108.11</v>
      </c>
      <c r="E229" s="3">
        <v>1.0842000000000001</v>
      </c>
      <c r="F229" s="3">
        <v>254.8</v>
      </c>
      <c r="G229" s="3">
        <v>226.33</v>
      </c>
      <c r="H229" s="3">
        <v>181.1</v>
      </c>
      <c r="I229" s="3">
        <v>193.24</v>
      </c>
      <c r="J229" s="3">
        <v>111.69</v>
      </c>
      <c r="K229" s="3">
        <v>212.56</v>
      </c>
      <c r="L229" s="3"/>
      <c r="N229" s="4"/>
    </row>
    <row r="230" spans="1:14" ht="17.5" thickBot="1" x14ac:dyDescent="0.45">
      <c r="A230" s="4">
        <v>43087</v>
      </c>
      <c r="B230" s="3">
        <v>172.27</v>
      </c>
      <c r="C230" s="3">
        <v>241.9</v>
      </c>
      <c r="D230" s="3">
        <v>108.2</v>
      </c>
      <c r="E230" s="3">
        <v>1.0899000000000001</v>
      </c>
      <c r="F230" s="3">
        <v>256.87</v>
      </c>
      <c r="G230" s="3">
        <v>227.76</v>
      </c>
      <c r="H230" s="3">
        <v>182.46</v>
      </c>
      <c r="I230" s="3">
        <v>195.19</v>
      </c>
      <c r="J230" s="3">
        <v>111.69</v>
      </c>
      <c r="K230" s="3">
        <v>213.6</v>
      </c>
      <c r="L230" s="3"/>
      <c r="N230" s="4"/>
    </row>
    <row r="231" spans="1:14" ht="17.5" thickBot="1" x14ac:dyDescent="0.45">
      <c r="A231" s="4">
        <v>43088</v>
      </c>
      <c r="B231" s="3">
        <v>173.32</v>
      </c>
      <c r="C231" s="3">
        <v>243.18</v>
      </c>
      <c r="D231" s="3">
        <v>108.1</v>
      </c>
      <c r="E231" s="3">
        <v>1.0867</v>
      </c>
      <c r="F231" s="3">
        <v>257.43</v>
      </c>
      <c r="G231" s="3">
        <v>227.24</v>
      </c>
      <c r="H231" s="3">
        <v>182.75</v>
      </c>
      <c r="I231" s="3">
        <v>194.17</v>
      </c>
      <c r="J231" s="3">
        <v>111.69</v>
      </c>
      <c r="K231" s="3">
        <v>213.63</v>
      </c>
      <c r="L231" s="3"/>
      <c r="N231" s="4"/>
    </row>
    <row r="232" spans="1:14" ht="17.5" thickBot="1" x14ac:dyDescent="0.45">
      <c r="A232" s="4">
        <v>43089</v>
      </c>
      <c r="B232" s="3">
        <v>173.44</v>
      </c>
      <c r="C232" s="3">
        <v>243.58</v>
      </c>
      <c r="D232" s="3">
        <v>108.1</v>
      </c>
      <c r="E232" s="3">
        <v>1.0863</v>
      </c>
      <c r="F232" s="3">
        <v>257.55</v>
      </c>
      <c r="G232" s="3">
        <v>227.65</v>
      </c>
      <c r="H232" s="3">
        <v>182.83</v>
      </c>
      <c r="I232" s="3">
        <v>194.26</v>
      </c>
      <c r="J232" s="3">
        <v>111.69</v>
      </c>
      <c r="K232" s="3">
        <v>213.63</v>
      </c>
      <c r="L232" s="3"/>
      <c r="N232" s="4"/>
    </row>
    <row r="233" spans="1:14" ht="17.5" thickBot="1" x14ac:dyDescent="0.45">
      <c r="A233" s="4">
        <v>43090</v>
      </c>
      <c r="B233" s="3">
        <v>174.23</v>
      </c>
      <c r="C233" s="3">
        <v>242.85</v>
      </c>
      <c r="D233" s="3">
        <v>108.01</v>
      </c>
      <c r="E233" s="3">
        <v>1.0878000000000001</v>
      </c>
      <c r="F233" s="3">
        <v>258.08999999999997</v>
      </c>
      <c r="G233" s="3">
        <v>228.24</v>
      </c>
      <c r="H233" s="3">
        <v>183.16</v>
      </c>
      <c r="I233" s="3">
        <v>194.8</v>
      </c>
      <c r="J233" s="3">
        <v>111.69</v>
      </c>
      <c r="K233" s="3">
        <v>213.83</v>
      </c>
      <c r="L233" s="3"/>
      <c r="N233" s="4"/>
    </row>
    <row r="234" spans="1:14" ht="17.5" thickBot="1" x14ac:dyDescent="0.45">
      <c r="A234" s="4">
        <v>43091</v>
      </c>
      <c r="B234" s="3">
        <v>175.05</v>
      </c>
      <c r="C234" s="3">
        <v>244.33</v>
      </c>
      <c r="D234" s="3">
        <v>107.91</v>
      </c>
      <c r="E234" s="3">
        <v>1.0871999999999999</v>
      </c>
      <c r="F234" s="3">
        <v>258.8</v>
      </c>
      <c r="G234" s="3">
        <v>228.06</v>
      </c>
      <c r="H234" s="3">
        <v>183.62</v>
      </c>
      <c r="I234" s="3">
        <v>194.6</v>
      </c>
      <c r="J234" s="3">
        <v>111.69</v>
      </c>
      <c r="K234" s="3">
        <v>214.08</v>
      </c>
      <c r="L234" s="3"/>
      <c r="N234" s="4"/>
    </row>
    <row r="235" spans="1:14" ht="17.5" thickBot="1" x14ac:dyDescent="0.45">
      <c r="A235" s="4">
        <v>43092</v>
      </c>
      <c r="B235" s="3">
        <v>175.05</v>
      </c>
      <c r="C235" s="3">
        <v>244.33</v>
      </c>
      <c r="D235" s="3">
        <v>107.91</v>
      </c>
      <c r="E235" s="3">
        <v>1.0871999999999999</v>
      </c>
      <c r="F235" s="3">
        <v>258.8</v>
      </c>
      <c r="G235" s="3">
        <v>228.06</v>
      </c>
      <c r="H235" s="3">
        <v>183.62</v>
      </c>
      <c r="I235" s="3">
        <v>194.6</v>
      </c>
      <c r="J235" s="3">
        <v>111.69</v>
      </c>
      <c r="K235" s="3">
        <v>214.08</v>
      </c>
      <c r="L235" s="3"/>
      <c r="N235" s="4"/>
    </row>
    <row r="236" spans="1:14" ht="17.5" thickBot="1" x14ac:dyDescent="0.45">
      <c r="A236" s="4">
        <v>43093</v>
      </c>
      <c r="B236" s="3">
        <v>175.05</v>
      </c>
      <c r="C236" s="3">
        <v>244.33</v>
      </c>
      <c r="D236" s="3">
        <v>107.91</v>
      </c>
      <c r="E236" s="3">
        <v>1.0871999999999999</v>
      </c>
      <c r="F236" s="3">
        <v>258.8</v>
      </c>
      <c r="G236" s="3">
        <v>228.06</v>
      </c>
      <c r="H236" s="3">
        <v>183.62</v>
      </c>
      <c r="I236" s="3">
        <v>194.6</v>
      </c>
      <c r="J236" s="3">
        <v>111.69</v>
      </c>
      <c r="K236" s="3">
        <v>214.08</v>
      </c>
      <c r="L236" s="3"/>
      <c r="N236" s="4"/>
    </row>
    <row r="237" spans="1:14" ht="17.5" thickBot="1" x14ac:dyDescent="0.45">
      <c r="A237" s="4">
        <v>43094</v>
      </c>
      <c r="B237" s="3">
        <v>175.05</v>
      </c>
      <c r="C237" s="3">
        <v>244.33</v>
      </c>
      <c r="D237" s="3">
        <v>107.91</v>
      </c>
      <c r="E237" s="3">
        <v>1.0871999999999999</v>
      </c>
      <c r="F237" s="3">
        <v>258.8</v>
      </c>
      <c r="G237" s="3">
        <v>228.06</v>
      </c>
      <c r="H237" s="3">
        <v>183.62</v>
      </c>
      <c r="I237" s="3">
        <v>194.6</v>
      </c>
      <c r="J237" s="3">
        <v>111.69</v>
      </c>
      <c r="K237" s="3">
        <v>214.08</v>
      </c>
      <c r="L237" s="3"/>
      <c r="N237" s="4"/>
    </row>
    <row r="238" spans="1:14" ht="17.5" thickBot="1" x14ac:dyDescent="0.45">
      <c r="A238" s="4">
        <v>43095</v>
      </c>
      <c r="B238" s="3">
        <v>175.05</v>
      </c>
      <c r="C238" s="3">
        <v>244.33</v>
      </c>
      <c r="D238" s="3">
        <v>107.91</v>
      </c>
      <c r="E238" s="3">
        <v>1.0871999999999999</v>
      </c>
      <c r="F238" s="3">
        <v>258.8</v>
      </c>
      <c r="G238" s="3">
        <v>228.06</v>
      </c>
      <c r="H238" s="3">
        <v>183.62</v>
      </c>
      <c r="I238" s="3">
        <v>194.6</v>
      </c>
      <c r="J238" s="3">
        <v>111.69</v>
      </c>
      <c r="K238" s="3">
        <v>214.08</v>
      </c>
      <c r="L238" s="3"/>
      <c r="N238" s="4"/>
    </row>
    <row r="239" spans="1:14" ht="17.5" thickBot="1" x14ac:dyDescent="0.45">
      <c r="A239" s="4">
        <v>43096</v>
      </c>
      <c r="B239" s="3">
        <v>175.4</v>
      </c>
      <c r="C239" s="3">
        <v>244.27</v>
      </c>
      <c r="D239" s="3">
        <v>108</v>
      </c>
      <c r="E239" s="3">
        <v>1.0894999999999999</v>
      </c>
      <c r="F239" s="3">
        <v>259.14</v>
      </c>
      <c r="G239" s="3">
        <v>227.82</v>
      </c>
      <c r="H239" s="3">
        <v>183.81</v>
      </c>
      <c r="I239" s="3">
        <v>194.63</v>
      </c>
      <c r="J239" s="3">
        <v>111.69</v>
      </c>
      <c r="K239" s="3">
        <v>214.4</v>
      </c>
      <c r="L239" s="3"/>
      <c r="N239" s="4"/>
    </row>
    <row r="240" spans="1:14" ht="17.5" thickBot="1" x14ac:dyDescent="0.45">
      <c r="A240" s="4">
        <v>43097</v>
      </c>
      <c r="B240" s="3">
        <v>176.84</v>
      </c>
      <c r="C240" s="3">
        <v>246.41</v>
      </c>
      <c r="D240" s="3">
        <v>108.55</v>
      </c>
      <c r="E240" s="3">
        <v>1.0907</v>
      </c>
      <c r="F240" s="3">
        <v>260.39</v>
      </c>
      <c r="G240" s="3">
        <v>228.32</v>
      </c>
      <c r="H240" s="3">
        <v>184.59</v>
      </c>
      <c r="I240" s="3">
        <v>195.27</v>
      </c>
      <c r="J240" s="3">
        <v>111.69</v>
      </c>
      <c r="K240" s="3">
        <v>215.05</v>
      </c>
      <c r="L240" s="3"/>
      <c r="N240" s="4"/>
    </row>
    <row r="241" spans="1:14" ht="17.5" thickBot="1" x14ac:dyDescent="0.45">
      <c r="A241" s="4">
        <v>43098</v>
      </c>
      <c r="B241" s="3">
        <v>176.9</v>
      </c>
      <c r="C241" s="3">
        <v>247.49</v>
      </c>
      <c r="D241" s="3">
        <v>108.73</v>
      </c>
      <c r="E241" s="3">
        <v>1.0903</v>
      </c>
      <c r="F241" s="3">
        <v>260.8</v>
      </c>
      <c r="G241" s="3">
        <v>227.14</v>
      </c>
      <c r="H241" s="3">
        <v>184.8</v>
      </c>
      <c r="I241" s="3">
        <v>194.89</v>
      </c>
      <c r="J241" s="3">
        <v>111.7</v>
      </c>
      <c r="K241" s="3">
        <v>215.26</v>
      </c>
      <c r="L241" s="3"/>
      <c r="N241" s="4"/>
    </row>
    <row r="242" spans="1:14" ht="17.5" thickBot="1" x14ac:dyDescent="0.45">
      <c r="A242" s="4">
        <v>43099</v>
      </c>
      <c r="B242" s="3">
        <v>176.9</v>
      </c>
      <c r="C242" s="3">
        <v>247.49</v>
      </c>
      <c r="D242" s="3">
        <v>108.73</v>
      </c>
      <c r="E242" s="3">
        <v>1.0903</v>
      </c>
      <c r="F242" s="3">
        <v>260.8</v>
      </c>
      <c r="G242" s="3">
        <v>227.14</v>
      </c>
      <c r="H242" s="3">
        <v>184.8</v>
      </c>
      <c r="I242" s="3">
        <v>194.89</v>
      </c>
      <c r="J242" s="3">
        <v>111.7</v>
      </c>
      <c r="K242" s="3">
        <v>215.26</v>
      </c>
      <c r="L242" s="3"/>
      <c r="N242" s="4"/>
    </row>
    <row r="243" spans="1:14" ht="17.5" thickBot="1" x14ac:dyDescent="0.45">
      <c r="A243" s="4">
        <v>43100</v>
      </c>
      <c r="B243" s="3">
        <v>176.9</v>
      </c>
      <c r="C243" s="3">
        <v>247.49</v>
      </c>
      <c r="D243" s="3">
        <v>108.73</v>
      </c>
      <c r="E243" s="3">
        <v>1.0903</v>
      </c>
      <c r="F243" s="3">
        <v>260.8</v>
      </c>
      <c r="G243" s="3">
        <v>227.14</v>
      </c>
      <c r="H243" s="3">
        <v>184.8</v>
      </c>
      <c r="I243" s="3">
        <v>194.89</v>
      </c>
      <c r="J243" s="3">
        <v>111.7</v>
      </c>
      <c r="K243" s="3">
        <v>215.26</v>
      </c>
      <c r="L243" s="3"/>
      <c r="N243" s="4"/>
    </row>
    <row r="244" spans="1:14" ht="17.5" thickBot="1" x14ac:dyDescent="0.45">
      <c r="A244" s="4">
        <v>43101</v>
      </c>
      <c r="B244" s="3">
        <v>176.9</v>
      </c>
      <c r="C244" s="3">
        <v>247.49</v>
      </c>
      <c r="D244" s="3">
        <v>108.73</v>
      </c>
      <c r="E244" s="3">
        <v>1.0903</v>
      </c>
      <c r="F244" s="3">
        <v>260.8</v>
      </c>
      <c r="G244" s="3">
        <v>227.14</v>
      </c>
      <c r="H244" s="3">
        <v>184.8</v>
      </c>
      <c r="I244" s="3">
        <v>194.89</v>
      </c>
      <c r="J244" s="3">
        <v>111.7</v>
      </c>
      <c r="K244" s="3">
        <v>215.26</v>
      </c>
      <c r="L244" s="3"/>
      <c r="N244" s="4"/>
    </row>
    <row r="245" spans="1:14" ht="17.5" thickBot="1" x14ac:dyDescent="0.45">
      <c r="A245" s="4">
        <v>43102</v>
      </c>
      <c r="B245" s="3">
        <v>180.8</v>
      </c>
      <c r="C245" s="3">
        <v>249.06</v>
      </c>
      <c r="D245" s="3">
        <v>109</v>
      </c>
      <c r="E245" s="3">
        <v>1.0933999999999999</v>
      </c>
      <c r="F245" s="3">
        <v>263.3</v>
      </c>
      <c r="G245" s="3">
        <v>228.87</v>
      </c>
      <c r="H245" s="3">
        <v>186.4</v>
      </c>
      <c r="I245" s="3">
        <v>197.12</v>
      </c>
      <c r="J245" s="3">
        <v>111.7</v>
      </c>
      <c r="K245" s="3">
        <v>216.34</v>
      </c>
      <c r="L245" s="3"/>
      <c r="N245" s="4"/>
    </row>
    <row r="246" spans="1:14" ht="17.5" thickBot="1" x14ac:dyDescent="0.45">
      <c r="A246" s="4">
        <v>43103</v>
      </c>
      <c r="B246" s="3">
        <v>181.15</v>
      </c>
      <c r="C246" s="3">
        <v>250.24</v>
      </c>
      <c r="D246" s="3">
        <v>109</v>
      </c>
      <c r="E246" s="3">
        <v>1.0971</v>
      </c>
      <c r="F246" s="3">
        <v>264.27</v>
      </c>
      <c r="G246" s="3">
        <v>230.16</v>
      </c>
      <c r="H246" s="3">
        <v>187.02</v>
      </c>
      <c r="I246" s="3">
        <v>198.44</v>
      </c>
      <c r="J246" s="3">
        <v>111.7</v>
      </c>
      <c r="K246" s="3">
        <v>216.84</v>
      </c>
      <c r="L246" s="3"/>
      <c r="N246" s="4"/>
    </row>
    <row r="247" spans="1:14" ht="17.5" thickBot="1" x14ac:dyDescent="0.45">
      <c r="A247" s="4">
        <v>43104</v>
      </c>
      <c r="B247" s="3">
        <v>182.44</v>
      </c>
      <c r="C247" s="3">
        <v>251.36</v>
      </c>
      <c r="D247" s="3">
        <v>109.18</v>
      </c>
      <c r="E247" s="3">
        <v>1.1028</v>
      </c>
      <c r="F247" s="3">
        <v>266.67</v>
      </c>
      <c r="G247" s="3">
        <v>230.99</v>
      </c>
      <c r="H247" s="3">
        <v>188.63</v>
      </c>
      <c r="I247" s="3">
        <v>199.27</v>
      </c>
      <c r="J247" s="3">
        <v>111.7</v>
      </c>
      <c r="K247" s="3">
        <v>218.12</v>
      </c>
      <c r="L247" s="3"/>
      <c r="N247" s="4"/>
    </row>
    <row r="248" spans="1:14" ht="17.5" thickBot="1" x14ac:dyDescent="0.45">
      <c r="A248" s="4">
        <v>43105</v>
      </c>
      <c r="B248" s="3">
        <v>182.56</v>
      </c>
      <c r="C248" s="3">
        <v>253.46</v>
      </c>
      <c r="D248" s="3">
        <v>109.27</v>
      </c>
      <c r="E248" s="3">
        <v>1.107</v>
      </c>
      <c r="F248" s="3">
        <v>267.86</v>
      </c>
      <c r="G248" s="3">
        <v>232.99</v>
      </c>
      <c r="H248" s="3">
        <v>189.42</v>
      </c>
      <c r="I248" s="3">
        <v>200.71</v>
      </c>
      <c r="J248" s="3">
        <v>111.7</v>
      </c>
      <c r="K248" s="3">
        <v>218.72</v>
      </c>
      <c r="L248" s="3"/>
      <c r="N248" s="4"/>
    </row>
    <row r="249" spans="1:14" ht="17.5" thickBot="1" x14ac:dyDescent="0.45">
      <c r="A249" s="4">
        <v>43106</v>
      </c>
      <c r="B249" s="3">
        <v>182.56</v>
      </c>
      <c r="C249" s="3">
        <v>253.46</v>
      </c>
      <c r="D249" s="3">
        <v>109.27</v>
      </c>
      <c r="E249" s="3">
        <v>1.107</v>
      </c>
      <c r="F249" s="3">
        <v>267.86</v>
      </c>
      <c r="G249" s="3">
        <v>232.99</v>
      </c>
      <c r="H249" s="3">
        <v>189.42</v>
      </c>
      <c r="I249" s="3">
        <v>200.71</v>
      </c>
      <c r="J249" s="3">
        <v>111.7</v>
      </c>
      <c r="K249" s="3">
        <v>218.72</v>
      </c>
      <c r="L249" s="3"/>
      <c r="N249" s="4"/>
    </row>
    <row r="250" spans="1:14" ht="17.5" thickBot="1" x14ac:dyDescent="0.45">
      <c r="A250" s="4">
        <v>43107</v>
      </c>
      <c r="B250" s="3">
        <v>182.56</v>
      </c>
      <c r="C250" s="3">
        <v>253.46</v>
      </c>
      <c r="D250" s="3">
        <v>109.27</v>
      </c>
      <c r="E250" s="3">
        <v>1.107</v>
      </c>
      <c r="F250" s="3">
        <v>267.86</v>
      </c>
      <c r="G250" s="3">
        <v>232.99</v>
      </c>
      <c r="H250" s="3">
        <v>189.42</v>
      </c>
      <c r="I250" s="3">
        <v>200.71</v>
      </c>
      <c r="J250" s="3">
        <v>111.7</v>
      </c>
      <c r="K250" s="3">
        <v>218.72</v>
      </c>
      <c r="L250" s="3"/>
      <c r="N250" s="4"/>
    </row>
    <row r="251" spans="1:14" ht="17.5" thickBot="1" x14ac:dyDescent="0.45">
      <c r="A251" s="4">
        <v>43108</v>
      </c>
      <c r="B251" s="3">
        <v>183.08</v>
      </c>
      <c r="C251" s="3">
        <v>254.35</v>
      </c>
      <c r="D251" s="3">
        <v>109.17</v>
      </c>
      <c r="E251" s="3">
        <v>1.1080000000000001</v>
      </c>
      <c r="F251" s="3">
        <v>268.18</v>
      </c>
      <c r="G251" s="3">
        <v>233.25</v>
      </c>
      <c r="H251" s="3">
        <v>189.65</v>
      </c>
      <c r="I251" s="3">
        <v>200.97</v>
      </c>
      <c r="J251" s="3">
        <v>111.7</v>
      </c>
      <c r="K251" s="3">
        <v>218.88</v>
      </c>
      <c r="L251" s="3"/>
      <c r="N251" s="4"/>
    </row>
    <row r="252" spans="1:14" ht="17.5" thickBot="1" x14ac:dyDescent="0.45">
      <c r="A252" s="4">
        <v>43109</v>
      </c>
      <c r="B252" s="3">
        <v>183.93</v>
      </c>
      <c r="C252" s="3">
        <v>253.9</v>
      </c>
      <c r="D252" s="3">
        <v>108.9</v>
      </c>
      <c r="E252" s="3">
        <v>1.1080000000000001</v>
      </c>
      <c r="F252" s="3">
        <v>269.07</v>
      </c>
      <c r="G252" s="3">
        <v>233.77</v>
      </c>
      <c r="H252" s="3">
        <v>190.25</v>
      </c>
      <c r="I252" s="3">
        <v>201.08</v>
      </c>
      <c r="J252" s="3">
        <v>111.7</v>
      </c>
      <c r="K252" s="3">
        <v>219.14</v>
      </c>
      <c r="L252" s="3"/>
      <c r="N252" s="4"/>
    </row>
    <row r="253" spans="1:14" ht="17.5" thickBot="1" x14ac:dyDescent="0.45">
      <c r="A253" s="4">
        <v>43110</v>
      </c>
      <c r="B253" s="3">
        <v>184.28</v>
      </c>
      <c r="C253" s="3">
        <v>252.27</v>
      </c>
      <c r="D253" s="3">
        <v>108.8</v>
      </c>
      <c r="E253" s="3">
        <v>1.1080000000000001</v>
      </c>
      <c r="F253" s="3">
        <v>269.61</v>
      </c>
      <c r="G253" s="3">
        <v>233.66</v>
      </c>
      <c r="H253" s="3">
        <v>190.61</v>
      </c>
      <c r="I253" s="3">
        <v>200.62</v>
      </c>
      <c r="J253" s="3">
        <v>111.7</v>
      </c>
      <c r="K253" s="3">
        <v>219.38</v>
      </c>
      <c r="L253" s="3"/>
      <c r="N253" s="4"/>
    </row>
    <row r="254" spans="1:14" ht="17.5" thickBot="1" x14ac:dyDescent="0.45">
      <c r="A254" s="4">
        <v>43111</v>
      </c>
      <c r="B254" s="3">
        <v>184.22</v>
      </c>
      <c r="C254" s="3">
        <v>251.32</v>
      </c>
      <c r="D254" s="3">
        <v>109.08</v>
      </c>
      <c r="E254" s="3">
        <v>1.1105</v>
      </c>
      <c r="F254" s="3">
        <v>270.02999999999997</v>
      </c>
      <c r="G254" s="3">
        <v>235.58</v>
      </c>
      <c r="H254" s="3">
        <v>190.88</v>
      </c>
      <c r="I254" s="3">
        <v>202.36</v>
      </c>
      <c r="J254" s="3">
        <v>111.7</v>
      </c>
      <c r="K254" s="3">
        <v>219.63</v>
      </c>
      <c r="L254" s="3"/>
      <c r="N254" s="4"/>
    </row>
    <row r="255" spans="1:14" ht="17.5" thickBot="1" x14ac:dyDescent="0.45">
      <c r="A255" s="4">
        <v>43112</v>
      </c>
      <c r="B255" s="3">
        <v>185.92</v>
      </c>
      <c r="C255" s="3">
        <v>253.45</v>
      </c>
      <c r="D255" s="3">
        <v>109.35</v>
      </c>
      <c r="E255" s="3">
        <v>1.1153</v>
      </c>
      <c r="F255" s="3">
        <v>272.12</v>
      </c>
      <c r="G255" s="3">
        <v>237.43</v>
      </c>
      <c r="H255" s="3">
        <v>192.14</v>
      </c>
      <c r="I255" s="3">
        <v>203.67</v>
      </c>
      <c r="J255" s="3">
        <v>111.7</v>
      </c>
      <c r="K255" s="3">
        <v>220.7</v>
      </c>
      <c r="L255" s="3"/>
      <c r="N255" s="4"/>
    </row>
    <row r="256" spans="1:14" ht="17.5" thickBot="1" x14ac:dyDescent="0.45">
      <c r="A256" s="4">
        <v>43113</v>
      </c>
      <c r="B256" s="3">
        <v>185.92</v>
      </c>
      <c r="C256" s="3">
        <v>253.45</v>
      </c>
      <c r="D256" s="3">
        <v>109.35</v>
      </c>
      <c r="E256" s="3">
        <v>1.1153</v>
      </c>
      <c r="F256" s="3">
        <v>272.12</v>
      </c>
      <c r="G256" s="3">
        <v>237.43</v>
      </c>
      <c r="H256" s="3">
        <v>192.14</v>
      </c>
      <c r="I256" s="3">
        <v>203.67</v>
      </c>
      <c r="J256" s="3">
        <v>111.7</v>
      </c>
      <c r="K256" s="3">
        <v>220.7</v>
      </c>
      <c r="L256" s="3"/>
      <c r="N256" s="4"/>
    </row>
    <row r="257" spans="1:14" ht="17.5" thickBot="1" x14ac:dyDescent="0.45">
      <c r="A257" s="4">
        <v>43114</v>
      </c>
      <c r="B257" s="3">
        <v>185.92</v>
      </c>
      <c r="C257" s="3">
        <v>253.45</v>
      </c>
      <c r="D257" s="3">
        <v>109.35</v>
      </c>
      <c r="E257" s="3">
        <v>1.1153</v>
      </c>
      <c r="F257" s="3">
        <v>272.12</v>
      </c>
      <c r="G257" s="3">
        <v>237.43</v>
      </c>
      <c r="H257" s="3">
        <v>192.14</v>
      </c>
      <c r="I257" s="3">
        <v>203.67</v>
      </c>
      <c r="J257" s="3">
        <v>111.7</v>
      </c>
      <c r="K257" s="3">
        <v>220.7</v>
      </c>
      <c r="L257" s="3"/>
      <c r="N257" s="4"/>
    </row>
    <row r="258" spans="1:14" ht="17.5" thickBot="1" x14ac:dyDescent="0.45">
      <c r="A258" s="4">
        <v>43115</v>
      </c>
      <c r="B258" s="3">
        <v>186.15</v>
      </c>
      <c r="C258" s="3">
        <v>255.13</v>
      </c>
      <c r="D258" s="3">
        <v>109.71</v>
      </c>
      <c r="E258" s="3">
        <v>1.1175999999999999</v>
      </c>
      <c r="F258" s="3">
        <v>272.66000000000003</v>
      </c>
      <c r="G258" s="3">
        <v>237.39</v>
      </c>
      <c r="H258" s="3">
        <v>192.49</v>
      </c>
      <c r="I258" s="3">
        <v>203.66</v>
      </c>
      <c r="J258" s="3">
        <v>111.7</v>
      </c>
      <c r="K258" s="3">
        <v>221.11</v>
      </c>
      <c r="L258" s="3"/>
      <c r="N258" s="4"/>
    </row>
    <row r="259" spans="1:14" ht="17.5" thickBot="1" x14ac:dyDescent="0.45">
      <c r="A259" s="4">
        <v>43116</v>
      </c>
      <c r="B259" s="3">
        <v>189.37</v>
      </c>
      <c r="C259" s="3">
        <v>254.75</v>
      </c>
      <c r="D259" s="3">
        <v>109.53</v>
      </c>
      <c r="E259" s="3">
        <v>1.117</v>
      </c>
      <c r="F259" s="3">
        <v>274.22000000000003</v>
      </c>
      <c r="G259" s="3">
        <v>236.53</v>
      </c>
      <c r="H259" s="3">
        <v>193.51</v>
      </c>
      <c r="I259" s="3">
        <v>203.15</v>
      </c>
      <c r="J259" s="3">
        <v>111.7</v>
      </c>
      <c r="K259" s="3">
        <v>221.85</v>
      </c>
      <c r="L259" s="3"/>
      <c r="N259" s="4"/>
    </row>
    <row r="260" spans="1:14" ht="17.5" thickBot="1" x14ac:dyDescent="0.45">
      <c r="A260" s="4">
        <v>43117</v>
      </c>
      <c r="B260" s="3">
        <v>189.94</v>
      </c>
      <c r="C260" s="3">
        <v>253.98</v>
      </c>
      <c r="D260" s="3">
        <v>109.34</v>
      </c>
      <c r="E260" s="3">
        <v>1.1195999999999999</v>
      </c>
      <c r="F260" s="3">
        <v>274.51</v>
      </c>
      <c r="G260" s="3">
        <v>239.19</v>
      </c>
      <c r="H260" s="3">
        <v>193.74</v>
      </c>
      <c r="I260" s="3">
        <v>205.32</v>
      </c>
      <c r="J260" s="3">
        <v>111.7</v>
      </c>
      <c r="K260" s="3">
        <v>221.92</v>
      </c>
      <c r="L260" s="3"/>
      <c r="N260" s="4"/>
    </row>
    <row r="261" spans="1:14" ht="17.5" thickBot="1" x14ac:dyDescent="0.45">
      <c r="A261" s="4">
        <v>43118</v>
      </c>
      <c r="B261" s="3">
        <v>191.49</v>
      </c>
      <c r="C261" s="3">
        <v>254.28</v>
      </c>
      <c r="D261" s="3">
        <v>109.34</v>
      </c>
      <c r="E261" s="3">
        <v>1.1184000000000001</v>
      </c>
      <c r="F261" s="3">
        <v>274.37</v>
      </c>
      <c r="G261" s="3">
        <v>238.58</v>
      </c>
      <c r="H261" s="3">
        <v>193.59</v>
      </c>
      <c r="I261" s="3">
        <v>205.24</v>
      </c>
      <c r="J261" s="3">
        <v>111.7</v>
      </c>
      <c r="K261" s="3">
        <v>221.74</v>
      </c>
      <c r="L261" s="3"/>
      <c r="N261" s="4"/>
    </row>
    <row r="262" spans="1:14" ht="17.5" thickBot="1" x14ac:dyDescent="0.45">
      <c r="A262" s="4">
        <v>43119</v>
      </c>
      <c r="B262" s="3">
        <v>192.28</v>
      </c>
      <c r="C262" s="3">
        <v>255.73</v>
      </c>
      <c r="D262" s="3">
        <v>109.25</v>
      </c>
      <c r="E262" s="3">
        <v>1.1216999999999999</v>
      </c>
      <c r="F262" s="3">
        <v>276.2</v>
      </c>
      <c r="G262" s="3">
        <v>239.42</v>
      </c>
      <c r="H262" s="3">
        <v>194.76</v>
      </c>
      <c r="I262" s="3">
        <v>206.14</v>
      </c>
      <c r="J262" s="3">
        <v>111.7</v>
      </c>
      <c r="K262" s="3">
        <v>222.57</v>
      </c>
      <c r="L262" s="3"/>
      <c r="N262" s="4"/>
    </row>
    <row r="263" spans="1:14" ht="17.5" thickBot="1" x14ac:dyDescent="0.45">
      <c r="A263" s="4">
        <v>43120</v>
      </c>
      <c r="B263" s="3">
        <v>192.28</v>
      </c>
      <c r="C263" s="3">
        <v>255.73</v>
      </c>
      <c r="D263" s="3">
        <v>109.25</v>
      </c>
      <c r="E263" s="3">
        <v>1.1216999999999999</v>
      </c>
      <c r="F263" s="3">
        <v>276.2</v>
      </c>
      <c r="G263" s="3">
        <v>239.42</v>
      </c>
      <c r="H263" s="3">
        <v>194.76</v>
      </c>
      <c r="I263" s="3">
        <v>206.14</v>
      </c>
      <c r="J263" s="3">
        <v>111.7</v>
      </c>
      <c r="K263" s="3">
        <v>222.57</v>
      </c>
      <c r="L263" s="3"/>
      <c r="N263" s="4"/>
    </row>
    <row r="264" spans="1:14" ht="17.5" thickBot="1" x14ac:dyDescent="0.45">
      <c r="A264" s="4">
        <v>43121</v>
      </c>
      <c r="B264" s="3">
        <v>192.28</v>
      </c>
      <c r="C264" s="3">
        <v>255.73</v>
      </c>
      <c r="D264" s="3">
        <v>109.25</v>
      </c>
      <c r="E264" s="3">
        <v>1.1216999999999999</v>
      </c>
      <c r="F264" s="3">
        <v>276.2</v>
      </c>
      <c r="G264" s="3">
        <v>239.42</v>
      </c>
      <c r="H264" s="3">
        <v>194.76</v>
      </c>
      <c r="I264" s="3">
        <v>206.14</v>
      </c>
      <c r="J264" s="3">
        <v>111.7</v>
      </c>
      <c r="K264" s="3">
        <v>222.57</v>
      </c>
      <c r="L264" s="3"/>
      <c r="N264" s="4"/>
    </row>
    <row r="265" spans="1:14" ht="17.5" thickBot="1" x14ac:dyDescent="0.45">
      <c r="A265" s="4">
        <v>43122</v>
      </c>
      <c r="B265" s="3">
        <v>192.68</v>
      </c>
      <c r="C265" s="3">
        <v>255.58</v>
      </c>
      <c r="D265" s="3">
        <v>109.24</v>
      </c>
      <c r="E265" s="3">
        <v>1.1256999999999999</v>
      </c>
      <c r="F265" s="3">
        <v>277.61</v>
      </c>
      <c r="G265" s="3">
        <v>241.24</v>
      </c>
      <c r="H265" s="3">
        <v>195.66</v>
      </c>
      <c r="I265" s="3">
        <v>207.64</v>
      </c>
      <c r="J265" s="3">
        <v>111.7</v>
      </c>
      <c r="K265" s="3">
        <v>223.24</v>
      </c>
      <c r="L265" s="3"/>
      <c r="N265" s="4"/>
    </row>
    <row r="266" spans="1:14" ht="17.5" thickBot="1" x14ac:dyDescent="0.45">
      <c r="A266" s="4">
        <v>43123</v>
      </c>
      <c r="B266" s="3">
        <v>196.47</v>
      </c>
      <c r="C266" s="3">
        <v>257.95999999999998</v>
      </c>
      <c r="D266" s="3">
        <v>109.33</v>
      </c>
      <c r="E266" s="3">
        <v>1.1294</v>
      </c>
      <c r="F266" s="3">
        <v>280.01</v>
      </c>
      <c r="G266" s="3">
        <v>241.32</v>
      </c>
      <c r="H266" s="3">
        <v>197.23</v>
      </c>
      <c r="I266" s="3">
        <v>207.49</v>
      </c>
      <c r="J266" s="3">
        <v>111.7</v>
      </c>
      <c r="K266" s="3">
        <v>224.54</v>
      </c>
      <c r="L266" s="3"/>
      <c r="N266" s="4"/>
    </row>
    <row r="267" spans="1:14" ht="17.5" thickBot="1" x14ac:dyDescent="0.45">
      <c r="A267" s="4">
        <v>43124</v>
      </c>
      <c r="B267" s="3">
        <v>197.1</v>
      </c>
      <c r="C267" s="3">
        <v>258.57</v>
      </c>
      <c r="D267" s="3">
        <v>109.79</v>
      </c>
      <c r="E267" s="3">
        <v>1.1296999999999999</v>
      </c>
      <c r="F267" s="3">
        <v>279.99</v>
      </c>
      <c r="G267" s="3">
        <v>240.82</v>
      </c>
      <c r="H267" s="3">
        <v>197.19</v>
      </c>
      <c r="I267" s="3">
        <v>209.14</v>
      </c>
      <c r="J267" s="3">
        <v>111.7</v>
      </c>
      <c r="K267" s="3">
        <v>224.61</v>
      </c>
      <c r="L267" s="3"/>
      <c r="N267" s="4"/>
    </row>
    <row r="268" spans="1:14" ht="17.5" thickBot="1" x14ac:dyDescent="0.45">
      <c r="A268" s="4">
        <v>43125</v>
      </c>
      <c r="B268" s="3">
        <v>195.23</v>
      </c>
      <c r="C268" s="3">
        <v>260.14999999999998</v>
      </c>
      <c r="D268" s="3">
        <v>110.06</v>
      </c>
      <c r="E268" s="3">
        <v>1.1304000000000001</v>
      </c>
      <c r="F268" s="3">
        <v>279.31</v>
      </c>
      <c r="G268" s="3">
        <v>240.91</v>
      </c>
      <c r="H268" s="3">
        <v>196.75</v>
      </c>
      <c r="I268" s="3">
        <v>209.32</v>
      </c>
      <c r="J268" s="3">
        <v>111.7</v>
      </c>
      <c r="K268" s="3">
        <v>224.45</v>
      </c>
      <c r="L268" s="3"/>
      <c r="N268" s="4"/>
    </row>
    <row r="269" spans="1:14" ht="17.5" thickBot="1" x14ac:dyDescent="0.45">
      <c r="A269" s="4">
        <v>43126</v>
      </c>
      <c r="B269" s="3">
        <v>198.3</v>
      </c>
      <c r="C269" s="3">
        <v>260.18</v>
      </c>
      <c r="D269" s="3">
        <v>110.06</v>
      </c>
      <c r="E269" s="3">
        <v>1.1344000000000001</v>
      </c>
      <c r="F269" s="3">
        <v>281.20999999999998</v>
      </c>
      <c r="G269" s="3">
        <v>244.19</v>
      </c>
      <c r="H269" s="3">
        <v>198</v>
      </c>
      <c r="I269" s="3">
        <v>211.89</v>
      </c>
      <c r="J269" s="3">
        <v>111.7</v>
      </c>
      <c r="K269" s="3">
        <v>225.25</v>
      </c>
      <c r="L269" s="3"/>
      <c r="N269" s="4"/>
    </row>
    <row r="270" spans="1:14" ht="17.5" thickBot="1" x14ac:dyDescent="0.45">
      <c r="A270" s="4">
        <v>43127</v>
      </c>
      <c r="B270" s="3">
        <v>198.3</v>
      </c>
      <c r="C270" s="3">
        <v>260.18</v>
      </c>
      <c r="D270" s="3">
        <v>110.06</v>
      </c>
      <c r="E270" s="3">
        <v>1.1344000000000001</v>
      </c>
      <c r="F270" s="3">
        <v>281.20999999999998</v>
      </c>
      <c r="G270" s="3">
        <v>244.19</v>
      </c>
      <c r="H270" s="3">
        <v>198</v>
      </c>
      <c r="I270" s="3">
        <v>211.89</v>
      </c>
      <c r="J270" s="3">
        <v>111.7</v>
      </c>
      <c r="K270" s="3">
        <v>225.25</v>
      </c>
      <c r="L270" s="3"/>
      <c r="N270" s="4"/>
    </row>
    <row r="271" spans="1:14" ht="17.5" thickBot="1" x14ac:dyDescent="0.45">
      <c r="A271" s="4">
        <v>43128</v>
      </c>
      <c r="B271" s="3">
        <v>198.3</v>
      </c>
      <c r="C271" s="3">
        <v>260.18</v>
      </c>
      <c r="D271" s="3">
        <v>110.06</v>
      </c>
      <c r="E271" s="3">
        <v>1.1344000000000001</v>
      </c>
      <c r="F271" s="3">
        <v>281.20999999999998</v>
      </c>
      <c r="G271" s="3">
        <v>244.19</v>
      </c>
      <c r="H271" s="3">
        <v>198</v>
      </c>
      <c r="I271" s="3">
        <v>211.89</v>
      </c>
      <c r="J271" s="3">
        <v>111.7</v>
      </c>
      <c r="K271" s="3">
        <v>225.25</v>
      </c>
      <c r="L271" s="3"/>
      <c r="N271" s="4"/>
    </row>
    <row r="272" spans="1:14" ht="17.5" thickBot="1" x14ac:dyDescent="0.45">
      <c r="A272" s="4">
        <v>43129</v>
      </c>
      <c r="B272" s="3">
        <v>197.08</v>
      </c>
      <c r="C272" s="3">
        <v>261.37</v>
      </c>
      <c r="D272" s="3">
        <v>109.69</v>
      </c>
      <c r="E272" s="3">
        <v>1.1294999999999999</v>
      </c>
      <c r="F272" s="3">
        <v>279.74</v>
      </c>
      <c r="G272" s="3">
        <v>242.36</v>
      </c>
      <c r="H272" s="3">
        <v>197.04</v>
      </c>
      <c r="I272" s="3">
        <v>209.95</v>
      </c>
      <c r="J272" s="3">
        <v>111.7</v>
      </c>
      <c r="K272" s="3">
        <v>224.33</v>
      </c>
      <c r="L272" s="3"/>
      <c r="N272" s="4"/>
    </row>
    <row r="273" spans="1:14" ht="17.5" thickBot="1" x14ac:dyDescent="0.45">
      <c r="A273" s="4">
        <v>43130</v>
      </c>
      <c r="B273" s="3">
        <v>194.95</v>
      </c>
      <c r="C273" s="3">
        <v>257.24</v>
      </c>
      <c r="D273" s="3">
        <v>109.5</v>
      </c>
      <c r="E273" s="3">
        <v>1.1228</v>
      </c>
      <c r="F273" s="3">
        <v>276.94</v>
      </c>
      <c r="G273" s="3">
        <v>239.02</v>
      </c>
      <c r="H273" s="3">
        <v>195.2</v>
      </c>
      <c r="I273" s="3">
        <v>207.91</v>
      </c>
      <c r="J273" s="3">
        <v>111.7</v>
      </c>
      <c r="K273" s="3">
        <v>222.97</v>
      </c>
      <c r="L273" s="3"/>
      <c r="N273" s="4"/>
    </row>
    <row r="274" spans="1:14" ht="17.5" thickBot="1" x14ac:dyDescent="0.45">
      <c r="A274" s="4">
        <v>43131</v>
      </c>
      <c r="B274" s="3">
        <v>196.66</v>
      </c>
      <c r="C274" s="3">
        <v>257.82</v>
      </c>
      <c r="D274" s="3">
        <v>109.77</v>
      </c>
      <c r="E274" s="3">
        <v>1.1229</v>
      </c>
      <c r="F274" s="3">
        <v>277.43</v>
      </c>
      <c r="G274" s="3">
        <v>239</v>
      </c>
      <c r="H274" s="3">
        <v>195.45</v>
      </c>
      <c r="I274" s="3">
        <v>208.59</v>
      </c>
      <c r="J274" s="3">
        <v>111.71</v>
      </c>
      <c r="K274" s="3">
        <v>223.26</v>
      </c>
      <c r="L274" s="3"/>
      <c r="N274" s="4"/>
    </row>
    <row r="275" spans="1:14" ht="17.5" thickBot="1" x14ac:dyDescent="0.45">
      <c r="A275" s="4">
        <v>43132</v>
      </c>
      <c r="B275" s="3">
        <v>195.12</v>
      </c>
      <c r="C275" s="3">
        <v>258.25</v>
      </c>
      <c r="D275" s="3">
        <v>109.59</v>
      </c>
      <c r="E275" s="3">
        <v>1.1224000000000001</v>
      </c>
      <c r="F275" s="3">
        <v>277.3</v>
      </c>
      <c r="G275" s="3">
        <v>239.13</v>
      </c>
      <c r="H275" s="3">
        <v>195.44</v>
      </c>
      <c r="I275" s="3">
        <v>208.73</v>
      </c>
      <c r="J275" s="3">
        <v>111.71</v>
      </c>
      <c r="K275" s="3">
        <v>223.17</v>
      </c>
      <c r="L275" s="3"/>
      <c r="N275" s="4"/>
    </row>
    <row r="276" spans="1:14" ht="17.5" thickBot="1" x14ac:dyDescent="0.45">
      <c r="A276" s="4">
        <v>43133</v>
      </c>
      <c r="B276" s="3">
        <v>195.1</v>
      </c>
      <c r="C276" s="3">
        <v>254.55</v>
      </c>
      <c r="D276" s="3">
        <v>109.13</v>
      </c>
      <c r="E276" s="3">
        <v>1.1094999999999999</v>
      </c>
      <c r="F276" s="3">
        <v>274.41000000000003</v>
      </c>
      <c r="G276" s="3">
        <v>233.6</v>
      </c>
      <c r="H276" s="3">
        <v>193.47</v>
      </c>
      <c r="I276" s="3">
        <v>203.62</v>
      </c>
      <c r="J276" s="3">
        <v>111.71</v>
      </c>
      <c r="K276" s="3">
        <v>221.47</v>
      </c>
      <c r="L276" s="3"/>
      <c r="N276" s="4"/>
    </row>
    <row r="277" spans="1:14" ht="17.5" thickBot="1" x14ac:dyDescent="0.45">
      <c r="A277" s="4">
        <v>43134</v>
      </c>
      <c r="B277" s="3">
        <v>195.1</v>
      </c>
      <c r="C277" s="3">
        <v>254.55</v>
      </c>
      <c r="D277" s="3">
        <v>109.13</v>
      </c>
      <c r="E277" s="3">
        <v>1.1094999999999999</v>
      </c>
      <c r="F277" s="3">
        <v>274.41000000000003</v>
      </c>
      <c r="G277" s="3">
        <v>233.6</v>
      </c>
      <c r="H277" s="3">
        <v>193.47</v>
      </c>
      <c r="I277" s="3">
        <v>203.62</v>
      </c>
      <c r="J277" s="3">
        <v>111.71</v>
      </c>
      <c r="K277" s="3">
        <v>221.47</v>
      </c>
      <c r="L277" s="3"/>
      <c r="N277" s="4"/>
    </row>
    <row r="278" spans="1:14" ht="17.5" thickBot="1" x14ac:dyDescent="0.45">
      <c r="A278" s="4">
        <v>43135</v>
      </c>
      <c r="B278" s="3">
        <v>195.1</v>
      </c>
      <c r="C278" s="3">
        <v>254.55</v>
      </c>
      <c r="D278" s="3">
        <v>109.13</v>
      </c>
      <c r="E278" s="3">
        <v>1.1094999999999999</v>
      </c>
      <c r="F278" s="3">
        <v>274.41000000000003</v>
      </c>
      <c r="G278" s="3">
        <v>233.6</v>
      </c>
      <c r="H278" s="3">
        <v>193.47</v>
      </c>
      <c r="I278" s="3">
        <v>203.62</v>
      </c>
      <c r="J278" s="3">
        <v>111.71</v>
      </c>
      <c r="K278" s="3">
        <v>221.47</v>
      </c>
      <c r="L278" s="3"/>
      <c r="N278" s="4"/>
    </row>
    <row r="279" spans="1:14" ht="17.5" thickBot="1" x14ac:dyDescent="0.45">
      <c r="A279" s="4">
        <v>43136</v>
      </c>
      <c r="B279" s="3">
        <v>193.12</v>
      </c>
      <c r="C279" s="3">
        <v>250.56</v>
      </c>
      <c r="D279" s="3">
        <v>108.85</v>
      </c>
      <c r="E279" s="3">
        <v>1.0907</v>
      </c>
      <c r="F279" s="3">
        <v>266.75</v>
      </c>
      <c r="G279" s="3">
        <v>224.08</v>
      </c>
      <c r="H279" s="3">
        <v>188.54</v>
      </c>
      <c r="I279" s="3">
        <v>195.3</v>
      </c>
      <c r="J279" s="3">
        <v>111.71</v>
      </c>
      <c r="K279" s="3">
        <v>217.93</v>
      </c>
      <c r="L279" s="3"/>
      <c r="N279" s="4"/>
    </row>
    <row r="280" spans="1:14" ht="17.5" thickBot="1" x14ac:dyDescent="0.45">
      <c r="A280" s="4">
        <v>43137</v>
      </c>
      <c r="B280" s="3">
        <v>183.43</v>
      </c>
      <c r="C280" s="3">
        <v>242.55</v>
      </c>
      <c r="D280" s="3">
        <v>108.94</v>
      </c>
      <c r="E280" s="3">
        <v>1.0873999999999999</v>
      </c>
      <c r="F280" s="3">
        <v>262.64</v>
      </c>
      <c r="G280" s="3">
        <v>228.28</v>
      </c>
      <c r="H280" s="3">
        <v>186.01</v>
      </c>
      <c r="I280" s="3">
        <v>199.68</v>
      </c>
      <c r="J280" s="3">
        <v>111.71</v>
      </c>
      <c r="K280" s="3">
        <v>215.99</v>
      </c>
      <c r="L280" s="3"/>
      <c r="N280" s="4"/>
    </row>
    <row r="281" spans="1:14" ht="17.5" thickBot="1" x14ac:dyDescent="0.45">
      <c r="A281" s="4">
        <v>43138</v>
      </c>
      <c r="B281" s="3">
        <v>180.56</v>
      </c>
      <c r="C281" s="3">
        <v>242.74</v>
      </c>
      <c r="D281" s="3">
        <v>108.85</v>
      </c>
      <c r="E281" s="3">
        <v>1.0871999999999999</v>
      </c>
      <c r="F281" s="3">
        <v>260.52</v>
      </c>
      <c r="G281" s="3">
        <v>227.18</v>
      </c>
      <c r="H281" s="3">
        <v>184.72</v>
      </c>
      <c r="I281" s="3">
        <v>197.68</v>
      </c>
      <c r="J281" s="3">
        <v>111.71</v>
      </c>
      <c r="K281" s="3">
        <v>214.94</v>
      </c>
      <c r="L281" s="3"/>
      <c r="N281" s="4"/>
    </row>
    <row r="282" spans="1:14" ht="17.5" thickBot="1" x14ac:dyDescent="0.45">
      <c r="A282" s="4">
        <v>43139</v>
      </c>
      <c r="B282" s="3">
        <v>181.16</v>
      </c>
      <c r="C282" s="3">
        <v>237.77</v>
      </c>
      <c r="D282" s="3">
        <v>108.39</v>
      </c>
      <c r="E282" s="3">
        <v>1.0716000000000001</v>
      </c>
      <c r="F282" s="3">
        <v>256.27</v>
      </c>
      <c r="G282" s="3">
        <v>218.6</v>
      </c>
      <c r="H282" s="3">
        <v>182.04</v>
      </c>
      <c r="I282" s="3">
        <v>190.51</v>
      </c>
      <c r="J282" s="3">
        <v>111.71</v>
      </c>
      <c r="K282" s="3">
        <v>212.9</v>
      </c>
      <c r="L282" s="3"/>
      <c r="N282" s="4"/>
    </row>
    <row r="283" spans="1:14" ht="17.5" thickBot="1" x14ac:dyDescent="0.45">
      <c r="A283" s="4">
        <v>43140</v>
      </c>
      <c r="B283" s="3">
        <v>175.31</v>
      </c>
      <c r="C283" s="3">
        <v>239.15</v>
      </c>
      <c r="D283" s="3">
        <v>108.39</v>
      </c>
      <c r="E283" s="3">
        <v>1.0719000000000001</v>
      </c>
      <c r="F283" s="3">
        <v>254.42</v>
      </c>
      <c r="G283" s="3">
        <v>222.22</v>
      </c>
      <c r="H283" s="3">
        <v>180.85</v>
      </c>
      <c r="I283" s="3">
        <v>193.52</v>
      </c>
      <c r="J283" s="3">
        <v>111.71</v>
      </c>
      <c r="K283" s="3">
        <v>211.91</v>
      </c>
      <c r="L283" s="3"/>
      <c r="N283" s="4"/>
    </row>
    <row r="284" spans="1:14" ht="17.5" thickBot="1" x14ac:dyDescent="0.45">
      <c r="A284" s="4">
        <v>43141</v>
      </c>
      <c r="B284" s="3">
        <v>175.31</v>
      </c>
      <c r="C284" s="3">
        <v>239.15</v>
      </c>
      <c r="D284" s="3">
        <v>108.39</v>
      </c>
      <c r="E284" s="3">
        <v>1.0719000000000001</v>
      </c>
      <c r="F284" s="3">
        <v>254.42</v>
      </c>
      <c r="G284" s="3">
        <v>222.22</v>
      </c>
      <c r="H284" s="3">
        <v>180.85</v>
      </c>
      <c r="I284" s="3">
        <v>193.52</v>
      </c>
      <c r="J284" s="3">
        <v>111.71</v>
      </c>
      <c r="K284" s="3">
        <v>211.91</v>
      </c>
      <c r="L284" s="3"/>
      <c r="N284" s="4"/>
    </row>
    <row r="285" spans="1:14" ht="17.5" thickBot="1" x14ac:dyDescent="0.45">
      <c r="A285" s="4">
        <v>43142</v>
      </c>
      <c r="B285" s="3">
        <v>175.31</v>
      </c>
      <c r="C285" s="3">
        <v>239.15</v>
      </c>
      <c r="D285" s="3">
        <v>108.39</v>
      </c>
      <c r="E285" s="3">
        <v>1.0719000000000001</v>
      </c>
      <c r="F285" s="3">
        <v>254.42</v>
      </c>
      <c r="G285" s="3">
        <v>222.22</v>
      </c>
      <c r="H285" s="3">
        <v>180.85</v>
      </c>
      <c r="I285" s="3">
        <v>193.52</v>
      </c>
      <c r="J285" s="3">
        <v>111.71</v>
      </c>
      <c r="K285" s="3">
        <v>211.91</v>
      </c>
      <c r="L285" s="3"/>
      <c r="N285" s="4"/>
    </row>
    <row r="286" spans="1:14" ht="17.5" thickBot="1" x14ac:dyDescent="0.45">
      <c r="A286" s="4">
        <v>43143</v>
      </c>
      <c r="B286" s="3">
        <v>175.32</v>
      </c>
      <c r="C286" s="3">
        <v>242.12</v>
      </c>
      <c r="D286" s="3">
        <v>108.47</v>
      </c>
      <c r="E286" s="3">
        <v>1.079</v>
      </c>
      <c r="F286" s="3">
        <v>256.24</v>
      </c>
      <c r="G286" s="3">
        <v>224.98</v>
      </c>
      <c r="H286" s="3">
        <v>182.03</v>
      </c>
      <c r="I286" s="3">
        <v>196</v>
      </c>
      <c r="J286" s="3">
        <v>111.71</v>
      </c>
      <c r="K286" s="3">
        <v>212.78</v>
      </c>
      <c r="L286" s="3"/>
      <c r="N286" s="4"/>
    </row>
    <row r="287" spans="1:14" ht="17.5" thickBot="1" x14ac:dyDescent="0.45">
      <c r="A287" s="4">
        <v>43144</v>
      </c>
      <c r="B287" s="3">
        <v>177.72</v>
      </c>
      <c r="C287" s="3">
        <v>244.32</v>
      </c>
      <c r="D287" s="3">
        <v>108.74</v>
      </c>
      <c r="E287" s="3">
        <v>1.0808</v>
      </c>
      <c r="F287" s="3">
        <v>258.27</v>
      </c>
      <c r="G287" s="3">
        <v>225.48</v>
      </c>
      <c r="H287" s="3">
        <v>183.35</v>
      </c>
      <c r="I287" s="3">
        <v>196.62</v>
      </c>
      <c r="J287" s="3">
        <v>111.71</v>
      </c>
      <c r="K287" s="3">
        <v>213.83</v>
      </c>
      <c r="L287" s="3"/>
      <c r="N287" s="4"/>
    </row>
    <row r="288" spans="1:14" ht="17.5" thickBot="1" x14ac:dyDescent="0.45">
      <c r="A288" s="4">
        <v>43145</v>
      </c>
      <c r="B288" s="3">
        <v>181.35</v>
      </c>
      <c r="C288" s="3">
        <v>246.13</v>
      </c>
      <c r="D288" s="3">
        <v>109.1</v>
      </c>
      <c r="E288" s="3">
        <v>1.0881000000000001</v>
      </c>
      <c r="F288" s="3">
        <v>261.64</v>
      </c>
      <c r="G288" s="3">
        <v>228.96</v>
      </c>
      <c r="H288" s="3">
        <v>185.47</v>
      </c>
      <c r="I288" s="3">
        <v>199.81</v>
      </c>
      <c r="J288" s="3">
        <v>111.71</v>
      </c>
      <c r="K288" s="3">
        <v>215.38</v>
      </c>
      <c r="L288" s="3"/>
      <c r="N288" s="4"/>
    </row>
    <row r="289" spans="1:14" ht="17.5" thickBot="1" x14ac:dyDescent="0.45">
      <c r="A289" s="4">
        <v>43146</v>
      </c>
      <c r="B289" s="3">
        <v>184.59</v>
      </c>
      <c r="C289" s="3">
        <v>248.19</v>
      </c>
      <c r="D289" s="3">
        <v>109.01</v>
      </c>
      <c r="E289" s="3">
        <v>1.0962000000000001</v>
      </c>
      <c r="F289" s="3">
        <v>265.2</v>
      </c>
      <c r="G289" s="3">
        <v>231.17</v>
      </c>
      <c r="H289" s="3">
        <v>187.77</v>
      </c>
      <c r="I289" s="3">
        <v>202.12</v>
      </c>
      <c r="J289" s="3">
        <v>111.71</v>
      </c>
      <c r="K289" s="3">
        <v>217.13</v>
      </c>
      <c r="L289" s="3"/>
      <c r="N289" s="4"/>
    </row>
    <row r="290" spans="1:14" ht="17.5" thickBot="1" x14ac:dyDescent="0.45">
      <c r="A290" s="4">
        <v>43147</v>
      </c>
      <c r="B290" s="3">
        <v>184.59</v>
      </c>
      <c r="C290" s="3">
        <v>248.19</v>
      </c>
      <c r="D290" s="3">
        <v>109.01</v>
      </c>
      <c r="E290" s="3">
        <v>1.0962000000000001</v>
      </c>
      <c r="F290" s="3">
        <v>265.2</v>
      </c>
      <c r="G290" s="3">
        <v>231.17</v>
      </c>
      <c r="H290" s="3">
        <v>187.77</v>
      </c>
      <c r="I290" s="3">
        <v>202.12</v>
      </c>
      <c r="J290" s="3">
        <v>111.71</v>
      </c>
      <c r="K290" s="3">
        <v>217.13</v>
      </c>
      <c r="L290" s="3"/>
      <c r="N290" s="4"/>
    </row>
    <row r="291" spans="1:14" ht="17.5" thickBot="1" x14ac:dyDescent="0.45">
      <c r="A291" s="4">
        <v>43148</v>
      </c>
      <c r="B291" s="3">
        <v>184.59</v>
      </c>
      <c r="C291" s="3">
        <v>248.19</v>
      </c>
      <c r="D291" s="3">
        <v>109.01</v>
      </c>
      <c r="E291" s="3">
        <v>1.0962000000000001</v>
      </c>
      <c r="F291" s="3">
        <v>265.2</v>
      </c>
      <c r="G291" s="3">
        <v>231.17</v>
      </c>
      <c r="H291" s="3">
        <v>187.77</v>
      </c>
      <c r="I291" s="3">
        <v>202.12</v>
      </c>
      <c r="J291" s="3">
        <v>111.71</v>
      </c>
      <c r="K291" s="3">
        <v>217.13</v>
      </c>
      <c r="L291" s="3"/>
      <c r="N291" s="4"/>
    </row>
    <row r="292" spans="1:14" ht="17.5" thickBot="1" x14ac:dyDescent="0.45">
      <c r="A292" s="4">
        <v>43149</v>
      </c>
      <c r="B292" s="3">
        <v>184.59</v>
      </c>
      <c r="C292" s="3">
        <v>248.19</v>
      </c>
      <c r="D292" s="3">
        <v>109.01</v>
      </c>
      <c r="E292" s="3">
        <v>1.0962000000000001</v>
      </c>
      <c r="F292" s="3">
        <v>265.2</v>
      </c>
      <c r="G292" s="3">
        <v>231.17</v>
      </c>
      <c r="H292" s="3">
        <v>187.77</v>
      </c>
      <c r="I292" s="3">
        <v>202.12</v>
      </c>
      <c r="J292" s="3">
        <v>111.71</v>
      </c>
      <c r="K292" s="3">
        <v>217.13</v>
      </c>
      <c r="L292" s="3"/>
      <c r="N292" s="4"/>
    </row>
    <row r="293" spans="1:14" ht="17.5" thickBot="1" x14ac:dyDescent="0.45">
      <c r="A293" s="4">
        <v>43150</v>
      </c>
      <c r="B293" s="3">
        <v>184.59</v>
      </c>
      <c r="C293" s="3">
        <v>248.19</v>
      </c>
      <c r="D293" s="3">
        <v>109.01</v>
      </c>
      <c r="E293" s="3">
        <v>1.0962000000000001</v>
      </c>
      <c r="F293" s="3">
        <v>265.2</v>
      </c>
      <c r="G293" s="3">
        <v>231.17</v>
      </c>
      <c r="H293" s="3">
        <v>187.77</v>
      </c>
      <c r="I293" s="3">
        <v>202.12</v>
      </c>
      <c r="J293" s="3">
        <v>111.71</v>
      </c>
      <c r="K293" s="3">
        <v>217.13</v>
      </c>
      <c r="L293" s="3"/>
      <c r="N293" s="4"/>
    </row>
    <row r="294" spans="1:14" ht="17.5" thickBot="1" x14ac:dyDescent="0.45">
      <c r="A294" s="4">
        <v>43151</v>
      </c>
      <c r="B294" s="3">
        <v>183.28</v>
      </c>
      <c r="C294" s="3">
        <v>246.56</v>
      </c>
      <c r="D294" s="3">
        <v>108.82</v>
      </c>
      <c r="E294" s="3">
        <v>1.0949</v>
      </c>
      <c r="F294" s="3">
        <v>265.17</v>
      </c>
      <c r="G294" s="3">
        <v>230.48</v>
      </c>
      <c r="H294" s="3">
        <v>187.8</v>
      </c>
      <c r="I294" s="3">
        <v>201.27</v>
      </c>
      <c r="J294" s="3">
        <v>111.71</v>
      </c>
      <c r="K294" s="3">
        <v>217.05</v>
      </c>
      <c r="L294" s="3"/>
      <c r="N294" s="4"/>
    </row>
    <row r="295" spans="1:14" ht="17.5" thickBot="1" x14ac:dyDescent="0.45">
      <c r="A295" s="4">
        <v>43152</v>
      </c>
      <c r="B295" s="3">
        <v>186.86</v>
      </c>
      <c r="C295" s="3">
        <v>247.88</v>
      </c>
      <c r="D295" s="3">
        <v>108.81</v>
      </c>
      <c r="E295" s="3">
        <v>1.0938000000000001</v>
      </c>
      <c r="F295" s="3">
        <v>266.66000000000003</v>
      </c>
      <c r="G295" s="3">
        <v>229.61</v>
      </c>
      <c r="H295" s="3">
        <v>188.65</v>
      </c>
      <c r="I295" s="3">
        <v>200.3</v>
      </c>
      <c r="J295" s="3">
        <v>111.71</v>
      </c>
      <c r="K295" s="3">
        <v>217.68</v>
      </c>
      <c r="L295" s="3"/>
      <c r="N295" s="4"/>
    </row>
    <row r="296" spans="1:14" ht="17.5" thickBot="1" x14ac:dyDescent="0.45">
      <c r="A296" s="4">
        <v>43153</v>
      </c>
      <c r="B296" s="3">
        <v>184.32</v>
      </c>
      <c r="C296" s="3">
        <v>246.53</v>
      </c>
      <c r="D296" s="3">
        <v>108.53</v>
      </c>
      <c r="E296" s="3">
        <v>1.0931</v>
      </c>
      <c r="F296" s="3">
        <v>264.88</v>
      </c>
      <c r="G296" s="3">
        <v>229.61</v>
      </c>
      <c r="H296" s="3">
        <v>187.56</v>
      </c>
      <c r="I296" s="3">
        <v>200.97</v>
      </c>
      <c r="J296" s="3">
        <v>111.71</v>
      </c>
      <c r="K296" s="3">
        <v>216.9</v>
      </c>
      <c r="L296" s="3"/>
      <c r="N296" s="4"/>
    </row>
    <row r="297" spans="1:14" ht="17.5" thickBot="1" x14ac:dyDescent="0.45">
      <c r="A297" s="4">
        <v>43154</v>
      </c>
      <c r="B297" s="3">
        <v>186.29</v>
      </c>
      <c r="C297" s="3">
        <v>249.72</v>
      </c>
      <c r="D297" s="3">
        <v>108.62</v>
      </c>
      <c r="E297" s="3">
        <v>1.1012</v>
      </c>
      <c r="F297" s="3">
        <v>267.37</v>
      </c>
      <c r="G297" s="3">
        <v>233.01</v>
      </c>
      <c r="H297" s="3">
        <v>189.27</v>
      </c>
      <c r="I297" s="3">
        <v>203.79</v>
      </c>
      <c r="J297" s="3">
        <v>111.71</v>
      </c>
      <c r="K297" s="3">
        <v>218.22</v>
      </c>
      <c r="L297" s="3"/>
      <c r="N297" s="4"/>
    </row>
    <row r="298" spans="1:14" ht="17.5" thickBot="1" x14ac:dyDescent="0.45">
      <c r="A298" s="4">
        <v>43155</v>
      </c>
      <c r="B298" s="3">
        <v>186.29</v>
      </c>
      <c r="C298" s="3">
        <v>249.72</v>
      </c>
      <c r="D298" s="3">
        <v>108.62</v>
      </c>
      <c r="E298" s="3">
        <v>1.1012</v>
      </c>
      <c r="F298" s="3">
        <v>267.37</v>
      </c>
      <c r="G298" s="3">
        <v>233.01</v>
      </c>
      <c r="H298" s="3">
        <v>189.27</v>
      </c>
      <c r="I298" s="3">
        <v>203.79</v>
      </c>
      <c r="J298" s="3">
        <v>111.71</v>
      </c>
      <c r="K298" s="3">
        <v>218.22</v>
      </c>
      <c r="L298" s="3"/>
      <c r="N298" s="4"/>
    </row>
    <row r="299" spans="1:14" ht="17.5" thickBot="1" x14ac:dyDescent="0.45">
      <c r="A299" s="4">
        <v>43156</v>
      </c>
      <c r="B299" s="3">
        <v>186.29</v>
      </c>
      <c r="C299" s="3">
        <v>249.72</v>
      </c>
      <c r="D299" s="3">
        <v>108.62</v>
      </c>
      <c r="E299" s="3">
        <v>1.1012</v>
      </c>
      <c r="F299" s="3">
        <v>267.37</v>
      </c>
      <c r="G299" s="3">
        <v>233.01</v>
      </c>
      <c r="H299" s="3">
        <v>189.27</v>
      </c>
      <c r="I299" s="3">
        <v>203.79</v>
      </c>
      <c r="J299" s="3">
        <v>111.71</v>
      </c>
      <c r="K299" s="3">
        <v>218.22</v>
      </c>
      <c r="L299" s="3"/>
      <c r="N299" s="4"/>
    </row>
    <row r="300" spans="1:14" ht="17.5" thickBot="1" x14ac:dyDescent="0.45">
      <c r="A300" s="4">
        <v>43157</v>
      </c>
      <c r="B300" s="3">
        <v>188.07</v>
      </c>
      <c r="C300" s="3">
        <v>251.74</v>
      </c>
      <c r="D300" s="3">
        <v>109.08</v>
      </c>
      <c r="E300" s="3">
        <v>1.1072</v>
      </c>
      <c r="F300" s="3">
        <v>269.20999999999998</v>
      </c>
      <c r="G300" s="3">
        <v>235.7</v>
      </c>
      <c r="H300" s="3">
        <v>190.52</v>
      </c>
      <c r="I300" s="3">
        <v>205.95</v>
      </c>
      <c r="J300" s="3">
        <v>111.71</v>
      </c>
      <c r="K300" s="3">
        <v>219.2</v>
      </c>
      <c r="L300" s="3"/>
      <c r="N300" s="4"/>
    </row>
    <row r="301" spans="1:14" ht="17.5" thickBot="1" x14ac:dyDescent="0.45">
      <c r="A301" s="4">
        <v>43158</v>
      </c>
      <c r="B301" s="3">
        <v>186.31</v>
      </c>
      <c r="C301" s="3">
        <v>251.64</v>
      </c>
      <c r="D301" s="3">
        <v>108.99</v>
      </c>
      <c r="E301" s="3">
        <v>1.1012999999999999</v>
      </c>
      <c r="F301" s="3">
        <v>267.76</v>
      </c>
      <c r="G301" s="3">
        <v>232.89</v>
      </c>
      <c r="H301" s="3">
        <v>189.59</v>
      </c>
      <c r="I301" s="3">
        <v>203.19</v>
      </c>
      <c r="J301" s="3">
        <v>111.71</v>
      </c>
      <c r="K301" s="3">
        <v>218.39</v>
      </c>
      <c r="L301" s="3"/>
      <c r="N301" s="4"/>
    </row>
    <row r="302" spans="1:14" ht="17.5" thickBot="1" x14ac:dyDescent="0.45">
      <c r="A302" s="4">
        <v>43159</v>
      </c>
      <c r="B302" s="3">
        <v>183.37</v>
      </c>
      <c r="C302" s="3">
        <v>249.03</v>
      </c>
      <c r="D302" s="3">
        <v>108.62</v>
      </c>
      <c r="E302" s="3">
        <v>1.0949</v>
      </c>
      <c r="F302" s="3">
        <v>264.81</v>
      </c>
      <c r="G302" s="3">
        <v>230.22</v>
      </c>
      <c r="H302" s="3">
        <v>187.69</v>
      </c>
      <c r="I302" s="3">
        <v>200.63</v>
      </c>
      <c r="J302" s="3">
        <v>111.72</v>
      </c>
      <c r="K302" s="3">
        <v>216.97</v>
      </c>
      <c r="L302" s="3"/>
      <c r="N302" s="4"/>
    </row>
    <row r="303" spans="1:14" ht="17.5" thickBot="1" x14ac:dyDescent="0.45">
      <c r="A303" s="4">
        <v>43160</v>
      </c>
      <c r="B303" s="3">
        <v>184.48</v>
      </c>
      <c r="C303" s="3">
        <v>247.66</v>
      </c>
      <c r="D303" s="3">
        <v>108.61</v>
      </c>
      <c r="E303" s="3">
        <v>1.0882000000000001</v>
      </c>
      <c r="F303" s="3">
        <v>263.47000000000003</v>
      </c>
      <c r="G303" s="3">
        <v>227.58</v>
      </c>
      <c r="H303" s="3">
        <v>186.72</v>
      </c>
      <c r="I303" s="3">
        <v>198.49</v>
      </c>
      <c r="J303" s="3">
        <v>111.72</v>
      </c>
      <c r="K303" s="3">
        <v>216.4</v>
      </c>
      <c r="L303" s="3"/>
      <c r="N303" s="4"/>
    </row>
    <row r="304" spans="1:14" ht="17.5" thickBot="1" x14ac:dyDescent="0.45">
      <c r="A304" s="4">
        <v>43161</v>
      </c>
      <c r="B304" s="3">
        <v>181.8</v>
      </c>
      <c r="C304" s="3">
        <v>245.7</v>
      </c>
      <c r="D304" s="3">
        <v>108.89</v>
      </c>
      <c r="E304" s="3">
        <v>1.0869</v>
      </c>
      <c r="F304" s="3">
        <v>261.22000000000003</v>
      </c>
      <c r="G304" s="3">
        <v>228.96</v>
      </c>
      <c r="H304" s="3">
        <v>185.42</v>
      </c>
      <c r="I304" s="3">
        <v>199.51</v>
      </c>
      <c r="J304" s="3">
        <v>111.72</v>
      </c>
      <c r="K304" s="3">
        <v>215.5</v>
      </c>
      <c r="L304" s="3"/>
      <c r="N304" s="4"/>
    </row>
    <row r="305" spans="1:14" ht="17.5" thickBot="1" x14ac:dyDescent="0.45">
      <c r="A305" s="4">
        <v>43162</v>
      </c>
      <c r="B305" s="3">
        <v>181.8</v>
      </c>
      <c r="C305" s="3">
        <v>245.7</v>
      </c>
      <c r="D305" s="3">
        <v>108.89</v>
      </c>
      <c r="E305" s="3">
        <v>1.0869</v>
      </c>
      <c r="F305" s="3">
        <v>261.22000000000003</v>
      </c>
      <c r="G305" s="3">
        <v>228.96</v>
      </c>
      <c r="H305" s="3">
        <v>185.42</v>
      </c>
      <c r="I305" s="3">
        <v>199.51</v>
      </c>
      <c r="J305" s="3">
        <v>111.72</v>
      </c>
      <c r="K305" s="3">
        <v>215.5</v>
      </c>
      <c r="L305" s="3"/>
      <c r="N305" s="4"/>
    </row>
    <row r="306" spans="1:14" ht="17.5" thickBot="1" x14ac:dyDescent="0.45">
      <c r="A306" s="4">
        <v>43163</v>
      </c>
      <c r="B306" s="3">
        <v>181.8</v>
      </c>
      <c r="C306" s="3">
        <v>245.7</v>
      </c>
      <c r="D306" s="3">
        <v>108.89</v>
      </c>
      <c r="E306" s="3">
        <v>1.0869</v>
      </c>
      <c r="F306" s="3">
        <v>261.22000000000003</v>
      </c>
      <c r="G306" s="3">
        <v>228.96</v>
      </c>
      <c r="H306" s="3">
        <v>185.42</v>
      </c>
      <c r="I306" s="3">
        <v>199.51</v>
      </c>
      <c r="J306" s="3">
        <v>111.72</v>
      </c>
      <c r="K306" s="3">
        <v>215.5</v>
      </c>
      <c r="L306" s="3"/>
      <c r="N306" s="4"/>
    </row>
    <row r="307" spans="1:14" ht="17.5" thickBot="1" x14ac:dyDescent="0.45">
      <c r="A307" s="4">
        <v>43164</v>
      </c>
      <c r="B307" s="3">
        <v>177.95</v>
      </c>
      <c r="C307" s="3">
        <v>244.02</v>
      </c>
      <c r="D307" s="3">
        <v>108.88</v>
      </c>
      <c r="E307" s="3">
        <v>1.0906</v>
      </c>
      <c r="F307" s="3">
        <v>259.82</v>
      </c>
      <c r="G307" s="3">
        <v>231.3</v>
      </c>
      <c r="H307" s="3">
        <v>184.54</v>
      </c>
      <c r="I307" s="3">
        <v>201.6</v>
      </c>
      <c r="J307" s="3">
        <v>111.72</v>
      </c>
      <c r="K307" s="3">
        <v>214.83</v>
      </c>
      <c r="L307" s="3"/>
      <c r="N307" s="4"/>
    </row>
    <row r="308" spans="1:14" ht="17.5" thickBot="1" x14ac:dyDescent="0.45">
      <c r="A308" s="4">
        <v>43165</v>
      </c>
      <c r="B308" s="3">
        <v>181.71</v>
      </c>
      <c r="C308" s="3">
        <v>247.54</v>
      </c>
      <c r="D308" s="3">
        <v>108.88</v>
      </c>
      <c r="E308" s="3">
        <v>1.0951</v>
      </c>
      <c r="F308" s="3">
        <v>263.08</v>
      </c>
      <c r="G308" s="3">
        <v>232.12</v>
      </c>
      <c r="H308" s="3">
        <v>186.63</v>
      </c>
      <c r="I308" s="3">
        <v>202.44</v>
      </c>
      <c r="J308" s="3">
        <v>111.72</v>
      </c>
      <c r="K308" s="3">
        <v>216.43</v>
      </c>
      <c r="L308" s="3"/>
      <c r="N308" s="4"/>
    </row>
    <row r="309" spans="1:14" ht="17.5" thickBot="1" x14ac:dyDescent="0.45">
      <c r="A309" s="4">
        <v>43166</v>
      </c>
      <c r="B309" s="3">
        <v>179.97</v>
      </c>
      <c r="C309" s="3">
        <v>246.59</v>
      </c>
      <c r="D309" s="3">
        <v>108.97</v>
      </c>
      <c r="E309" s="3">
        <v>1.0949</v>
      </c>
      <c r="F309" s="3">
        <v>262.2</v>
      </c>
      <c r="G309" s="3">
        <v>231.95</v>
      </c>
      <c r="H309" s="3">
        <v>186.07</v>
      </c>
      <c r="I309" s="3">
        <v>201.82</v>
      </c>
      <c r="J309" s="3">
        <v>111.72</v>
      </c>
      <c r="K309" s="3">
        <v>216.09</v>
      </c>
      <c r="L309" s="3"/>
      <c r="N309" s="4"/>
    </row>
    <row r="310" spans="1:14" ht="17.5" thickBot="1" x14ac:dyDescent="0.45">
      <c r="A310" s="4">
        <v>43167</v>
      </c>
      <c r="B310" s="3">
        <v>182.77</v>
      </c>
      <c r="C310" s="3">
        <v>248.23</v>
      </c>
      <c r="D310" s="3">
        <v>108.78</v>
      </c>
      <c r="E310" s="3">
        <v>1.0989</v>
      </c>
      <c r="F310" s="3">
        <v>264.3</v>
      </c>
      <c r="G310" s="3">
        <v>232.93</v>
      </c>
      <c r="H310" s="3">
        <v>187.36</v>
      </c>
      <c r="I310" s="3">
        <v>202.37</v>
      </c>
      <c r="J310" s="3">
        <v>111.72</v>
      </c>
      <c r="K310" s="3">
        <v>217.02</v>
      </c>
      <c r="L310" s="3"/>
      <c r="N310" s="4"/>
    </row>
    <row r="311" spans="1:14" ht="17.5" thickBot="1" x14ac:dyDescent="0.45">
      <c r="A311" s="4">
        <v>43168</v>
      </c>
      <c r="B311" s="3">
        <v>184.34</v>
      </c>
      <c r="C311" s="3">
        <v>249.38</v>
      </c>
      <c r="D311" s="3">
        <v>108.78</v>
      </c>
      <c r="E311" s="3">
        <v>1.1052</v>
      </c>
      <c r="F311" s="3">
        <v>266.29000000000002</v>
      </c>
      <c r="G311" s="3">
        <v>236.7</v>
      </c>
      <c r="H311" s="3">
        <v>188.63</v>
      </c>
      <c r="I311" s="3">
        <v>205.83</v>
      </c>
      <c r="J311" s="3">
        <v>111.72</v>
      </c>
      <c r="K311" s="3">
        <v>217.85</v>
      </c>
      <c r="L311" s="3"/>
      <c r="N311" s="4"/>
    </row>
    <row r="312" spans="1:14" ht="17.5" thickBot="1" x14ac:dyDescent="0.45">
      <c r="A312" s="4">
        <v>43169</v>
      </c>
      <c r="B312" s="3">
        <v>184.34</v>
      </c>
      <c r="C312" s="3">
        <v>249.38</v>
      </c>
      <c r="D312" s="3">
        <v>108.78</v>
      </c>
      <c r="E312" s="3">
        <v>1.1052</v>
      </c>
      <c r="F312" s="3">
        <v>266.29000000000002</v>
      </c>
      <c r="G312" s="3">
        <v>236.7</v>
      </c>
      <c r="H312" s="3">
        <v>188.63</v>
      </c>
      <c r="I312" s="3">
        <v>205.83</v>
      </c>
      <c r="J312" s="3">
        <v>111.72</v>
      </c>
      <c r="K312" s="3">
        <v>217.85</v>
      </c>
      <c r="L312" s="3"/>
      <c r="N312" s="4"/>
    </row>
    <row r="313" spans="1:14" ht="17.5" thickBot="1" x14ac:dyDescent="0.45">
      <c r="A313" s="4">
        <v>43170</v>
      </c>
      <c r="B313" s="3">
        <v>184.34</v>
      </c>
      <c r="C313" s="3">
        <v>249.38</v>
      </c>
      <c r="D313" s="3">
        <v>108.78</v>
      </c>
      <c r="E313" s="3">
        <v>1.1052</v>
      </c>
      <c r="F313" s="3">
        <v>266.29000000000002</v>
      </c>
      <c r="G313" s="3">
        <v>236.7</v>
      </c>
      <c r="H313" s="3">
        <v>188.63</v>
      </c>
      <c r="I313" s="3">
        <v>205.83</v>
      </c>
      <c r="J313" s="3">
        <v>111.72</v>
      </c>
      <c r="K313" s="3">
        <v>217.85</v>
      </c>
      <c r="L313" s="3"/>
      <c r="N313" s="4"/>
    </row>
    <row r="314" spans="1:14" ht="17.5" thickBot="1" x14ac:dyDescent="0.45">
      <c r="A314" s="4">
        <v>43171</v>
      </c>
      <c r="B314" s="3">
        <v>187.64</v>
      </c>
      <c r="C314" s="3">
        <v>254.05</v>
      </c>
      <c r="D314" s="3">
        <v>108.96</v>
      </c>
      <c r="E314" s="3">
        <v>1.1082000000000001</v>
      </c>
      <c r="F314" s="3">
        <v>269.20999999999998</v>
      </c>
      <c r="G314" s="3">
        <v>235.99</v>
      </c>
      <c r="H314" s="3">
        <v>190.52</v>
      </c>
      <c r="I314" s="3">
        <v>205.87</v>
      </c>
      <c r="J314" s="3">
        <v>111.72</v>
      </c>
      <c r="K314" s="3">
        <v>219.35</v>
      </c>
      <c r="L314" s="3"/>
      <c r="N314" s="4"/>
    </row>
    <row r="315" spans="1:14" ht="17.5" thickBot="1" x14ac:dyDescent="0.45">
      <c r="A315" s="4">
        <v>43172</v>
      </c>
      <c r="B315" s="3">
        <v>188.09</v>
      </c>
      <c r="C315" s="3">
        <v>254.94</v>
      </c>
      <c r="D315" s="3">
        <v>109.14</v>
      </c>
      <c r="E315" s="3">
        <v>1.1061000000000001</v>
      </c>
      <c r="F315" s="3">
        <v>268.95999999999998</v>
      </c>
      <c r="G315" s="3">
        <v>234.97</v>
      </c>
      <c r="H315" s="3">
        <v>190.41</v>
      </c>
      <c r="I315" s="3">
        <v>204.56</v>
      </c>
      <c r="J315" s="3">
        <v>111.72</v>
      </c>
      <c r="K315" s="3">
        <v>219.41</v>
      </c>
      <c r="L315" s="3"/>
      <c r="N315" s="4"/>
    </row>
    <row r="316" spans="1:14" ht="17.5" thickBot="1" x14ac:dyDescent="0.45">
      <c r="A316" s="4">
        <v>43173</v>
      </c>
      <c r="B316" s="3">
        <v>187.4</v>
      </c>
      <c r="C316" s="3">
        <v>254.17</v>
      </c>
      <c r="D316" s="3">
        <v>109.32</v>
      </c>
      <c r="E316" s="3">
        <v>1.1036999999999999</v>
      </c>
      <c r="F316" s="3">
        <v>267.7</v>
      </c>
      <c r="G316" s="3">
        <v>233.71</v>
      </c>
      <c r="H316" s="3">
        <v>189.64</v>
      </c>
      <c r="I316" s="3">
        <v>203.68</v>
      </c>
      <c r="J316" s="3">
        <v>111.72</v>
      </c>
      <c r="K316" s="3">
        <v>218.9</v>
      </c>
      <c r="L316" s="3"/>
      <c r="N316" s="4"/>
    </row>
    <row r="317" spans="1:14" ht="17.5" thickBot="1" x14ac:dyDescent="0.45">
      <c r="A317" s="4">
        <v>43174</v>
      </c>
      <c r="B317" s="3">
        <v>187.72</v>
      </c>
      <c r="C317" s="3">
        <v>253.08</v>
      </c>
      <c r="D317" s="3">
        <v>109.32</v>
      </c>
      <c r="E317" s="3">
        <v>1.1035999999999999</v>
      </c>
      <c r="F317" s="3">
        <v>268.23</v>
      </c>
      <c r="G317" s="3">
        <v>233.55</v>
      </c>
      <c r="H317" s="3">
        <v>189.95</v>
      </c>
      <c r="I317" s="3">
        <v>202.66</v>
      </c>
      <c r="J317" s="3">
        <v>111.72</v>
      </c>
      <c r="K317" s="3">
        <v>219.06</v>
      </c>
      <c r="L317" s="3"/>
      <c r="N317" s="4"/>
    </row>
    <row r="318" spans="1:14" ht="17.5" thickBot="1" x14ac:dyDescent="0.45">
      <c r="A318" s="4">
        <v>43175</v>
      </c>
      <c r="B318" s="3">
        <v>187.36</v>
      </c>
      <c r="C318" s="3">
        <v>251.59</v>
      </c>
      <c r="D318" s="3">
        <v>109.23</v>
      </c>
      <c r="E318" s="3">
        <v>1.1036999999999999</v>
      </c>
      <c r="F318" s="3">
        <v>267.95999999999998</v>
      </c>
      <c r="G318" s="3">
        <v>233.99</v>
      </c>
      <c r="H318" s="3">
        <v>189.77</v>
      </c>
      <c r="I318" s="3">
        <v>202.65</v>
      </c>
      <c r="J318" s="3">
        <v>111.72</v>
      </c>
      <c r="K318" s="3">
        <v>218.9</v>
      </c>
      <c r="L318" s="3"/>
      <c r="N318" s="4"/>
    </row>
    <row r="319" spans="1:14" ht="17.5" thickBot="1" x14ac:dyDescent="0.45">
      <c r="A319" s="4">
        <v>43176</v>
      </c>
      <c r="B319" s="3">
        <v>187.36</v>
      </c>
      <c r="C319" s="3">
        <v>251.59</v>
      </c>
      <c r="D319" s="3">
        <v>109.23</v>
      </c>
      <c r="E319" s="3">
        <v>1.1036999999999999</v>
      </c>
      <c r="F319" s="3">
        <v>267.95999999999998</v>
      </c>
      <c r="G319" s="3">
        <v>233.99</v>
      </c>
      <c r="H319" s="3">
        <v>189.77</v>
      </c>
      <c r="I319" s="3">
        <v>202.65</v>
      </c>
      <c r="J319" s="3">
        <v>111.72</v>
      </c>
      <c r="K319" s="3">
        <v>218.9</v>
      </c>
      <c r="L319" s="3"/>
      <c r="N319" s="4"/>
    </row>
    <row r="320" spans="1:14" ht="17.5" thickBot="1" x14ac:dyDescent="0.45">
      <c r="A320" s="4">
        <v>43177</v>
      </c>
      <c r="B320" s="3">
        <v>187.36</v>
      </c>
      <c r="C320" s="3">
        <v>251.59</v>
      </c>
      <c r="D320" s="3">
        <v>109.23</v>
      </c>
      <c r="E320" s="3">
        <v>1.1036999999999999</v>
      </c>
      <c r="F320" s="3">
        <v>267.95999999999998</v>
      </c>
      <c r="G320" s="3">
        <v>233.99</v>
      </c>
      <c r="H320" s="3">
        <v>189.77</v>
      </c>
      <c r="I320" s="3">
        <v>202.65</v>
      </c>
      <c r="J320" s="3">
        <v>111.72</v>
      </c>
      <c r="K320" s="3">
        <v>218.9</v>
      </c>
      <c r="L320" s="3"/>
      <c r="N320" s="4"/>
    </row>
    <row r="321" spans="1:14" ht="17.5" thickBot="1" x14ac:dyDescent="0.45">
      <c r="A321" s="4">
        <v>43178</v>
      </c>
      <c r="B321" s="3">
        <v>187.55</v>
      </c>
      <c r="C321" s="3">
        <v>250.04</v>
      </c>
      <c r="D321" s="3">
        <v>108.94</v>
      </c>
      <c r="E321" s="3">
        <v>1.0968</v>
      </c>
      <c r="F321" s="3">
        <v>266.47000000000003</v>
      </c>
      <c r="G321" s="3">
        <v>230.76</v>
      </c>
      <c r="H321" s="3">
        <v>188.68</v>
      </c>
      <c r="I321" s="3">
        <v>199.94</v>
      </c>
      <c r="J321" s="3">
        <v>111.72</v>
      </c>
      <c r="K321" s="3">
        <v>218.11</v>
      </c>
      <c r="L321" s="3"/>
      <c r="N321" s="4"/>
    </row>
    <row r="322" spans="1:14" ht="17.5" thickBot="1" x14ac:dyDescent="0.45">
      <c r="A322" s="4">
        <v>43179</v>
      </c>
      <c r="B322" s="3">
        <v>187.62</v>
      </c>
      <c r="C322" s="3">
        <v>249.7</v>
      </c>
      <c r="D322" s="3">
        <v>108.94</v>
      </c>
      <c r="E322" s="3">
        <v>1.0971</v>
      </c>
      <c r="F322" s="3">
        <v>266.58999999999997</v>
      </c>
      <c r="G322" s="3">
        <v>231.29</v>
      </c>
      <c r="H322" s="3">
        <v>188.69</v>
      </c>
      <c r="I322" s="3">
        <v>200.23</v>
      </c>
      <c r="J322" s="3">
        <v>111.72</v>
      </c>
      <c r="K322" s="3">
        <v>218.01</v>
      </c>
      <c r="L322" s="3"/>
      <c r="N322" s="4"/>
    </row>
    <row r="323" spans="1:14" ht="17.5" thickBot="1" x14ac:dyDescent="0.45">
      <c r="A323" s="4">
        <v>43180</v>
      </c>
      <c r="B323" s="3">
        <v>186.46</v>
      </c>
      <c r="C323" s="3">
        <v>250.48</v>
      </c>
      <c r="D323" s="3">
        <v>108.76</v>
      </c>
      <c r="E323" s="3">
        <v>1.0965</v>
      </c>
      <c r="F323" s="3">
        <v>266.06</v>
      </c>
      <c r="G323" s="3">
        <v>230.49</v>
      </c>
      <c r="H323" s="3">
        <v>188.34</v>
      </c>
      <c r="I323" s="3">
        <v>200.9</v>
      </c>
      <c r="J323" s="3">
        <v>111.72</v>
      </c>
      <c r="K323" s="3">
        <v>217.7</v>
      </c>
      <c r="L323" s="3"/>
      <c r="N323" s="4"/>
    </row>
    <row r="324" spans="1:14" ht="17.5" thickBot="1" x14ac:dyDescent="0.45">
      <c r="A324" s="4">
        <v>43181</v>
      </c>
      <c r="B324" s="3">
        <v>184.73</v>
      </c>
      <c r="C324" s="3">
        <v>250.53</v>
      </c>
      <c r="D324" s="3">
        <v>108.85</v>
      </c>
      <c r="E324" s="3">
        <v>1.0878000000000001</v>
      </c>
      <c r="F324" s="3">
        <v>262.22000000000003</v>
      </c>
      <c r="G324" s="3">
        <v>224.61</v>
      </c>
      <c r="H324" s="3">
        <v>186.06</v>
      </c>
      <c r="I324" s="3">
        <v>195.82</v>
      </c>
      <c r="J324" s="3">
        <v>111.72</v>
      </c>
      <c r="K324" s="3">
        <v>216.27</v>
      </c>
      <c r="L324" s="3"/>
      <c r="N324" s="4"/>
    </row>
    <row r="325" spans="1:14" ht="17.5" thickBot="1" x14ac:dyDescent="0.45">
      <c r="A325" s="4">
        <v>43182</v>
      </c>
      <c r="B325" s="3">
        <v>179.85</v>
      </c>
      <c r="C325" s="3">
        <v>244.42</v>
      </c>
      <c r="D325" s="3">
        <v>108.94</v>
      </c>
      <c r="E325" s="3">
        <v>1.0765</v>
      </c>
      <c r="F325" s="3">
        <v>257.95999999999998</v>
      </c>
      <c r="G325" s="3">
        <v>219.65</v>
      </c>
      <c r="H325" s="3">
        <v>183.1</v>
      </c>
      <c r="I325" s="3">
        <v>192.41</v>
      </c>
      <c r="J325" s="3">
        <v>111.72</v>
      </c>
      <c r="K325" s="3">
        <v>214.13</v>
      </c>
      <c r="L325" s="3"/>
      <c r="N325" s="4"/>
    </row>
    <row r="326" spans="1:14" ht="17.5" thickBot="1" x14ac:dyDescent="0.45">
      <c r="A326" s="4">
        <v>43183</v>
      </c>
      <c r="B326" s="3">
        <v>179.85</v>
      </c>
      <c r="C326" s="3">
        <v>244.42</v>
      </c>
      <c r="D326" s="3">
        <v>108.94</v>
      </c>
      <c r="E326" s="3">
        <v>1.0765</v>
      </c>
      <c r="F326" s="3">
        <v>257.95999999999998</v>
      </c>
      <c r="G326" s="3">
        <v>219.65</v>
      </c>
      <c r="H326" s="3">
        <v>183.1</v>
      </c>
      <c r="I326" s="3">
        <v>192.41</v>
      </c>
      <c r="J326" s="3">
        <v>111.72</v>
      </c>
      <c r="K326" s="3">
        <v>214.13</v>
      </c>
      <c r="L326" s="3"/>
      <c r="N326" s="4"/>
    </row>
    <row r="327" spans="1:14" ht="17.5" thickBot="1" x14ac:dyDescent="0.45">
      <c r="A327" s="4">
        <v>43184</v>
      </c>
      <c r="B327" s="3">
        <v>179.85</v>
      </c>
      <c r="C327" s="3">
        <v>244.42</v>
      </c>
      <c r="D327" s="3">
        <v>108.94</v>
      </c>
      <c r="E327" s="3">
        <v>1.0765</v>
      </c>
      <c r="F327" s="3">
        <v>257.95999999999998</v>
      </c>
      <c r="G327" s="3">
        <v>219.65</v>
      </c>
      <c r="H327" s="3">
        <v>183.1</v>
      </c>
      <c r="I327" s="3">
        <v>192.41</v>
      </c>
      <c r="J327" s="3">
        <v>111.72</v>
      </c>
      <c r="K327" s="3">
        <v>214.13</v>
      </c>
      <c r="L327" s="3"/>
      <c r="N327" s="4"/>
    </row>
    <row r="328" spans="1:14" ht="17.5" thickBot="1" x14ac:dyDescent="0.45">
      <c r="A328" s="4">
        <v>43185</v>
      </c>
      <c r="B328" s="3">
        <v>181.68</v>
      </c>
      <c r="C328" s="3">
        <v>244.98</v>
      </c>
      <c r="D328" s="3">
        <v>109.02</v>
      </c>
      <c r="E328" s="3">
        <v>1.0857000000000001</v>
      </c>
      <c r="F328" s="3">
        <v>260.08</v>
      </c>
      <c r="G328" s="3">
        <v>225.61</v>
      </c>
      <c r="H328" s="3">
        <v>184.56</v>
      </c>
      <c r="I328" s="3">
        <v>197.2</v>
      </c>
      <c r="J328" s="3">
        <v>111.72</v>
      </c>
      <c r="K328" s="3">
        <v>215.2</v>
      </c>
      <c r="L328" s="3"/>
      <c r="N328" s="4"/>
    </row>
    <row r="329" spans="1:14" ht="17.5" thickBot="1" x14ac:dyDescent="0.45">
      <c r="A329" s="4">
        <v>43186</v>
      </c>
      <c r="B329" s="3">
        <v>182.88</v>
      </c>
      <c r="C329" s="3">
        <v>247.55</v>
      </c>
      <c r="D329" s="3">
        <v>109.21</v>
      </c>
      <c r="E329" s="3">
        <v>1.0833999999999999</v>
      </c>
      <c r="F329" s="3">
        <v>261.58999999999997</v>
      </c>
      <c r="G329" s="3">
        <v>221.81</v>
      </c>
      <c r="H329" s="3">
        <v>185.51</v>
      </c>
      <c r="I329" s="3">
        <v>193.6</v>
      </c>
      <c r="J329" s="3">
        <v>111.72</v>
      </c>
      <c r="K329" s="3">
        <v>215.99</v>
      </c>
      <c r="L329" s="3"/>
      <c r="N329" s="4"/>
    </row>
    <row r="330" spans="1:14" ht="17.5" thickBot="1" x14ac:dyDescent="0.45">
      <c r="A330" s="4">
        <v>43187</v>
      </c>
      <c r="B330" s="3">
        <v>178.51</v>
      </c>
      <c r="C330" s="3">
        <v>243.94</v>
      </c>
      <c r="D330" s="3">
        <v>109.39</v>
      </c>
      <c r="E330" s="3">
        <v>1.0804</v>
      </c>
      <c r="F330" s="3">
        <v>258.17</v>
      </c>
      <c r="G330" s="3">
        <v>221.32</v>
      </c>
      <c r="H330" s="3">
        <v>183.35</v>
      </c>
      <c r="I330" s="3">
        <v>193.29</v>
      </c>
      <c r="J330" s="3">
        <v>111.72</v>
      </c>
      <c r="K330" s="3">
        <v>214.39</v>
      </c>
      <c r="L330" s="3"/>
      <c r="N330" s="4"/>
    </row>
    <row r="331" spans="1:14" ht="17.5" thickBot="1" x14ac:dyDescent="0.45">
      <c r="A331" s="4">
        <v>43188</v>
      </c>
      <c r="B331" s="3">
        <v>178.8</v>
      </c>
      <c r="C331" s="3">
        <v>243.67</v>
      </c>
      <c r="D331" s="3">
        <v>109.39</v>
      </c>
      <c r="E331" s="3">
        <v>1.0862000000000001</v>
      </c>
      <c r="F331" s="3">
        <v>259.01</v>
      </c>
      <c r="G331" s="3">
        <v>224.24</v>
      </c>
      <c r="H331" s="3">
        <v>183.96</v>
      </c>
      <c r="I331" s="3">
        <v>196.55</v>
      </c>
      <c r="J331" s="3">
        <v>111.73</v>
      </c>
      <c r="K331" s="3">
        <v>214.85</v>
      </c>
      <c r="L331" s="3"/>
      <c r="N331" s="4"/>
    </row>
    <row r="332" spans="1:14" ht="17.5" thickBot="1" x14ac:dyDescent="0.45">
      <c r="A332" s="4">
        <v>43189</v>
      </c>
      <c r="B332" s="3">
        <v>178.8</v>
      </c>
      <c r="C332" s="3">
        <v>243.67</v>
      </c>
      <c r="D332" s="3">
        <v>109.39</v>
      </c>
      <c r="E332" s="3">
        <v>1.0862000000000001</v>
      </c>
      <c r="F332" s="3">
        <v>259.01</v>
      </c>
      <c r="G332" s="3">
        <v>224.24</v>
      </c>
      <c r="H332" s="3">
        <v>183.96</v>
      </c>
      <c r="I332" s="3">
        <v>196.55</v>
      </c>
      <c r="J332" s="3">
        <v>111.73</v>
      </c>
      <c r="K332" s="3">
        <v>214.85</v>
      </c>
      <c r="L332" s="3"/>
      <c r="N332" s="4"/>
    </row>
    <row r="333" spans="1:14" ht="17.5" thickBot="1" x14ac:dyDescent="0.45">
      <c r="A333" s="4">
        <v>43190</v>
      </c>
      <c r="B333" s="3">
        <v>178.8</v>
      </c>
      <c r="C333" s="3">
        <v>243.67</v>
      </c>
      <c r="D333" s="3">
        <v>109.39</v>
      </c>
      <c r="E333" s="3">
        <v>1.0862000000000001</v>
      </c>
      <c r="F333" s="3">
        <v>259.01</v>
      </c>
      <c r="G333" s="3">
        <v>224.24</v>
      </c>
      <c r="H333" s="3">
        <v>183.96</v>
      </c>
      <c r="I333" s="3">
        <v>196.55</v>
      </c>
      <c r="J333" s="3">
        <v>111.73</v>
      </c>
      <c r="K333" s="3">
        <v>214.85</v>
      </c>
      <c r="L333" s="3"/>
      <c r="N333" s="4"/>
    </row>
    <row r="334" spans="1:14" ht="17.5" thickBot="1" x14ac:dyDescent="0.45">
      <c r="A334" s="4">
        <v>43191</v>
      </c>
      <c r="B334" s="3">
        <v>178.8</v>
      </c>
      <c r="C334" s="3">
        <v>243.67</v>
      </c>
      <c r="D334" s="3">
        <v>109.39</v>
      </c>
      <c r="E334" s="3">
        <v>1.0862000000000001</v>
      </c>
      <c r="F334" s="3">
        <v>259.01</v>
      </c>
      <c r="G334" s="3">
        <v>224.24</v>
      </c>
      <c r="H334" s="3">
        <v>183.96</v>
      </c>
      <c r="I334" s="3">
        <v>196.55</v>
      </c>
      <c r="J334" s="3">
        <v>111.73</v>
      </c>
      <c r="K334" s="3">
        <v>214.85</v>
      </c>
      <c r="L334" s="3"/>
      <c r="N334" s="4"/>
    </row>
    <row r="335" spans="1:14" ht="17.5" thickBot="1" x14ac:dyDescent="0.45">
      <c r="A335" s="4">
        <v>43192</v>
      </c>
      <c r="B335" s="3">
        <v>178.8</v>
      </c>
      <c r="C335" s="3">
        <v>243.67</v>
      </c>
      <c r="D335" s="3">
        <v>109.39</v>
      </c>
      <c r="E335" s="3">
        <v>1.0862000000000001</v>
      </c>
      <c r="F335" s="3">
        <v>259.01</v>
      </c>
      <c r="G335" s="3">
        <v>224.24</v>
      </c>
      <c r="H335" s="3">
        <v>183.96</v>
      </c>
      <c r="I335" s="3">
        <v>196.55</v>
      </c>
      <c r="J335" s="3">
        <v>111.73</v>
      </c>
      <c r="K335" s="3">
        <v>214.85</v>
      </c>
      <c r="L335" s="3"/>
      <c r="N335" s="4"/>
    </row>
    <row r="336" spans="1:14" ht="17.5" thickBot="1" x14ac:dyDescent="0.45">
      <c r="A336" s="4">
        <v>43193</v>
      </c>
      <c r="B336" s="3">
        <v>179.86</v>
      </c>
      <c r="C336" s="3">
        <v>244.4</v>
      </c>
      <c r="D336" s="3">
        <v>109.65</v>
      </c>
      <c r="E336" s="3">
        <v>1.0812999999999999</v>
      </c>
      <c r="F336" s="3">
        <v>258.68</v>
      </c>
      <c r="G336" s="3">
        <v>222.23</v>
      </c>
      <c r="H336" s="3">
        <v>183.72</v>
      </c>
      <c r="I336" s="3">
        <v>194.45</v>
      </c>
      <c r="J336" s="3">
        <v>111.73</v>
      </c>
      <c r="K336" s="3">
        <v>214.64</v>
      </c>
      <c r="L336" s="3"/>
      <c r="N336" s="4"/>
    </row>
    <row r="337" spans="1:14" ht="17.5" thickBot="1" x14ac:dyDescent="0.45">
      <c r="A337" s="4">
        <v>43194</v>
      </c>
      <c r="B337" s="3">
        <v>175.28</v>
      </c>
      <c r="C337" s="3">
        <v>242.5</v>
      </c>
      <c r="D337" s="3">
        <v>109.56</v>
      </c>
      <c r="E337" s="3">
        <v>1.0837000000000001</v>
      </c>
      <c r="F337" s="3">
        <v>257.06</v>
      </c>
      <c r="G337" s="3">
        <v>224.91</v>
      </c>
      <c r="H337" s="3">
        <v>182.75</v>
      </c>
      <c r="I337" s="3">
        <v>196.38</v>
      </c>
      <c r="J337" s="3">
        <v>111.73</v>
      </c>
      <c r="K337" s="3">
        <v>213.88</v>
      </c>
      <c r="L337" s="3"/>
      <c r="N337" s="4"/>
    </row>
    <row r="338" spans="1:14" ht="17.5" thickBot="1" x14ac:dyDescent="0.45">
      <c r="A338" s="4">
        <v>43195</v>
      </c>
      <c r="B338" s="3">
        <v>175.28</v>
      </c>
      <c r="C338" s="3">
        <v>242.5</v>
      </c>
      <c r="D338" s="3">
        <v>109.56</v>
      </c>
      <c r="E338" s="3">
        <v>1.0837000000000001</v>
      </c>
      <c r="F338" s="3">
        <v>257.06</v>
      </c>
      <c r="G338" s="3">
        <v>224.91</v>
      </c>
      <c r="H338" s="3">
        <v>182.75</v>
      </c>
      <c r="I338" s="3">
        <v>196.38</v>
      </c>
      <c r="J338" s="3">
        <v>111.73</v>
      </c>
      <c r="K338" s="3">
        <v>213.88</v>
      </c>
      <c r="L338" s="3"/>
      <c r="N338" s="4"/>
    </row>
    <row r="339" spans="1:14" ht="17.5" thickBot="1" x14ac:dyDescent="0.45">
      <c r="A339" s="4">
        <v>43196</v>
      </c>
      <c r="B339" s="3">
        <v>177.15</v>
      </c>
      <c r="C339" s="3">
        <v>244.17</v>
      </c>
      <c r="D339" s="3">
        <v>109.37</v>
      </c>
      <c r="E339" s="3">
        <v>1.0819000000000001</v>
      </c>
      <c r="F339" s="3">
        <v>258.31</v>
      </c>
      <c r="G339" s="3">
        <v>221.65</v>
      </c>
      <c r="H339" s="3">
        <v>183.42</v>
      </c>
      <c r="I339" s="3">
        <v>193.83</v>
      </c>
      <c r="J339" s="3">
        <v>111.73</v>
      </c>
      <c r="K339" s="3">
        <v>214.35</v>
      </c>
      <c r="L339" s="3"/>
      <c r="N339" s="4"/>
    </row>
    <row r="340" spans="1:14" ht="17.5" thickBot="1" x14ac:dyDescent="0.45">
      <c r="A340" s="4">
        <v>43197</v>
      </c>
      <c r="B340" s="3">
        <v>177.15</v>
      </c>
      <c r="C340" s="3">
        <v>244.17</v>
      </c>
      <c r="D340" s="3">
        <v>109.37</v>
      </c>
      <c r="E340" s="3">
        <v>1.0819000000000001</v>
      </c>
      <c r="F340" s="3">
        <v>258.31</v>
      </c>
      <c r="G340" s="3">
        <v>221.65</v>
      </c>
      <c r="H340" s="3">
        <v>183.42</v>
      </c>
      <c r="I340" s="3">
        <v>193.83</v>
      </c>
      <c r="J340" s="3">
        <v>111.73</v>
      </c>
      <c r="K340" s="3">
        <v>214.35</v>
      </c>
      <c r="L340" s="3"/>
      <c r="N340" s="4"/>
    </row>
    <row r="341" spans="1:14" ht="17.5" thickBot="1" x14ac:dyDescent="0.45">
      <c r="A341" s="4">
        <v>43198</v>
      </c>
      <c r="B341" s="3">
        <v>177.15</v>
      </c>
      <c r="C341" s="3">
        <v>244.17</v>
      </c>
      <c r="D341" s="3">
        <v>109.37</v>
      </c>
      <c r="E341" s="3">
        <v>1.0819000000000001</v>
      </c>
      <c r="F341" s="3">
        <v>258.31</v>
      </c>
      <c r="G341" s="3">
        <v>221.65</v>
      </c>
      <c r="H341" s="3">
        <v>183.42</v>
      </c>
      <c r="I341" s="3">
        <v>193.83</v>
      </c>
      <c r="J341" s="3">
        <v>111.73</v>
      </c>
      <c r="K341" s="3">
        <v>214.35</v>
      </c>
      <c r="L341" s="3"/>
      <c r="N341" s="4"/>
    </row>
    <row r="342" spans="1:14" ht="17.5" thickBot="1" x14ac:dyDescent="0.45">
      <c r="A342" s="4">
        <v>43199</v>
      </c>
      <c r="B342" s="3">
        <v>179.84</v>
      </c>
      <c r="C342" s="3">
        <v>245.32</v>
      </c>
      <c r="D342" s="3">
        <v>109.46</v>
      </c>
      <c r="E342" s="3">
        <v>1.0847</v>
      </c>
      <c r="F342" s="3">
        <v>259.87</v>
      </c>
      <c r="G342" s="3">
        <v>222.08</v>
      </c>
      <c r="H342" s="3">
        <v>184.42</v>
      </c>
      <c r="I342" s="3">
        <v>193.65</v>
      </c>
      <c r="J342" s="3">
        <v>111.73</v>
      </c>
      <c r="K342" s="3">
        <v>215.09</v>
      </c>
      <c r="L342" s="3"/>
      <c r="N342" s="4"/>
    </row>
    <row r="343" spans="1:14" ht="17.5" thickBot="1" x14ac:dyDescent="0.45">
      <c r="A343" s="4">
        <v>43200</v>
      </c>
      <c r="B343" s="3">
        <v>182.68</v>
      </c>
      <c r="C343" s="3">
        <v>247.29</v>
      </c>
      <c r="D343" s="3">
        <v>109.64</v>
      </c>
      <c r="E343" s="3">
        <v>1.0931</v>
      </c>
      <c r="F343" s="3">
        <v>263.19</v>
      </c>
      <c r="G343" s="3">
        <v>226.07</v>
      </c>
      <c r="H343" s="3">
        <v>186.56</v>
      </c>
      <c r="I343" s="3">
        <v>197.01</v>
      </c>
      <c r="J343" s="3">
        <v>111.73</v>
      </c>
      <c r="K343" s="3">
        <v>216.65</v>
      </c>
      <c r="L343" s="3"/>
      <c r="N343" s="4"/>
    </row>
    <row r="344" spans="1:14" ht="17.5" thickBot="1" x14ac:dyDescent="0.45">
      <c r="A344" s="4">
        <v>43201</v>
      </c>
      <c r="B344" s="3">
        <v>183.62</v>
      </c>
      <c r="C344" s="3">
        <v>247.72</v>
      </c>
      <c r="D344" s="3">
        <v>109.73</v>
      </c>
      <c r="E344" s="3">
        <v>1.0913999999999999</v>
      </c>
      <c r="F344" s="3">
        <v>263.04000000000002</v>
      </c>
      <c r="G344" s="3">
        <v>224.68</v>
      </c>
      <c r="H344" s="3">
        <v>186.46</v>
      </c>
      <c r="I344" s="3">
        <v>196.7</v>
      </c>
      <c r="J344" s="3">
        <v>111.73</v>
      </c>
      <c r="K344" s="3">
        <v>216.71</v>
      </c>
      <c r="L344" s="3"/>
      <c r="N344" s="4"/>
    </row>
    <row r="345" spans="1:14" ht="17.5" thickBot="1" x14ac:dyDescent="0.45">
      <c r="A345" s="4">
        <v>43202</v>
      </c>
      <c r="B345" s="3">
        <v>183.29</v>
      </c>
      <c r="C345" s="3">
        <v>247.43</v>
      </c>
      <c r="D345" s="3">
        <v>109.73</v>
      </c>
      <c r="E345" s="3">
        <v>1.0929</v>
      </c>
      <c r="F345" s="3">
        <v>262.86</v>
      </c>
      <c r="G345" s="3">
        <v>226.52</v>
      </c>
      <c r="H345" s="3">
        <v>186.35</v>
      </c>
      <c r="I345" s="3">
        <v>197.92</v>
      </c>
      <c r="J345" s="3">
        <v>111.73</v>
      </c>
      <c r="K345" s="3">
        <v>216.47</v>
      </c>
      <c r="L345" s="3"/>
      <c r="N345" s="4"/>
    </row>
    <row r="346" spans="1:14" ht="17.5" thickBot="1" x14ac:dyDescent="0.45">
      <c r="A346" s="4">
        <v>43203</v>
      </c>
      <c r="B346" s="3">
        <v>183.09</v>
      </c>
      <c r="C346" s="3">
        <v>248.25</v>
      </c>
      <c r="D346" s="3">
        <v>109.54</v>
      </c>
      <c r="E346" s="3">
        <v>1.0924</v>
      </c>
      <c r="F346" s="3">
        <v>262.82</v>
      </c>
      <c r="G346" s="3">
        <v>225.57</v>
      </c>
      <c r="H346" s="3">
        <v>186.3</v>
      </c>
      <c r="I346" s="3">
        <v>196.91</v>
      </c>
      <c r="J346" s="3">
        <v>111.73</v>
      </c>
      <c r="K346" s="3">
        <v>216.42</v>
      </c>
      <c r="L346" s="3"/>
      <c r="N346" s="4"/>
    </row>
    <row r="347" spans="1:14" ht="17.5" thickBot="1" x14ac:dyDescent="0.45">
      <c r="A347" s="4">
        <v>43204</v>
      </c>
      <c r="B347" s="3">
        <v>183.09</v>
      </c>
      <c r="C347" s="3">
        <v>248.25</v>
      </c>
      <c r="D347" s="3">
        <v>109.54</v>
      </c>
      <c r="E347" s="3">
        <v>1.0924</v>
      </c>
      <c r="F347" s="3">
        <v>262.82</v>
      </c>
      <c r="G347" s="3">
        <v>225.57</v>
      </c>
      <c r="H347" s="3">
        <v>186.3</v>
      </c>
      <c r="I347" s="3">
        <v>196.91</v>
      </c>
      <c r="J347" s="3">
        <v>111.73</v>
      </c>
      <c r="K347" s="3">
        <v>216.42</v>
      </c>
      <c r="L347" s="3"/>
      <c r="N347" s="4"/>
    </row>
    <row r="348" spans="1:14" ht="17.5" thickBot="1" x14ac:dyDescent="0.45">
      <c r="A348" s="4">
        <v>43205</v>
      </c>
      <c r="B348" s="3">
        <v>183.09</v>
      </c>
      <c r="C348" s="3">
        <v>248.25</v>
      </c>
      <c r="D348" s="3">
        <v>109.54</v>
      </c>
      <c r="E348" s="3">
        <v>1.0924</v>
      </c>
      <c r="F348" s="3">
        <v>262.82</v>
      </c>
      <c r="G348" s="3">
        <v>225.57</v>
      </c>
      <c r="H348" s="3">
        <v>186.3</v>
      </c>
      <c r="I348" s="3">
        <v>196.91</v>
      </c>
      <c r="J348" s="3">
        <v>111.73</v>
      </c>
      <c r="K348" s="3">
        <v>216.42</v>
      </c>
      <c r="L348" s="3"/>
      <c r="N348" s="4"/>
    </row>
    <row r="349" spans="1:14" ht="17.5" thickBot="1" x14ac:dyDescent="0.45">
      <c r="A349" s="4">
        <v>43206</v>
      </c>
      <c r="B349" s="3">
        <v>179.62</v>
      </c>
      <c r="C349" s="3">
        <v>247.85</v>
      </c>
      <c r="D349" s="3">
        <v>109.26</v>
      </c>
      <c r="E349" s="3">
        <v>1.0946</v>
      </c>
      <c r="F349" s="3">
        <v>262.04000000000002</v>
      </c>
      <c r="G349" s="3">
        <v>227.9</v>
      </c>
      <c r="H349" s="3">
        <v>185.85</v>
      </c>
      <c r="I349" s="3">
        <v>197.68</v>
      </c>
      <c r="J349" s="3">
        <v>111.73</v>
      </c>
      <c r="K349" s="3">
        <v>216.09</v>
      </c>
      <c r="L349" s="3"/>
      <c r="N349" s="4"/>
    </row>
    <row r="350" spans="1:14" ht="17.5" thickBot="1" x14ac:dyDescent="0.45">
      <c r="A350" s="4">
        <v>43207</v>
      </c>
      <c r="B350" s="3">
        <v>178.18</v>
      </c>
      <c r="C350" s="3">
        <v>247.29</v>
      </c>
      <c r="D350" s="3">
        <v>109.26</v>
      </c>
      <c r="E350" s="3">
        <v>1.0992999999999999</v>
      </c>
      <c r="F350" s="3">
        <v>261.81</v>
      </c>
      <c r="G350" s="3">
        <v>230.04</v>
      </c>
      <c r="H350" s="3">
        <v>185.71</v>
      </c>
      <c r="I350" s="3">
        <v>199.95</v>
      </c>
      <c r="J350" s="3">
        <v>111.73</v>
      </c>
      <c r="K350" s="3">
        <v>215.98</v>
      </c>
      <c r="L350" s="3"/>
      <c r="N350" s="4"/>
    </row>
    <row r="351" spans="1:14" ht="17.5" thickBot="1" x14ac:dyDescent="0.45">
      <c r="A351" s="4">
        <v>43208</v>
      </c>
      <c r="B351" s="3">
        <v>179.69</v>
      </c>
      <c r="C351" s="3">
        <v>249.41</v>
      </c>
      <c r="D351" s="3">
        <v>109.17</v>
      </c>
      <c r="E351" s="3">
        <v>1.1014999999999999</v>
      </c>
      <c r="F351" s="3">
        <v>263.12</v>
      </c>
      <c r="G351" s="3">
        <v>230.72</v>
      </c>
      <c r="H351" s="3">
        <v>186.62</v>
      </c>
      <c r="I351" s="3">
        <v>200.93</v>
      </c>
      <c r="J351" s="3">
        <v>111.73</v>
      </c>
      <c r="K351" s="3">
        <v>216.62</v>
      </c>
      <c r="L351" s="3"/>
      <c r="N351" s="4"/>
    </row>
    <row r="352" spans="1:14" ht="17.5" thickBot="1" x14ac:dyDescent="0.45">
      <c r="A352" s="4">
        <v>43209</v>
      </c>
      <c r="B352" s="3">
        <v>182.62</v>
      </c>
      <c r="C352" s="3">
        <v>252.3</v>
      </c>
      <c r="D352" s="3">
        <v>109.07</v>
      </c>
      <c r="E352" s="3">
        <v>1.0987</v>
      </c>
      <c r="F352" s="3">
        <v>264.16000000000003</v>
      </c>
      <c r="G352" s="3">
        <v>229.1</v>
      </c>
      <c r="H352" s="3">
        <v>187.23</v>
      </c>
      <c r="I352" s="3">
        <v>199.66</v>
      </c>
      <c r="J352" s="3">
        <v>111.73</v>
      </c>
      <c r="K352" s="3">
        <v>216.86</v>
      </c>
      <c r="L352" s="3"/>
      <c r="N352" s="4"/>
    </row>
    <row r="353" spans="1:14" ht="17.5" thickBot="1" x14ac:dyDescent="0.45">
      <c r="A353" s="4">
        <v>43210</v>
      </c>
      <c r="B353" s="3">
        <v>180.2</v>
      </c>
      <c r="C353" s="3">
        <v>248.48</v>
      </c>
      <c r="D353" s="3">
        <v>108.52</v>
      </c>
      <c r="E353" s="3">
        <v>1.0926</v>
      </c>
      <c r="F353" s="3">
        <v>261.58</v>
      </c>
      <c r="G353" s="3">
        <v>227.04</v>
      </c>
      <c r="H353" s="3">
        <v>185.49</v>
      </c>
      <c r="I353" s="3">
        <v>197.94</v>
      </c>
      <c r="J353" s="3">
        <v>111.73</v>
      </c>
      <c r="K353" s="3">
        <v>215.32</v>
      </c>
      <c r="L353" s="3"/>
      <c r="N353" s="4"/>
    </row>
    <row r="354" spans="1:14" ht="17.5" thickBot="1" x14ac:dyDescent="0.45">
      <c r="A354" s="4">
        <v>43211</v>
      </c>
      <c r="B354" s="3">
        <v>180.2</v>
      </c>
      <c r="C354" s="3">
        <v>248.48</v>
      </c>
      <c r="D354" s="3">
        <v>108.52</v>
      </c>
      <c r="E354" s="3">
        <v>1.0926</v>
      </c>
      <c r="F354" s="3">
        <v>261.58</v>
      </c>
      <c r="G354" s="3">
        <v>227.04</v>
      </c>
      <c r="H354" s="3">
        <v>185.49</v>
      </c>
      <c r="I354" s="3">
        <v>197.94</v>
      </c>
      <c r="J354" s="3">
        <v>111.73</v>
      </c>
      <c r="K354" s="3">
        <v>215.32</v>
      </c>
      <c r="L354" s="3"/>
      <c r="N354" s="4"/>
    </row>
    <row r="355" spans="1:14" ht="17.5" thickBot="1" x14ac:dyDescent="0.45">
      <c r="A355" s="4">
        <v>43212</v>
      </c>
      <c r="B355" s="3">
        <v>180.2</v>
      </c>
      <c r="C355" s="3">
        <v>248.48</v>
      </c>
      <c r="D355" s="3">
        <v>108.52</v>
      </c>
      <c r="E355" s="3">
        <v>1.0926</v>
      </c>
      <c r="F355" s="3">
        <v>261.58</v>
      </c>
      <c r="G355" s="3">
        <v>227.04</v>
      </c>
      <c r="H355" s="3">
        <v>185.49</v>
      </c>
      <c r="I355" s="3">
        <v>197.94</v>
      </c>
      <c r="J355" s="3">
        <v>111.73</v>
      </c>
      <c r="K355" s="3">
        <v>215.32</v>
      </c>
      <c r="L355" s="3"/>
      <c r="N355" s="4"/>
    </row>
    <row r="356" spans="1:14" ht="17.5" thickBot="1" x14ac:dyDescent="0.45">
      <c r="A356" s="4">
        <v>43213</v>
      </c>
      <c r="B356" s="3">
        <v>179.3</v>
      </c>
      <c r="C356" s="3">
        <v>247.56</v>
      </c>
      <c r="D356" s="3">
        <v>107.96</v>
      </c>
      <c r="E356" s="3">
        <v>1.0907</v>
      </c>
      <c r="F356" s="3">
        <v>260.75</v>
      </c>
      <c r="G356" s="3">
        <v>227.26</v>
      </c>
      <c r="H356" s="3">
        <v>184.88</v>
      </c>
      <c r="I356" s="3">
        <v>197.24</v>
      </c>
      <c r="J356" s="3">
        <v>111.73</v>
      </c>
      <c r="K356" s="3">
        <v>214.61</v>
      </c>
      <c r="L356" s="3"/>
      <c r="N356" s="4"/>
    </row>
    <row r="357" spans="1:14" ht="17.5" thickBot="1" x14ac:dyDescent="0.45">
      <c r="A357" s="4">
        <v>43214</v>
      </c>
      <c r="B357" s="3">
        <v>182.08</v>
      </c>
      <c r="C357" s="3">
        <v>246.81</v>
      </c>
      <c r="D357" s="3">
        <v>107.96</v>
      </c>
      <c r="E357" s="3">
        <v>1.0867</v>
      </c>
      <c r="F357" s="3">
        <v>261.33</v>
      </c>
      <c r="G357" s="3">
        <v>224.74</v>
      </c>
      <c r="H357" s="3">
        <v>185.21</v>
      </c>
      <c r="I357" s="3">
        <v>195.19</v>
      </c>
      <c r="J357" s="3">
        <v>111.73</v>
      </c>
      <c r="K357" s="3">
        <v>214.81</v>
      </c>
      <c r="L357" s="3"/>
      <c r="N357" s="4"/>
    </row>
    <row r="358" spans="1:14" ht="17.5" thickBot="1" x14ac:dyDescent="0.45">
      <c r="A358" s="4">
        <v>43215</v>
      </c>
      <c r="B358" s="3">
        <v>180.08</v>
      </c>
      <c r="C358" s="3">
        <v>244.99</v>
      </c>
      <c r="D358" s="3">
        <v>107.49</v>
      </c>
      <c r="E358" s="3">
        <v>1.0843</v>
      </c>
      <c r="F358" s="3">
        <v>259.45999999999998</v>
      </c>
      <c r="G358" s="3">
        <v>225.77</v>
      </c>
      <c r="H358" s="3">
        <v>183.94</v>
      </c>
      <c r="I358" s="3">
        <v>195.05</v>
      </c>
      <c r="J358" s="3">
        <v>111.73</v>
      </c>
      <c r="K358" s="3">
        <v>213.68</v>
      </c>
      <c r="L358" s="3"/>
      <c r="N358" s="4"/>
    </row>
    <row r="359" spans="1:14" ht="17.5" thickBot="1" x14ac:dyDescent="0.45">
      <c r="A359" s="4">
        <v>43216</v>
      </c>
      <c r="B359" s="3">
        <v>178.24</v>
      </c>
      <c r="C359" s="3">
        <v>245.84</v>
      </c>
      <c r="D359" s="3">
        <v>107.49</v>
      </c>
      <c r="E359" s="3">
        <v>1.0892999999999999</v>
      </c>
      <c r="F359" s="3">
        <v>259.14999999999998</v>
      </c>
      <c r="G359" s="3">
        <v>227.99</v>
      </c>
      <c r="H359" s="3">
        <v>183.79</v>
      </c>
      <c r="I359" s="3">
        <v>197.33</v>
      </c>
      <c r="J359" s="3">
        <v>111.73</v>
      </c>
      <c r="K359" s="3">
        <v>213.58</v>
      </c>
      <c r="L359" s="3"/>
      <c r="N359" s="4"/>
    </row>
    <row r="360" spans="1:14" ht="17.5" thickBot="1" x14ac:dyDescent="0.45">
      <c r="A360" s="4">
        <v>43217</v>
      </c>
      <c r="B360" s="3">
        <v>179.5</v>
      </c>
      <c r="C360" s="3">
        <v>247.4</v>
      </c>
      <c r="D360" s="3">
        <v>107.67</v>
      </c>
      <c r="E360" s="3">
        <v>1.0918000000000001</v>
      </c>
      <c r="F360" s="3">
        <v>260.35000000000002</v>
      </c>
      <c r="G360" s="3">
        <v>228.51</v>
      </c>
      <c r="H360" s="3">
        <v>184.61</v>
      </c>
      <c r="I360" s="3">
        <v>197.65</v>
      </c>
      <c r="J360" s="3">
        <v>111.73</v>
      </c>
      <c r="K360" s="3">
        <v>214.29</v>
      </c>
      <c r="L360" s="3"/>
      <c r="N360" s="4"/>
    </row>
    <row r="361" spans="1:14" ht="17.5" thickBot="1" x14ac:dyDescent="0.45">
      <c r="A361" s="4">
        <v>43218</v>
      </c>
      <c r="B361" s="3">
        <v>179.5</v>
      </c>
      <c r="C361" s="3">
        <v>247.4</v>
      </c>
      <c r="D361" s="3">
        <v>107.67</v>
      </c>
      <c r="E361" s="3">
        <v>1.0918000000000001</v>
      </c>
      <c r="F361" s="3">
        <v>260.35000000000002</v>
      </c>
      <c r="G361" s="3">
        <v>228.51</v>
      </c>
      <c r="H361" s="3">
        <v>184.61</v>
      </c>
      <c r="I361" s="3">
        <v>197.65</v>
      </c>
      <c r="J361" s="3">
        <v>111.73</v>
      </c>
      <c r="K361" s="3">
        <v>214.29</v>
      </c>
      <c r="L361" s="3"/>
      <c r="N361" s="4"/>
    </row>
    <row r="362" spans="1:14" ht="17.5" thickBot="1" x14ac:dyDescent="0.45">
      <c r="A362" s="4">
        <v>43219</v>
      </c>
      <c r="B362" s="3">
        <v>179.5</v>
      </c>
      <c r="C362" s="3">
        <v>247.4</v>
      </c>
      <c r="D362" s="3">
        <v>107.67</v>
      </c>
      <c r="E362" s="3">
        <v>1.0918000000000001</v>
      </c>
      <c r="F362" s="3">
        <v>260.35000000000002</v>
      </c>
      <c r="G362" s="3">
        <v>228.51</v>
      </c>
      <c r="H362" s="3">
        <v>184.61</v>
      </c>
      <c r="I362" s="3">
        <v>197.65</v>
      </c>
      <c r="J362" s="3">
        <v>111.73</v>
      </c>
      <c r="K362" s="3">
        <v>214.29</v>
      </c>
      <c r="L362" s="3"/>
      <c r="N362" s="4"/>
    </row>
    <row r="363" spans="1:14" ht="17.5" thickBot="1" x14ac:dyDescent="0.45">
      <c r="A363" s="4">
        <v>43220</v>
      </c>
      <c r="B363" s="3">
        <v>183.38</v>
      </c>
      <c r="C363" s="3">
        <v>249.4</v>
      </c>
      <c r="D363" s="3">
        <v>107.85</v>
      </c>
      <c r="E363" s="3">
        <v>1.0900000000000001</v>
      </c>
      <c r="F363" s="3">
        <v>261.73</v>
      </c>
      <c r="G363" s="3">
        <v>226.3</v>
      </c>
      <c r="H363" s="3">
        <v>185.46</v>
      </c>
      <c r="I363" s="3">
        <v>195.87</v>
      </c>
      <c r="J363" s="3">
        <v>111.74</v>
      </c>
      <c r="K363" s="3">
        <v>214.93</v>
      </c>
      <c r="L363" s="3"/>
      <c r="N363" s="4"/>
    </row>
    <row r="364" spans="1:14" ht="17.5" thickBot="1" x14ac:dyDescent="0.45">
      <c r="A364" s="4">
        <v>43221</v>
      </c>
      <c r="B364" s="3">
        <v>183.38</v>
      </c>
      <c r="C364" s="3">
        <v>249.4</v>
      </c>
      <c r="D364" s="3">
        <v>107.85</v>
      </c>
      <c r="E364" s="3">
        <v>1.0900000000000001</v>
      </c>
      <c r="F364" s="3">
        <v>261.73</v>
      </c>
      <c r="G364" s="3">
        <v>226.3</v>
      </c>
      <c r="H364" s="3">
        <v>185.46</v>
      </c>
      <c r="I364" s="3">
        <v>195.87</v>
      </c>
      <c r="J364" s="3">
        <v>111.74</v>
      </c>
      <c r="K364" s="3">
        <v>214.93</v>
      </c>
      <c r="L364" s="3"/>
      <c r="N364" s="4"/>
    </row>
    <row r="365" spans="1:14" ht="17.5" thickBot="1" x14ac:dyDescent="0.45">
      <c r="A365" s="4">
        <v>43222</v>
      </c>
      <c r="B365" s="3">
        <v>182.03</v>
      </c>
      <c r="C365" s="3">
        <v>249.03</v>
      </c>
      <c r="D365" s="3">
        <v>107.39</v>
      </c>
      <c r="E365" s="3">
        <v>1.0859000000000001</v>
      </c>
      <c r="F365" s="3">
        <v>260.63</v>
      </c>
      <c r="G365" s="3">
        <v>225.44</v>
      </c>
      <c r="H365" s="3">
        <v>184.65</v>
      </c>
      <c r="I365" s="3">
        <v>193.76</v>
      </c>
      <c r="J365" s="3">
        <v>111.74</v>
      </c>
      <c r="K365" s="3">
        <v>214.03</v>
      </c>
      <c r="L365" s="3"/>
      <c r="N365" s="4"/>
    </row>
    <row r="366" spans="1:14" ht="17.5" thickBot="1" x14ac:dyDescent="0.45">
      <c r="A366" s="4">
        <v>43223</v>
      </c>
      <c r="B366" s="3">
        <v>179.67</v>
      </c>
      <c r="C366" s="3">
        <v>248.66</v>
      </c>
      <c r="D366" s="3">
        <v>107.48</v>
      </c>
      <c r="E366" s="3">
        <v>1.0846</v>
      </c>
      <c r="F366" s="3">
        <v>258.98</v>
      </c>
      <c r="G366" s="3">
        <v>224.66</v>
      </c>
      <c r="H366" s="3">
        <v>183.63</v>
      </c>
      <c r="I366" s="3">
        <v>193</v>
      </c>
      <c r="J366" s="3">
        <v>111.74</v>
      </c>
      <c r="K366" s="3">
        <v>213.37</v>
      </c>
      <c r="L366" s="3"/>
      <c r="N366" s="4"/>
    </row>
    <row r="367" spans="1:14" ht="17.5" thickBot="1" x14ac:dyDescent="0.45">
      <c r="A367" s="4">
        <v>43224</v>
      </c>
      <c r="B367" s="3">
        <v>177.67</v>
      </c>
      <c r="C367" s="3">
        <v>246.87</v>
      </c>
      <c r="D367" s="3">
        <v>107.48</v>
      </c>
      <c r="E367" s="3">
        <v>1.0891</v>
      </c>
      <c r="F367" s="3">
        <v>258.74</v>
      </c>
      <c r="G367" s="3">
        <v>227.72</v>
      </c>
      <c r="H367" s="3">
        <v>183.5</v>
      </c>
      <c r="I367" s="3">
        <v>194.9</v>
      </c>
      <c r="J367" s="3">
        <v>111.74</v>
      </c>
      <c r="K367" s="3">
        <v>213.16</v>
      </c>
      <c r="L367" s="3"/>
      <c r="N367" s="4"/>
    </row>
    <row r="368" spans="1:14" ht="17.5" thickBot="1" x14ac:dyDescent="0.45">
      <c r="A368" s="4">
        <v>43225</v>
      </c>
      <c r="B368" s="3">
        <v>177.67</v>
      </c>
      <c r="C368" s="3">
        <v>246.87</v>
      </c>
      <c r="D368" s="3">
        <v>107.48</v>
      </c>
      <c r="E368" s="3">
        <v>1.0891</v>
      </c>
      <c r="F368" s="3">
        <v>258.74</v>
      </c>
      <c r="G368" s="3">
        <v>227.72</v>
      </c>
      <c r="H368" s="3">
        <v>183.5</v>
      </c>
      <c r="I368" s="3">
        <v>194.9</v>
      </c>
      <c r="J368" s="3">
        <v>111.74</v>
      </c>
      <c r="K368" s="3">
        <v>213.16</v>
      </c>
      <c r="L368" s="3"/>
      <c r="N368" s="4"/>
    </row>
    <row r="369" spans="1:14" ht="17.5" thickBot="1" x14ac:dyDescent="0.45">
      <c r="A369" s="4">
        <v>43226</v>
      </c>
      <c r="B369" s="3">
        <v>177.67</v>
      </c>
      <c r="C369" s="3">
        <v>246.87</v>
      </c>
      <c r="D369" s="3">
        <v>107.48</v>
      </c>
      <c r="E369" s="3">
        <v>1.0891</v>
      </c>
      <c r="F369" s="3">
        <v>258.74</v>
      </c>
      <c r="G369" s="3">
        <v>227.72</v>
      </c>
      <c r="H369" s="3">
        <v>183.5</v>
      </c>
      <c r="I369" s="3">
        <v>194.9</v>
      </c>
      <c r="J369" s="3">
        <v>111.74</v>
      </c>
      <c r="K369" s="3">
        <v>213.16</v>
      </c>
      <c r="L369" s="3"/>
      <c r="N369" s="4"/>
    </row>
    <row r="370" spans="1:14" ht="17.5" thickBot="1" x14ac:dyDescent="0.45">
      <c r="A370" s="4">
        <v>43227</v>
      </c>
      <c r="B370" s="3">
        <v>178.35</v>
      </c>
      <c r="C370" s="3">
        <v>247.88</v>
      </c>
      <c r="D370" s="3">
        <v>107.38</v>
      </c>
      <c r="E370" s="3">
        <v>1.0914999999999999</v>
      </c>
      <c r="F370" s="3">
        <v>259.58</v>
      </c>
      <c r="G370" s="3">
        <v>228.15</v>
      </c>
      <c r="H370" s="3">
        <v>184</v>
      </c>
      <c r="I370" s="3">
        <v>194.95</v>
      </c>
      <c r="J370" s="3">
        <v>111.74</v>
      </c>
      <c r="K370" s="3">
        <v>213.49</v>
      </c>
      <c r="L370" s="3"/>
      <c r="N370" s="4"/>
    </row>
    <row r="371" spans="1:14" ht="17.5" thickBot="1" x14ac:dyDescent="0.45">
      <c r="A371" s="4">
        <v>43228</v>
      </c>
      <c r="B371" s="3">
        <v>180.91</v>
      </c>
      <c r="C371" s="3">
        <v>247.68</v>
      </c>
      <c r="D371" s="3">
        <v>107.19</v>
      </c>
      <c r="E371" s="3">
        <v>1.0905</v>
      </c>
      <c r="F371" s="3">
        <v>260.76</v>
      </c>
      <c r="G371" s="3">
        <v>227.98</v>
      </c>
      <c r="H371" s="3">
        <v>184.72</v>
      </c>
      <c r="I371" s="3">
        <v>194.79</v>
      </c>
      <c r="J371" s="3">
        <v>111.74</v>
      </c>
      <c r="K371" s="3">
        <v>213.82</v>
      </c>
      <c r="L371" s="3"/>
      <c r="N371" s="4"/>
    </row>
    <row r="372" spans="1:14" ht="17.5" thickBot="1" x14ac:dyDescent="0.45">
      <c r="A372" s="4">
        <v>43229</v>
      </c>
      <c r="B372" s="3">
        <v>181.53</v>
      </c>
      <c r="C372" s="3">
        <v>247.24</v>
      </c>
      <c r="D372" s="3">
        <v>106.91</v>
      </c>
      <c r="E372" s="3">
        <v>1.0943000000000001</v>
      </c>
      <c r="F372" s="3">
        <v>261.41000000000003</v>
      </c>
      <c r="G372" s="3">
        <v>230.2</v>
      </c>
      <c r="H372" s="3">
        <v>185.09</v>
      </c>
      <c r="I372" s="3">
        <v>196.64</v>
      </c>
      <c r="J372" s="3">
        <v>111.74</v>
      </c>
      <c r="K372" s="3">
        <v>213.98</v>
      </c>
      <c r="L372" s="3"/>
      <c r="N372" s="4"/>
    </row>
    <row r="373" spans="1:14" ht="17.5" thickBot="1" x14ac:dyDescent="0.45">
      <c r="A373" s="4">
        <v>43230</v>
      </c>
      <c r="B373" s="3">
        <v>182.84</v>
      </c>
      <c r="C373" s="3">
        <v>249.54</v>
      </c>
      <c r="D373" s="3">
        <v>107.19</v>
      </c>
      <c r="E373" s="3">
        <v>1.0992999999999999</v>
      </c>
      <c r="F373" s="3">
        <v>263.10000000000002</v>
      </c>
      <c r="G373" s="3">
        <v>232.04</v>
      </c>
      <c r="H373" s="3">
        <v>186.24</v>
      </c>
      <c r="I373" s="3">
        <v>199.31</v>
      </c>
      <c r="J373" s="3">
        <v>111.74</v>
      </c>
      <c r="K373" s="3">
        <v>214.95</v>
      </c>
      <c r="L373" s="3"/>
      <c r="N373" s="4"/>
    </row>
    <row r="374" spans="1:14" ht="17.5" thickBot="1" x14ac:dyDescent="0.45">
      <c r="A374" s="4">
        <v>43231</v>
      </c>
      <c r="B374" s="3">
        <v>184.53</v>
      </c>
      <c r="C374" s="3">
        <v>251.9</v>
      </c>
      <c r="D374" s="3">
        <v>107.55</v>
      </c>
      <c r="E374" s="3">
        <v>1.1027</v>
      </c>
      <c r="F374" s="3">
        <v>265.19</v>
      </c>
      <c r="G374" s="3">
        <v>232.79</v>
      </c>
      <c r="H374" s="3">
        <v>187.66</v>
      </c>
      <c r="I374" s="3">
        <v>199.05</v>
      </c>
      <c r="J374" s="3">
        <v>111.74</v>
      </c>
      <c r="K374" s="3">
        <v>216.09</v>
      </c>
      <c r="L374" s="3"/>
      <c r="N374" s="4"/>
    </row>
    <row r="375" spans="1:14" ht="17.5" thickBot="1" x14ac:dyDescent="0.45">
      <c r="A375" s="4">
        <v>43232</v>
      </c>
      <c r="B375" s="3">
        <v>184.53</v>
      </c>
      <c r="C375" s="3">
        <v>251.9</v>
      </c>
      <c r="D375" s="3">
        <v>107.55</v>
      </c>
      <c r="E375" s="3">
        <v>1.1027</v>
      </c>
      <c r="F375" s="3">
        <v>265.19</v>
      </c>
      <c r="G375" s="3">
        <v>232.79</v>
      </c>
      <c r="H375" s="3">
        <v>187.66</v>
      </c>
      <c r="I375" s="3">
        <v>199.05</v>
      </c>
      <c r="J375" s="3">
        <v>111.74</v>
      </c>
      <c r="K375" s="3">
        <v>216.09</v>
      </c>
      <c r="L375" s="3"/>
      <c r="N375" s="4"/>
    </row>
    <row r="376" spans="1:14" ht="17.5" thickBot="1" x14ac:dyDescent="0.45">
      <c r="A376" s="4">
        <v>43233</v>
      </c>
      <c r="B376" s="3">
        <v>184.53</v>
      </c>
      <c r="C376" s="3">
        <v>251.9</v>
      </c>
      <c r="D376" s="3">
        <v>107.55</v>
      </c>
      <c r="E376" s="3">
        <v>1.1027</v>
      </c>
      <c r="F376" s="3">
        <v>265.19</v>
      </c>
      <c r="G376" s="3">
        <v>232.79</v>
      </c>
      <c r="H376" s="3">
        <v>187.66</v>
      </c>
      <c r="I376" s="3">
        <v>199.05</v>
      </c>
      <c r="J376" s="3">
        <v>111.74</v>
      </c>
      <c r="K376" s="3">
        <v>216.09</v>
      </c>
      <c r="L376" s="3"/>
      <c r="N376" s="4"/>
    </row>
    <row r="377" spans="1:14" ht="17.5" thickBot="1" x14ac:dyDescent="0.45">
      <c r="A377" s="4">
        <v>43234</v>
      </c>
      <c r="B377" s="3">
        <v>187.26</v>
      </c>
      <c r="C377" s="3">
        <v>253.06</v>
      </c>
      <c r="D377" s="3">
        <v>107.54</v>
      </c>
      <c r="E377" s="3">
        <v>1.1033999999999999</v>
      </c>
      <c r="F377" s="3">
        <v>266.62</v>
      </c>
      <c r="G377" s="3">
        <v>233.29</v>
      </c>
      <c r="H377" s="3">
        <v>188.56</v>
      </c>
      <c r="I377" s="3">
        <v>199.02</v>
      </c>
      <c r="J377" s="3">
        <v>111.74</v>
      </c>
      <c r="K377" s="3">
        <v>216.65</v>
      </c>
      <c r="L377" s="3"/>
      <c r="N377" s="4"/>
    </row>
    <row r="378" spans="1:14" ht="17.5" thickBot="1" x14ac:dyDescent="0.45">
      <c r="A378" s="4">
        <v>43235</v>
      </c>
      <c r="B378" s="3">
        <v>185.59</v>
      </c>
      <c r="C378" s="3">
        <v>249.44</v>
      </c>
      <c r="D378" s="3">
        <v>106.99</v>
      </c>
      <c r="E378" s="3">
        <v>1.0969</v>
      </c>
      <c r="F378" s="3">
        <v>264.58999999999997</v>
      </c>
      <c r="G378" s="3">
        <v>231.89</v>
      </c>
      <c r="H378" s="3">
        <v>187.17</v>
      </c>
      <c r="I378" s="3">
        <v>197.48</v>
      </c>
      <c r="J378" s="3">
        <v>111.74</v>
      </c>
      <c r="K378" s="3">
        <v>215.26</v>
      </c>
      <c r="L378" s="3"/>
      <c r="N378" s="4"/>
    </row>
    <row r="379" spans="1:14" ht="17.5" thickBot="1" x14ac:dyDescent="0.45">
      <c r="A379" s="4">
        <v>43236</v>
      </c>
      <c r="B379" s="3">
        <v>185.07</v>
      </c>
      <c r="C379" s="3">
        <v>250</v>
      </c>
      <c r="D379" s="3">
        <v>106.81</v>
      </c>
      <c r="E379" s="3">
        <v>1.0976999999999999</v>
      </c>
      <c r="F379" s="3">
        <v>264.25</v>
      </c>
      <c r="G379" s="3">
        <v>233.11</v>
      </c>
      <c r="H379" s="3">
        <v>186.95</v>
      </c>
      <c r="I379" s="3">
        <v>198.54</v>
      </c>
      <c r="J379" s="3">
        <v>111.74</v>
      </c>
      <c r="K379" s="3">
        <v>214.97</v>
      </c>
      <c r="L379" s="3"/>
      <c r="N379" s="4"/>
    </row>
    <row r="380" spans="1:14" ht="17.5" thickBot="1" x14ac:dyDescent="0.45">
      <c r="A380" s="4">
        <v>43237</v>
      </c>
      <c r="B380" s="3">
        <v>184.25</v>
      </c>
      <c r="C380" s="3">
        <v>249.43</v>
      </c>
      <c r="D380" s="3">
        <v>106.62</v>
      </c>
      <c r="E380" s="3">
        <v>1.0975999999999999</v>
      </c>
      <c r="F380" s="3">
        <v>264.10000000000002</v>
      </c>
      <c r="G380" s="3">
        <v>233.24</v>
      </c>
      <c r="H380" s="3">
        <v>186.82</v>
      </c>
      <c r="I380" s="3">
        <v>197.22</v>
      </c>
      <c r="J380" s="3">
        <v>111.74</v>
      </c>
      <c r="K380" s="3">
        <v>214.74</v>
      </c>
      <c r="L380" s="3"/>
      <c r="N380" s="4"/>
    </row>
    <row r="381" spans="1:14" ht="17.5" thickBot="1" x14ac:dyDescent="0.45">
      <c r="A381" s="4">
        <v>43238</v>
      </c>
      <c r="B381" s="3">
        <v>184.9</v>
      </c>
      <c r="C381" s="3">
        <v>248.81</v>
      </c>
      <c r="D381" s="3">
        <v>106.62</v>
      </c>
      <c r="E381" s="3">
        <v>1.0967</v>
      </c>
      <c r="F381" s="3">
        <v>264.25</v>
      </c>
      <c r="G381" s="3">
        <v>232.69</v>
      </c>
      <c r="H381" s="3">
        <v>186.94</v>
      </c>
      <c r="I381" s="3">
        <v>196.1</v>
      </c>
      <c r="J381" s="3">
        <v>111.74</v>
      </c>
      <c r="K381" s="3">
        <v>214.84</v>
      </c>
      <c r="L381" s="3"/>
      <c r="N381" s="4"/>
    </row>
    <row r="382" spans="1:14" ht="17.5" thickBot="1" x14ac:dyDescent="0.45">
      <c r="A382" s="4">
        <v>43239</v>
      </c>
      <c r="B382" s="3">
        <v>184.9</v>
      </c>
      <c r="C382" s="3">
        <v>248.81</v>
      </c>
      <c r="D382" s="3">
        <v>106.62</v>
      </c>
      <c r="E382" s="3">
        <v>1.0967</v>
      </c>
      <c r="F382" s="3">
        <v>264.25</v>
      </c>
      <c r="G382" s="3">
        <v>232.69</v>
      </c>
      <c r="H382" s="3">
        <v>186.94</v>
      </c>
      <c r="I382" s="3">
        <v>196.1</v>
      </c>
      <c r="J382" s="3">
        <v>111.74</v>
      </c>
      <c r="K382" s="3">
        <v>214.84</v>
      </c>
      <c r="L382" s="3"/>
      <c r="N382" s="4"/>
    </row>
    <row r="383" spans="1:14" ht="17.5" thickBot="1" x14ac:dyDescent="0.45">
      <c r="A383" s="4">
        <v>43240</v>
      </c>
      <c r="B383" s="3">
        <v>184.9</v>
      </c>
      <c r="C383" s="3">
        <v>248.81</v>
      </c>
      <c r="D383" s="3">
        <v>106.62</v>
      </c>
      <c r="E383" s="3">
        <v>1.0967</v>
      </c>
      <c r="F383" s="3">
        <v>264.25</v>
      </c>
      <c r="G383" s="3">
        <v>232.69</v>
      </c>
      <c r="H383" s="3">
        <v>186.94</v>
      </c>
      <c r="I383" s="3">
        <v>196.1</v>
      </c>
      <c r="J383" s="3">
        <v>111.74</v>
      </c>
      <c r="K383" s="3">
        <v>214.84</v>
      </c>
      <c r="L383" s="3"/>
      <c r="N383" s="4"/>
    </row>
    <row r="384" spans="1:14" ht="17.5" thickBot="1" x14ac:dyDescent="0.45">
      <c r="A384" s="4">
        <v>43241</v>
      </c>
      <c r="B384" s="3">
        <v>186.06</v>
      </c>
      <c r="C384" s="3">
        <v>249.37</v>
      </c>
      <c r="D384" s="3">
        <v>106.61</v>
      </c>
      <c r="E384" s="3">
        <v>1.0989</v>
      </c>
      <c r="F384" s="3">
        <v>265.23</v>
      </c>
      <c r="G384" s="3">
        <v>234.19</v>
      </c>
      <c r="H384" s="3">
        <v>187.54</v>
      </c>
      <c r="I384" s="3">
        <v>197.17</v>
      </c>
      <c r="J384" s="3">
        <v>111.74</v>
      </c>
      <c r="K384" s="3">
        <v>215.19</v>
      </c>
      <c r="L384" s="3"/>
      <c r="N384" s="4"/>
    </row>
    <row r="385" spans="1:14" ht="17.5" thickBot="1" x14ac:dyDescent="0.45">
      <c r="A385" s="4">
        <v>43242</v>
      </c>
      <c r="B385" s="3">
        <v>186.06</v>
      </c>
      <c r="C385" s="3">
        <v>249.37</v>
      </c>
      <c r="D385" s="3">
        <v>106.61</v>
      </c>
      <c r="E385" s="3">
        <v>1.0989</v>
      </c>
      <c r="F385" s="3">
        <v>265.23</v>
      </c>
      <c r="G385" s="3">
        <v>234.19</v>
      </c>
      <c r="H385" s="3">
        <v>187.54</v>
      </c>
      <c r="I385" s="3">
        <v>197.17</v>
      </c>
      <c r="J385" s="3">
        <v>111.74</v>
      </c>
      <c r="K385" s="3">
        <v>215.19</v>
      </c>
      <c r="L385" s="3"/>
      <c r="N385" s="4"/>
    </row>
    <row r="386" spans="1:14" ht="17.5" thickBot="1" x14ac:dyDescent="0.45">
      <c r="A386" s="4">
        <v>43243</v>
      </c>
      <c r="B386" s="3">
        <v>182.45</v>
      </c>
      <c r="C386" s="3">
        <v>248.06</v>
      </c>
      <c r="D386" s="3">
        <v>106.79</v>
      </c>
      <c r="E386" s="3">
        <v>1.0973999999999999</v>
      </c>
      <c r="F386" s="3">
        <v>263.31</v>
      </c>
      <c r="G386" s="3">
        <v>234.16</v>
      </c>
      <c r="H386" s="3">
        <v>186.36</v>
      </c>
      <c r="I386" s="3">
        <v>197.4</v>
      </c>
      <c r="J386" s="3">
        <v>111.74</v>
      </c>
      <c r="K386" s="3">
        <v>214.43</v>
      </c>
      <c r="L386" s="3"/>
      <c r="N386" s="4"/>
    </row>
    <row r="387" spans="1:14" ht="17.5" thickBot="1" x14ac:dyDescent="0.45">
      <c r="A387" s="4">
        <v>43244</v>
      </c>
      <c r="B387" s="3">
        <v>183.09</v>
      </c>
      <c r="C387" s="3">
        <v>248.92</v>
      </c>
      <c r="D387" s="3">
        <v>107.07</v>
      </c>
      <c r="E387" s="3">
        <v>1.0966</v>
      </c>
      <c r="F387" s="3">
        <v>263.07</v>
      </c>
      <c r="G387" s="3">
        <v>233.86</v>
      </c>
      <c r="H387" s="3">
        <v>186.21</v>
      </c>
      <c r="I387" s="3">
        <v>196.25</v>
      </c>
      <c r="J387" s="3">
        <v>111.74</v>
      </c>
      <c r="K387" s="3">
        <v>214.49</v>
      </c>
      <c r="L387" s="3"/>
      <c r="N387" s="4"/>
    </row>
    <row r="388" spans="1:14" ht="17.5" thickBot="1" x14ac:dyDescent="0.45">
      <c r="A388" s="4">
        <v>43245</v>
      </c>
      <c r="B388" s="3">
        <v>182.7</v>
      </c>
      <c r="C388" s="3">
        <v>249.59</v>
      </c>
      <c r="D388" s="3">
        <v>107.16</v>
      </c>
      <c r="E388" s="3">
        <v>1.0952</v>
      </c>
      <c r="F388" s="3">
        <v>262.23</v>
      </c>
      <c r="G388" s="3">
        <v>233.13</v>
      </c>
      <c r="H388" s="3">
        <v>185.67</v>
      </c>
      <c r="I388" s="3">
        <v>195.32</v>
      </c>
      <c r="J388" s="3">
        <v>111.74</v>
      </c>
      <c r="K388" s="3">
        <v>214.12</v>
      </c>
      <c r="L388" s="3"/>
      <c r="N388" s="4"/>
    </row>
    <row r="389" spans="1:14" ht="17.5" thickBot="1" x14ac:dyDescent="0.45">
      <c r="A389" s="4">
        <v>43246</v>
      </c>
      <c r="B389" s="3">
        <v>182.7</v>
      </c>
      <c r="C389" s="3">
        <v>249.59</v>
      </c>
      <c r="D389" s="3">
        <v>107.16</v>
      </c>
      <c r="E389" s="3">
        <v>1.0952</v>
      </c>
      <c r="F389" s="3">
        <v>262.23</v>
      </c>
      <c r="G389" s="3">
        <v>233.13</v>
      </c>
      <c r="H389" s="3">
        <v>185.67</v>
      </c>
      <c r="I389" s="3">
        <v>195.32</v>
      </c>
      <c r="J389" s="3">
        <v>111.74</v>
      </c>
      <c r="K389" s="3">
        <v>214.12</v>
      </c>
      <c r="L389" s="3"/>
      <c r="N389" s="4"/>
    </row>
    <row r="390" spans="1:14" ht="17.5" thickBot="1" x14ac:dyDescent="0.45">
      <c r="A390" s="4">
        <v>43247</v>
      </c>
      <c r="B390" s="3">
        <v>182.7</v>
      </c>
      <c r="C390" s="3">
        <v>249.59</v>
      </c>
      <c r="D390" s="3">
        <v>107.16</v>
      </c>
      <c r="E390" s="3">
        <v>1.0952</v>
      </c>
      <c r="F390" s="3">
        <v>262.23</v>
      </c>
      <c r="G390" s="3">
        <v>233.13</v>
      </c>
      <c r="H390" s="3">
        <v>185.67</v>
      </c>
      <c r="I390" s="3">
        <v>195.32</v>
      </c>
      <c r="J390" s="3">
        <v>111.74</v>
      </c>
      <c r="K390" s="3">
        <v>214.12</v>
      </c>
      <c r="L390" s="3"/>
      <c r="N390" s="4"/>
    </row>
    <row r="391" spans="1:14" ht="17.5" thickBot="1" x14ac:dyDescent="0.45">
      <c r="A391" s="4">
        <v>43248</v>
      </c>
      <c r="B391" s="3">
        <v>183.57</v>
      </c>
      <c r="C391" s="3">
        <v>249.33</v>
      </c>
      <c r="D391" s="3">
        <v>107.15</v>
      </c>
      <c r="E391" s="3">
        <v>1.0943000000000001</v>
      </c>
      <c r="F391" s="3">
        <v>262.48</v>
      </c>
      <c r="G391" s="3">
        <v>233.07</v>
      </c>
      <c r="H391" s="3">
        <v>185.84</v>
      </c>
      <c r="I391" s="3">
        <v>195.24</v>
      </c>
      <c r="J391" s="3">
        <v>111.74</v>
      </c>
      <c r="K391" s="3">
        <v>214.28</v>
      </c>
      <c r="L391" s="3"/>
      <c r="N391" s="4"/>
    </row>
    <row r="392" spans="1:14" ht="17.5" thickBot="1" x14ac:dyDescent="0.45">
      <c r="A392" s="4">
        <v>43249</v>
      </c>
      <c r="B392" s="3">
        <v>181.68</v>
      </c>
      <c r="C392" s="3">
        <v>247.86</v>
      </c>
      <c r="D392" s="3">
        <v>107.24</v>
      </c>
      <c r="E392" s="3">
        <v>1.0871</v>
      </c>
      <c r="F392" s="3">
        <v>259.98</v>
      </c>
      <c r="G392" s="3">
        <v>230.28</v>
      </c>
      <c r="H392" s="3">
        <v>184.23</v>
      </c>
      <c r="I392" s="3">
        <v>192.01</v>
      </c>
      <c r="J392" s="3">
        <v>111.74</v>
      </c>
      <c r="K392" s="3">
        <v>213.2</v>
      </c>
      <c r="L392" s="3"/>
      <c r="N392" s="4"/>
    </row>
    <row r="393" spans="1:14" ht="17.5" thickBot="1" x14ac:dyDescent="0.45">
      <c r="A393" s="4">
        <v>43250</v>
      </c>
      <c r="B393" s="3">
        <v>178.8</v>
      </c>
      <c r="C393" s="3">
        <v>245.25</v>
      </c>
      <c r="D393" s="3">
        <v>107.42</v>
      </c>
      <c r="E393" s="3">
        <v>1.0903</v>
      </c>
      <c r="F393" s="3">
        <v>258.95</v>
      </c>
      <c r="G393" s="3">
        <v>233.43</v>
      </c>
      <c r="H393" s="3">
        <v>183.51</v>
      </c>
      <c r="I393" s="3">
        <v>194.38</v>
      </c>
      <c r="J393" s="3">
        <v>111.74</v>
      </c>
      <c r="K393" s="3">
        <v>212.54</v>
      </c>
      <c r="L393" s="3"/>
      <c r="N393" s="4"/>
    </row>
    <row r="394" spans="1:14" ht="17.5" thickBot="1" x14ac:dyDescent="0.45">
      <c r="A394" s="4">
        <v>43251</v>
      </c>
      <c r="B394" s="3">
        <v>181.93</v>
      </c>
      <c r="C394" s="3">
        <v>247.32</v>
      </c>
      <c r="D394" s="3">
        <v>107.61</v>
      </c>
      <c r="E394" s="3">
        <v>1.0901000000000001</v>
      </c>
      <c r="F394" s="3">
        <v>260.5</v>
      </c>
      <c r="G394" s="3">
        <v>231.46</v>
      </c>
      <c r="H394" s="3">
        <v>184.53</v>
      </c>
      <c r="I394" s="3">
        <v>193.16</v>
      </c>
      <c r="J394" s="3">
        <v>111.75</v>
      </c>
      <c r="K394" s="3">
        <v>213.43</v>
      </c>
      <c r="L394" s="3"/>
      <c r="N394" s="4"/>
    </row>
    <row r="395" spans="1:14" ht="17.5" thickBot="1" x14ac:dyDescent="0.45">
      <c r="A395" s="4">
        <v>43252</v>
      </c>
      <c r="B395" s="3">
        <v>182.09</v>
      </c>
      <c r="C395" s="3">
        <v>247.85</v>
      </c>
      <c r="D395" s="3">
        <v>107.51</v>
      </c>
      <c r="E395" s="3">
        <v>1.0941000000000001</v>
      </c>
      <c r="F395" s="3">
        <v>261.44</v>
      </c>
      <c r="G395" s="3">
        <v>234.2</v>
      </c>
      <c r="H395" s="3">
        <v>185.16</v>
      </c>
      <c r="I395" s="3">
        <v>194.83</v>
      </c>
      <c r="J395" s="3">
        <v>111.75</v>
      </c>
      <c r="K395" s="3">
        <v>213.76</v>
      </c>
      <c r="L395" s="3"/>
      <c r="N395" s="4"/>
    </row>
    <row r="396" spans="1:14" ht="17.5" thickBot="1" x14ac:dyDescent="0.45">
      <c r="A396" s="4">
        <v>43253</v>
      </c>
      <c r="B396" s="3">
        <v>182.09</v>
      </c>
      <c r="C396" s="3">
        <v>247.85</v>
      </c>
      <c r="D396" s="3">
        <v>107.51</v>
      </c>
      <c r="E396" s="3">
        <v>1.0941000000000001</v>
      </c>
      <c r="F396" s="3">
        <v>261.44</v>
      </c>
      <c r="G396" s="3">
        <v>234.2</v>
      </c>
      <c r="H396" s="3">
        <v>185.16</v>
      </c>
      <c r="I396" s="3">
        <v>194.83</v>
      </c>
      <c r="J396" s="3">
        <v>111.75</v>
      </c>
      <c r="K396" s="3">
        <v>213.76</v>
      </c>
      <c r="L396" s="3"/>
      <c r="N396" s="4"/>
    </row>
    <row r="397" spans="1:14" ht="17.5" thickBot="1" x14ac:dyDescent="0.45">
      <c r="A397" s="4">
        <v>43254</v>
      </c>
      <c r="B397" s="3">
        <v>182.09</v>
      </c>
      <c r="C397" s="3">
        <v>247.85</v>
      </c>
      <c r="D397" s="3">
        <v>107.51</v>
      </c>
      <c r="E397" s="3">
        <v>1.0941000000000001</v>
      </c>
      <c r="F397" s="3">
        <v>261.44</v>
      </c>
      <c r="G397" s="3">
        <v>234.2</v>
      </c>
      <c r="H397" s="3">
        <v>185.16</v>
      </c>
      <c r="I397" s="3">
        <v>194.83</v>
      </c>
      <c r="J397" s="3">
        <v>111.75</v>
      </c>
      <c r="K397" s="3">
        <v>213.76</v>
      </c>
      <c r="L397" s="3"/>
      <c r="N397" s="4"/>
    </row>
    <row r="398" spans="1:14" ht="17.5" thickBot="1" x14ac:dyDescent="0.45">
      <c r="A398" s="4">
        <v>43255</v>
      </c>
      <c r="B398" s="3">
        <v>184.81</v>
      </c>
      <c r="C398" s="3">
        <v>251.13</v>
      </c>
      <c r="D398" s="3">
        <v>107.51</v>
      </c>
      <c r="E398" s="3">
        <v>1.0982000000000001</v>
      </c>
      <c r="F398" s="3">
        <v>264.02</v>
      </c>
      <c r="G398" s="3">
        <v>235.35</v>
      </c>
      <c r="H398" s="3">
        <v>186.84</v>
      </c>
      <c r="I398" s="3">
        <v>196.17</v>
      </c>
      <c r="J398" s="3">
        <v>111.75</v>
      </c>
      <c r="K398" s="3">
        <v>214.97</v>
      </c>
      <c r="L398" s="3"/>
      <c r="N398" s="4"/>
    </row>
    <row r="399" spans="1:14" ht="17.5" thickBot="1" x14ac:dyDescent="0.45">
      <c r="A399" s="4">
        <v>43256</v>
      </c>
      <c r="B399" s="3">
        <v>185.4</v>
      </c>
      <c r="C399" s="3">
        <v>250.43</v>
      </c>
      <c r="D399" s="3">
        <v>107.51</v>
      </c>
      <c r="E399" s="3">
        <v>1.0972999999999999</v>
      </c>
      <c r="F399" s="3">
        <v>264.02999999999997</v>
      </c>
      <c r="G399" s="3">
        <v>235.63</v>
      </c>
      <c r="H399" s="3">
        <v>186.86</v>
      </c>
      <c r="I399" s="3">
        <v>195.16</v>
      </c>
      <c r="J399" s="3">
        <v>111.75</v>
      </c>
      <c r="K399" s="3">
        <v>214.96</v>
      </c>
      <c r="L399" s="3"/>
      <c r="N399" s="4"/>
    </row>
    <row r="400" spans="1:14" ht="17.5" thickBot="1" x14ac:dyDescent="0.45">
      <c r="A400" s="4">
        <v>43257</v>
      </c>
      <c r="B400" s="3">
        <v>186.38</v>
      </c>
      <c r="C400" s="3">
        <v>252.77</v>
      </c>
      <c r="D400" s="3">
        <v>107.6</v>
      </c>
      <c r="E400" s="3">
        <v>1.1003000000000001</v>
      </c>
      <c r="F400" s="3">
        <v>265.52999999999997</v>
      </c>
      <c r="G400" s="3">
        <v>237.75</v>
      </c>
      <c r="H400" s="3">
        <v>187.79</v>
      </c>
      <c r="I400" s="3">
        <v>196.36</v>
      </c>
      <c r="J400" s="3">
        <v>111.75</v>
      </c>
      <c r="K400" s="3">
        <v>215.56</v>
      </c>
      <c r="L400" s="3"/>
      <c r="N400" s="4"/>
    </row>
    <row r="401" spans="1:14" ht="17.5" thickBot="1" x14ac:dyDescent="0.45">
      <c r="A401" s="4">
        <v>43258</v>
      </c>
      <c r="B401" s="3">
        <v>188.04</v>
      </c>
      <c r="C401" s="3">
        <v>253.84</v>
      </c>
      <c r="D401" s="3">
        <v>107.41</v>
      </c>
      <c r="E401" s="3">
        <v>1.1008</v>
      </c>
      <c r="F401" s="3">
        <v>266.63</v>
      </c>
      <c r="G401" s="3">
        <v>237.2</v>
      </c>
      <c r="H401" s="3">
        <v>188.5</v>
      </c>
      <c r="I401" s="3">
        <v>195.03</v>
      </c>
      <c r="J401" s="3">
        <v>111.75</v>
      </c>
      <c r="K401" s="3">
        <v>216.03</v>
      </c>
      <c r="L401" s="3"/>
      <c r="N401" s="4"/>
    </row>
    <row r="402" spans="1:14" ht="17.5" thickBot="1" x14ac:dyDescent="0.45">
      <c r="A402" s="4">
        <v>43259</v>
      </c>
      <c r="B402" s="3">
        <v>184.48</v>
      </c>
      <c r="C402" s="3">
        <v>250.76</v>
      </c>
      <c r="D402" s="3">
        <v>107.22</v>
      </c>
      <c r="E402" s="3">
        <v>1.0998000000000001</v>
      </c>
      <c r="F402" s="3">
        <v>264.64999999999998</v>
      </c>
      <c r="G402" s="3">
        <v>238.02</v>
      </c>
      <c r="H402" s="3">
        <v>187.17</v>
      </c>
      <c r="I402" s="3">
        <v>196.52</v>
      </c>
      <c r="J402" s="3">
        <v>111.75</v>
      </c>
      <c r="K402" s="3">
        <v>215.01</v>
      </c>
      <c r="L402" s="3"/>
      <c r="N402" s="4"/>
    </row>
    <row r="403" spans="1:14" ht="17.5" thickBot="1" x14ac:dyDescent="0.45">
      <c r="A403" s="4">
        <v>43260</v>
      </c>
      <c r="B403" s="3">
        <v>184.48</v>
      </c>
      <c r="C403" s="3">
        <v>250.76</v>
      </c>
      <c r="D403" s="3">
        <v>107.22</v>
      </c>
      <c r="E403" s="3">
        <v>1.0998000000000001</v>
      </c>
      <c r="F403" s="3">
        <v>264.64999999999998</v>
      </c>
      <c r="G403" s="3">
        <v>238.02</v>
      </c>
      <c r="H403" s="3">
        <v>187.17</v>
      </c>
      <c r="I403" s="3">
        <v>196.52</v>
      </c>
      <c r="J403" s="3">
        <v>111.75</v>
      </c>
      <c r="K403" s="3">
        <v>215.01</v>
      </c>
      <c r="L403" s="3"/>
      <c r="N403" s="4"/>
    </row>
    <row r="404" spans="1:14" ht="17.5" thickBot="1" x14ac:dyDescent="0.45">
      <c r="A404" s="4">
        <v>43261</v>
      </c>
      <c r="B404" s="3">
        <v>184.48</v>
      </c>
      <c r="C404" s="3">
        <v>250.76</v>
      </c>
      <c r="D404" s="3">
        <v>107.22</v>
      </c>
      <c r="E404" s="3">
        <v>1.0998000000000001</v>
      </c>
      <c r="F404" s="3">
        <v>264.64999999999998</v>
      </c>
      <c r="G404" s="3">
        <v>238.02</v>
      </c>
      <c r="H404" s="3">
        <v>187.17</v>
      </c>
      <c r="I404" s="3">
        <v>196.52</v>
      </c>
      <c r="J404" s="3">
        <v>111.75</v>
      </c>
      <c r="K404" s="3">
        <v>215.01</v>
      </c>
      <c r="L404" s="3"/>
      <c r="N404" s="4"/>
    </row>
    <row r="405" spans="1:14" ht="17.5" thickBot="1" x14ac:dyDescent="0.45">
      <c r="A405" s="4">
        <v>43262</v>
      </c>
      <c r="B405" s="3">
        <v>185.45</v>
      </c>
      <c r="C405" s="3">
        <v>251.86</v>
      </c>
      <c r="D405" s="3">
        <v>107.31</v>
      </c>
      <c r="E405" s="3">
        <v>1.1020000000000001</v>
      </c>
      <c r="F405" s="3">
        <v>265.61</v>
      </c>
      <c r="G405" s="3">
        <v>238.52</v>
      </c>
      <c r="H405" s="3">
        <v>187.83</v>
      </c>
      <c r="I405" s="3">
        <v>196.49</v>
      </c>
      <c r="J405" s="3">
        <v>111.75</v>
      </c>
      <c r="K405" s="3">
        <v>215.44</v>
      </c>
      <c r="L405" s="3"/>
      <c r="N405" s="4"/>
    </row>
    <row r="406" spans="1:14" ht="17.5" thickBot="1" x14ac:dyDescent="0.45">
      <c r="A406" s="4">
        <v>43263</v>
      </c>
      <c r="B406" s="3">
        <v>185.67</v>
      </c>
      <c r="C406" s="3">
        <v>251.64</v>
      </c>
      <c r="D406" s="3">
        <v>107.22</v>
      </c>
      <c r="E406" s="3">
        <v>1.1024</v>
      </c>
      <c r="F406" s="3">
        <v>265.73</v>
      </c>
      <c r="G406" s="3">
        <v>238.8</v>
      </c>
      <c r="H406" s="3">
        <v>187.89</v>
      </c>
      <c r="I406" s="3">
        <v>196.9</v>
      </c>
      <c r="J406" s="3">
        <v>111.75</v>
      </c>
      <c r="K406" s="3">
        <v>215.4</v>
      </c>
      <c r="L406" s="3"/>
      <c r="N406" s="4"/>
    </row>
    <row r="407" spans="1:14" ht="17.5" thickBot="1" x14ac:dyDescent="0.45">
      <c r="A407" s="4">
        <v>43264</v>
      </c>
      <c r="B407" s="3">
        <v>183.45</v>
      </c>
      <c r="C407" s="3">
        <v>250.5</v>
      </c>
      <c r="D407" s="3">
        <v>107.21</v>
      </c>
      <c r="E407" s="3">
        <v>1.1013999999999999</v>
      </c>
      <c r="F407" s="3">
        <v>264.69</v>
      </c>
      <c r="G407" s="3">
        <v>238</v>
      </c>
      <c r="H407" s="3">
        <v>187.21</v>
      </c>
      <c r="I407" s="3">
        <v>196.05</v>
      </c>
      <c r="J407" s="3">
        <v>111.75</v>
      </c>
      <c r="K407" s="3">
        <v>214.95</v>
      </c>
      <c r="L407" s="3"/>
      <c r="N407" s="4"/>
    </row>
    <row r="408" spans="1:14" ht="17.5" thickBot="1" x14ac:dyDescent="0.45">
      <c r="A408" s="4">
        <v>43265</v>
      </c>
      <c r="B408" s="3">
        <v>182.01</v>
      </c>
      <c r="C408" s="3">
        <v>247.31</v>
      </c>
      <c r="D408" s="3">
        <v>107.03</v>
      </c>
      <c r="E408" s="3">
        <v>1.1023000000000001</v>
      </c>
      <c r="F408" s="3">
        <v>263.54000000000002</v>
      </c>
      <c r="G408" s="3">
        <v>238.68</v>
      </c>
      <c r="H408" s="3">
        <v>186.43</v>
      </c>
      <c r="I408" s="3">
        <v>195.87</v>
      </c>
      <c r="J408" s="3">
        <v>111.75</v>
      </c>
      <c r="K408" s="3">
        <v>214.34</v>
      </c>
      <c r="L408" s="3"/>
      <c r="N408" s="4"/>
    </row>
    <row r="409" spans="1:14" ht="17.5" thickBot="1" x14ac:dyDescent="0.45">
      <c r="A409" s="4">
        <v>43266</v>
      </c>
      <c r="B409" s="3">
        <v>180.82</v>
      </c>
      <c r="C409" s="3">
        <v>246.08</v>
      </c>
      <c r="D409" s="3">
        <v>106.66</v>
      </c>
      <c r="E409" s="3">
        <v>1.1000000000000001</v>
      </c>
      <c r="F409" s="3">
        <v>262.27</v>
      </c>
      <c r="G409" s="3">
        <v>238.66</v>
      </c>
      <c r="H409" s="3">
        <v>185.52</v>
      </c>
      <c r="I409" s="3">
        <v>195.63</v>
      </c>
      <c r="J409" s="3">
        <v>111.75</v>
      </c>
      <c r="K409" s="3">
        <v>213.67</v>
      </c>
      <c r="L409" s="3"/>
      <c r="N409" s="4"/>
    </row>
    <row r="410" spans="1:14" ht="17.5" thickBot="1" x14ac:dyDescent="0.45">
      <c r="A410" s="4">
        <v>43267</v>
      </c>
      <c r="B410" s="3">
        <v>180.82</v>
      </c>
      <c r="C410" s="3">
        <v>246.08</v>
      </c>
      <c r="D410" s="3">
        <v>106.66</v>
      </c>
      <c r="E410" s="3">
        <v>1.1000000000000001</v>
      </c>
      <c r="F410" s="3">
        <v>262.27</v>
      </c>
      <c r="G410" s="3">
        <v>238.66</v>
      </c>
      <c r="H410" s="3">
        <v>185.52</v>
      </c>
      <c r="I410" s="3">
        <v>195.63</v>
      </c>
      <c r="J410" s="3">
        <v>111.75</v>
      </c>
      <c r="K410" s="3">
        <v>213.67</v>
      </c>
      <c r="L410" s="3"/>
      <c r="N410" s="4"/>
    </row>
    <row r="411" spans="1:14" ht="17.5" thickBot="1" x14ac:dyDescent="0.45">
      <c r="A411" s="4">
        <v>43268</v>
      </c>
      <c r="B411" s="3">
        <v>180.82</v>
      </c>
      <c r="C411" s="3">
        <v>246.08</v>
      </c>
      <c r="D411" s="3">
        <v>106.66</v>
      </c>
      <c r="E411" s="3">
        <v>1.1000000000000001</v>
      </c>
      <c r="F411" s="3">
        <v>262.27</v>
      </c>
      <c r="G411" s="3">
        <v>238.66</v>
      </c>
      <c r="H411" s="3">
        <v>185.52</v>
      </c>
      <c r="I411" s="3">
        <v>195.63</v>
      </c>
      <c r="J411" s="3">
        <v>111.75</v>
      </c>
      <c r="K411" s="3">
        <v>213.67</v>
      </c>
      <c r="L411" s="3"/>
      <c r="N411" s="4"/>
    </row>
    <row r="412" spans="1:14" ht="17.5" thickBot="1" x14ac:dyDescent="0.45">
      <c r="A412" s="4">
        <v>43269</v>
      </c>
      <c r="B412" s="3">
        <v>180.82</v>
      </c>
      <c r="C412" s="3">
        <v>246.08</v>
      </c>
      <c r="D412" s="3">
        <v>106.66</v>
      </c>
      <c r="E412" s="3">
        <v>1.1000000000000001</v>
      </c>
      <c r="F412" s="3">
        <v>262.27</v>
      </c>
      <c r="G412" s="3">
        <v>238.66</v>
      </c>
      <c r="H412" s="3">
        <v>185.52</v>
      </c>
      <c r="I412" s="3">
        <v>195.63</v>
      </c>
      <c r="J412" s="3">
        <v>111.75</v>
      </c>
      <c r="K412" s="3">
        <v>213.67</v>
      </c>
      <c r="L412" s="3"/>
      <c r="N412" s="4"/>
    </row>
    <row r="413" spans="1:14" ht="17.5" thickBot="1" x14ac:dyDescent="0.45">
      <c r="A413" s="4">
        <v>43270</v>
      </c>
      <c r="B413" s="3">
        <v>176.17</v>
      </c>
      <c r="C413" s="3">
        <v>240.61</v>
      </c>
      <c r="D413" s="3">
        <v>106.37</v>
      </c>
      <c r="E413" s="3">
        <v>1.0927</v>
      </c>
      <c r="F413" s="3">
        <v>257.19</v>
      </c>
      <c r="G413" s="3">
        <v>236.47</v>
      </c>
      <c r="H413" s="3">
        <v>181.99</v>
      </c>
      <c r="I413" s="3">
        <v>194.59</v>
      </c>
      <c r="J413" s="3">
        <v>111.75</v>
      </c>
      <c r="K413" s="3">
        <v>211.14</v>
      </c>
      <c r="L413" s="3"/>
      <c r="N413" s="4"/>
    </row>
    <row r="414" spans="1:14" ht="17.5" thickBot="1" x14ac:dyDescent="0.45">
      <c r="A414" s="4">
        <v>43271</v>
      </c>
      <c r="B414" s="3">
        <v>177.34</v>
      </c>
      <c r="C414" s="3">
        <v>243.08</v>
      </c>
      <c r="D414" s="3">
        <v>106.28</v>
      </c>
      <c r="E414" s="3">
        <v>1.0941000000000001</v>
      </c>
      <c r="F414" s="3">
        <v>258.24</v>
      </c>
      <c r="G414" s="3">
        <v>236.85</v>
      </c>
      <c r="H414" s="3">
        <v>182.66</v>
      </c>
      <c r="I414" s="3">
        <v>195.11</v>
      </c>
      <c r="J414" s="3">
        <v>111.75</v>
      </c>
      <c r="K414" s="3">
        <v>211.56</v>
      </c>
      <c r="L414" s="3"/>
      <c r="N414" s="4"/>
    </row>
    <row r="415" spans="1:14" ht="17.5" thickBot="1" x14ac:dyDescent="0.45">
      <c r="A415" s="4">
        <v>43272</v>
      </c>
      <c r="B415" s="3">
        <v>174.57</v>
      </c>
      <c r="C415" s="3">
        <v>242.89</v>
      </c>
      <c r="D415" s="3">
        <v>105.91</v>
      </c>
      <c r="E415" s="3">
        <v>1.0899000000000001</v>
      </c>
      <c r="F415" s="3">
        <v>256.39999999999998</v>
      </c>
      <c r="G415" s="3">
        <v>235.24</v>
      </c>
      <c r="H415" s="3">
        <v>181.33</v>
      </c>
      <c r="I415" s="3">
        <v>193.28</v>
      </c>
      <c r="J415" s="3">
        <v>111.75</v>
      </c>
      <c r="K415" s="3">
        <v>210.59</v>
      </c>
      <c r="L415" s="3"/>
      <c r="N415" s="4"/>
    </row>
    <row r="416" spans="1:14" ht="17.5" thickBot="1" x14ac:dyDescent="0.45">
      <c r="A416" s="4">
        <v>43273</v>
      </c>
      <c r="B416" s="3">
        <v>174.96</v>
      </c>
      <c r="C416" s="3">
        <v>243.81</v>
      </c>
      <c r="D416" s="3">
        <v>106.09</v>
      </c>
      <c r="E416" s="3">
        <v>1.0927</v>
      </c>
      <c r="F416" s="3">
        <v>257.14999999999998</v>
      </c>
      <c r="G416" s="3">
        <v>234.91</v>
      </c>
      <c r="H416" s="3">
        <v>181.87</v>
      </c>
      <c r="I416" s="3">
        <v>193.92</v>
      </c>
      <c r="J416" s="3">
        <v>111.75</v>
      </c>
      <c r="K416" s="3">
        <v>211.04</v>
      </c>
      <c r="L416" s="3"/>
      <c r="N416" s="4"/>
    </row>
    <row r="417" spans="1:14" ht="17.5" thickBot="1" x14ac:dyDescent="0.45">
      <c r="A417" s="4">
        <v>43274</v>
      </c>
      <c r="B417" s="3">
        <v>174.96</v>
      </c>
      <c r="C417" s="3">
        <v>243.81</v>
      </c>
      <c r="D417" s="3">
        <v>106.09</v>
      </c>
      <c r="E417" s="3">
        <v>1.0927</v>
      </c>
      <c r="F417" s="3">
        <v>257.14999999999998</v>
      </c>
      <c r="G417" s="3">
        <v>234.91</v>
      </c>
      <c r="H417" s="3">
        <v>181.87</v>
      </c>
      <c r="I417" s="3">
        <v>193.92</v>
      </c>
      <c r="J417" s="3">
        <v>111.75</v>
      </c>
      <c r="K417" s="3">
        <v>211.04</v>
      </c>
      <c r="L417" s="3"/>
      <c r="N417" s="4"/>
    </row>
    <row r="418" spans="1:14" ht="17.5" thickBot="1" x14ac:dyDescent="0.45">
      <c r="A418" s="4">
        <v>43275</v>
      </c>
      <c r="B418" s="3">
        <v>174.96</v>
      </c>
      <c r="C418" s="3">
        <v>243.81</v>
      </c>
      <c r="D418" s="3">
        <v>106.09</v>
      </c>
      <c r="E418" s="3">
        <v>1.0927</v>
      </c>
      <c r="F418" s="3">
        <v>257.14999999999998</v>
      </c>
      <c r="G418" s="3">
        <v>234.91</v>
      </c>
      <c r="H418" s="3">
        <v>181.87</v>
      </c>
      <c r="I418" s="3">
        <v>193.92</v>
      </c>
      <c r="J418" s="3">
        <v>111.75</v>
      </c>
      <c r="K418" s="3">
        <v>211.04</v>
      </c>
      <c r="L418" s="3"/>
      <c r="N418" s="4"/>
    </row>
    <row r="419" spans="1:14" ht="17.5" thickBot="1" x14ac:dyDescent="0.45">
      <c r="A419" s="4">
        <v>43276</v>
      </c>
      <c r="B419" s="3">
        <v>172.92</v>
      </c>
      <c r="C419" s="3">
        <v>241.63</v>
      </c>
      <c r="D419" s="3">
        <v>106.09</v>
      </c>
      <c r="E419" s="3">
        <v>1.0841000000000001</v>
      </c>
      <c r="F419" s="3">
        <v>253.79</v>
      </c>
      <c r="G419" s="3">
        <v>231.25</v>
      </c>
      <c r="H419" s="3">
        <v>179.48</v>
      </c>
      <c r="I419" s="3">
        <v>191.78</v>
      </c>
      <c r="J419" s="3">
        <v>111.75</v>
      </c>
      <c r="K419" s="3">
        <v>209.45</v>
      </c>
      <c r="L419" s="3"/>
      <c r="N419" s="4"/>
    </row>
    <row r="420" spans="1:14" ht="17.5" thickBot="1" x14ac:dyDescent="0.45">
      <c r="A420" s="4">
        <v>43277</v>
      </c>
      <c r="B420" s="3">
        <v>172.16</v>
      </c>
      <c r="C420" s="3">
        <v>240.61</v>
      </c>
      <c r="D420" s="3">
        <v>106.08</v>
      </c>
      <c r="E420" s="3">
        <v>1.0843</v>
      </c>
      <c r="F420" s="3">
        <v>253.16</v>
      </c>
      <c r="G420" s="3">
        <v>231.47</v>
      </c>
      <c r="H420" s="3">
        <v>179.05</v>
      </c>
      <c r="I420" s="3">
        <v>192</v>
      </c>
      <c r="J420" s="3">
        <v>111.75</v>
      </c>
      <c r="K420" s="3">
        <v>209.09</v>
      </c>
      <c r="L420" s="3"/>
      <c r="N420" s="4"/>
    </row>
    <row r="421" spans="1:14" ht="17.5" thickBot="1" x14ac:dyDescent="0.45">
      <c r="A421" s="4">
        <v>43278</v>
      </c>
      <c r="B421" s="3">
        <v>168.85</v>
      </c>
      <c r="C421" s="3">
        <v>239.85</v>
      </c>
      <c r="D421" s="3">
        <v>105.99</v>
      </c>
      <c r="E421" s="3">
        <v>1.0810999999999999</v>
      </c>
      <c r="F421" s="3">
        <v>250.87</v>
      </c>
      <c r="G421" s="3">
        <v>228.92</v>
      </c>
      <c r="H421" s="3">
        <v>177.48</v>
      </c>
      <c r="I421" s="3">
        <v>189.89</v>
      </c>
      <c r="J421" s="3">
        <v>111.75</v>
      </c>
      <c r="K421" s="3">
        <v>207.95</v>
      </c>
      <c r="L421" s="3"/>
      <c r="N421" s="4"/>
    </row>
    <row r="422" spans="1:14" ht="17.5" thickBot="1" x14ac:dyDescent="0.45">
      <c r="A422" s="4">
        <v>43279</v>
      </c>
      <c r="B422" s="3">
        <v>169.67</v>
      </c>
      <c r="C422" s="3">
        <v>237.16</v>
      </c>
      <c r="D422" s="3">
        <v>105.89</v>
      </c>
      <c r="E422" s="3">
        <v>1.0814999999999999</v>
      </c>
      <c r="F422" s="3">
        <v>250.32</v>
      </c>
      <c r="G422" s="3">
        <v>229.84</v>
      </c>
      <c r="H422" s="3">
        <v>177.12</v>
      </c>
      <c r="I422" s="3">
        <v>191.63</v>
      </c>
      <c r="J422" s="3">
        <v>111.75</v>
      </c>
      <c r="K422" s="3">
        <v>207.58</v>
      </c>
      <c r="L422" s="3"/>
      <c r="N422" s="4"/>
    </row>
    <row r="423" spans="1:14" ht="17.5" thickBot="1" x14ac:dyDescent="0.45">
      <c r="A423" s="4">
        <v>43280</v>
      </c>
      <c r="B423" s="3">
        <v>172.16</v>
      </c>
      <c r="C423" s="3">
        <v>239.75</v>
      </c>
      <c r="D423" s="3">
        <v>105.98</v>
      </c>
      <c r="E423" s="3">
        <v>1.0859000000000001</v>
      </c>
      <c r="F423" s="3">
        <v>252.9</v>
      </c>
      <c r="G423" s="3">
        <v>229.73</v>
      </c>
      <c r="H423" s="3">
        <v>178.91</v>
      </c>
      <c r="I423" s="3">
        <v>191.99</v>
      </c>
      <c r="J423" s="3">
        <v>111.84</v>
      </c>
      <c r="K423" s="3">
        <v>209.1</v>
      </c>
      <c r="L423" s="3"/>
      <c r="N423" s="4"/>
    </row>
    <row r="424" spans="1:14" ht="17.5" thickBot="1" x14ac:dyDescent="0.45">
      <c r="A424" s="4">
        <v>43281</v>
      </c>
      <c r="B424" s="3">
        <v>172.16</v>
      </c>
      <c r="C424" s="3">
        <v>239.75</v>
      </c>
      <c r="D424" s="3">
        <v>105.98</v>
      </c>
      <c r="E424" s="3">
        <v>1.0859000000000001</v>
      </c>
      <c r="F424" s="3">
        <v>252.9</v>
      </c>
      <c r="G424" s="3">
        <v>229.73</v>
      </c>
      <c r="H424" s="3">
        <v>178.91</v>
      </c>
      <c r="I424" s="3">
        <v>191.99</v>
      </c>
      <c r="J424" s="3">
        <v>111.84</v>
      </c>
      <c r="K424" s="3">
        <v>209.1</v>
      </c>
      <c r="L424" s="3"/>
      <c r="N424" s="4"/>
    </row>
    <row r="425" spans="1:14" ht="17.5" thickBot="1" x14ac:dyDescent="0.45">
      <c r="A425" s="4">
        <v>43282</v>
      </c>
      <c r="B425" s="3">
        <v>172.16</v>
      </c>
      <c r="C425" s="3">
        <v>239.75</v>
      </c>
      <c r="D425" s="3">
        <v>105.98</v>
      </c>
      <c r="E425" s="3">
        <v>1.0859000000000001</v>
      </c>
      <c r="F425" s="3">
        <v>252.9</v>
      </c>
      <c r="G425" s="3">
        <v>229.73</v>
      </c>
      <c r="H425" s="3">
        <v>178.91</v>
      </c>
      <c r="I425" s="3">
        <v>191.99</v>
      </c>
      <c r="J425" s="3">
        <v>111.84</v>
      </c>
      <c r="K425" s="3">
        <v>209.1</v>
      </c>
      <c r="L425" s="3"/>
      <c r="N425" s="4"/>
    </row>
    <row r="426" spans="1:14" ht="17.5" thickBot="1" x14ac:dyDescent="0.45">
      <c r="A426" s="4">
        <v>43283</v>
      </c>
      <c r="B426" s="3">
        <v>172.16</v>
      </c>
      <c r="C426" s="3">
        <v>239.75</v>
      </c>
      <c r="D426" s="3">
        <v>105.98</v>
      </c>
      <c r="E426" s="3">
        <v>1.0859000000000001</v>
      </c>
      <c r="F426" s="3">
        <v>252.9</v>
      </c>
      <c r="G426" s="3">
        <v>229.73</v>
      </c>
      <c r="H426" s="3">
        <v>178.91</v>
      </c>
      <c r="I426" s="3">
        <v>191.99</v>
      </c>
      <c r="J426" s="3">
        <v>111.84</v>
      </c>
      <c r="K426" s="3">
        <v>209.1</v>
      </c>
      <c r="L426" s="3"/>
      <c r="N426" s="4"/>
    </row>
    <row r="427" spans="1:14" ht="17.5" thickBot="1" x14ac:dyDescent="0.45">
      <c r="A427" s="4">
        <v>43284</v>
      </c>
      <c r="B427" s="3">
        <v>170.02</v>
      </c>
      <c r="C427" s="3">
        <v>236.65</v>
      </c>
      <c r="D427" s="3">
        <v>105.98</v>
      </c>
      <c r="E427" s="3">
        <v>1.0837000000000001</v>
      </c>
      <c r="F427" s="3">
        <v>250.34</v>
      </c>
      <c r="G427" s="3">
        <v>229.12</v>
      </c>
      <c r="H427" s="3">
        <v>177.17</v>
      </c>
      <c r="I427" s="3">
        <v>192.23</v>
      </c>
      <c r="J427" s="3">
        <v>111.84</v>
      </c>
      <c r="K427" s="3">
        <v>207.89</v>
      </c>
      <c r="L427" s="3"/>
      <c r="N427" s="4"/>
    </row>
    <row r="428" spans="1:14" ht="17.5" thickBot="1" x14ac:dyDescent="0.45">
      <c r="A428" s="4">
        <v>43285</v>
      </c>
      <c r="B428" s="3">
        <v>168</v>
      </c>
      <c r="C428" s="3">
        <v>236.96</v>
      </c>
      <c r="D428" s="3">
        <v>106.16</v>
      </c>
      <c r="E428" s="3">
        <v>1.083</v>
      </c>
      <c r="F428" s="3">
        <v>249.23</v>
      </c>
      <c r="G428" s="3">
        <v>229.04</v>
      </c>
      <c r="H428" s="3">
        <v>176.43</v>
      </c>
      <c r="I428" s="3">
        <v>192.15</v>
      </c>
      <c r="J428" s="3">
        <v>111.84</v>
      </c>
      <c r="K428" s="3">
        <v>207.34</v>
      </c>
      <c r="L428" s="3"/>
      <c r="N428" s="4"/>
    </row>
    <row r="429" spans="1:14" ht="17.5" thickBot="1" x14ac:dyDescent="0.45">
      <c r="A429" s="4">
        <v>43286</v>
      </c>
      <c r="B429" s="3">
        <v>168.19</v>
      </c>
      <c r="C429" s="3">
        <v>237.22</v>
      </c>
      <c r="D429" s="3">
        <v>106.16</v>
      </c>
      <c r="E429" s="3">
        <v>1.0871</v>
      </c>
      <c r="F429" s="3">
        <v>249.9</v>
      </c>
      <c r="G429" s="3">
        <v>231.06</v>
      </c>
      <c r="H429" s="3">
        <v>176.89</v>
      </c>
      <c r="I429" s="3">
        <v>193.89</v>
      </c>
      <c r="J429" s="3">
        <v>111.84</v>
      </c>
      <c r="K429" s="3">
        <v>207.77</v>
      </c>
      <c r="L429" s="3"/>
      <c r="N429" s="4"/>
    </row>
    <row r="430" spans="1:14" ht="17.5" thickBot="1" x14ac:dyDescent="0.45">
      <c r="A430" s="4">
        <v>43287</v>
      </c>
      <c r="B430" s="3">
        <v>168.65</v>
      </c>
      <c r="C430" s="3">
        <v>239.04</v>
      </c>
      <c r="D430" s="3">
        <v>106.43</v>
      </c>
      <c r="E430" s="3">
        <v>1.0923</v>
      </c>
      <c r="F430" s="3">
        <v>251.56</v>
      </c>
      <c r="G430" s="3">
        <v>233.34</v>
      </c>
      <c r="H430" s="3">
        <v>178.04</v>
      </c>
      <c r="I430" s="3">
        <v>195.78</v>
      </c>
      <c r="J430" s="3">
        <v>111.84</v>
      </c>
      <c r="K430" s="3">
        <v>208.71</v>
      </c>
      <c r="L430" s="3"/>
      <c r="N430" s="4"/>
    </row>
    <row r="431" spans="1:14" ht="17.5" thickBot="1" x14ac:dyDescent="0.45">
      <c r="A431" s="4">
        <v>43288</v>
      </c>
      <c r="B431" s="3">
        <v>168.65</v>
      </c>
      <c r="C431" s="3">
        <v>239.04</v>
      </c>
      <c r="D431" s="3">
        <v>106.43</v>
      </c>
      <c r="E431" s="3">
        <v>1.0923</v>
      </c>
      <c r="F431" s="3">
        <v>251.56</v>
      </c>
      <c r="G431" s="3">
        <v>233.34</v>
      </c>
      <c r="H431" s="3">
        <v>178.04</v>
      </c>
      <c r="I431" s="3">
        <v>195.78</v>
      </c>
      <c r="J431" s="3">
        <v>111.84</v>
      </c>
      <c r="K431" s="3">
        <v>208.71</v>
      </c>
      <c r="L431" s="3"/>
      <c r="N431" s="4"/>
    </row>
    <row r="432" spans="1:14" ht="17.5" thickBot="1" x14ac:dyDescent="0.45">
      <c r="A432" s="4">
        <v>43289</v>
      </c>
      <c r="B432" s="3">
        <v>168.65</v>
      </c>
      <c r="C432" s="3">
        <v>239.04</v>
      </c>
      <c r="D432" s="3">
        <v>106.43</v>
      </c>
      <c r="E432" s="3">
        <v>1.0923</v>
      </c>
      <c r="F432" s="3">
        <v>251.56</v>
      </c>
      <c r="G432" s="3">
        <v>233.34</v>
      </c>
      <c r="H432" s="3">
        <v>178.04</v>
      </c>
      <c r="I432" s="3">
        <v>195.78</v>
      </c>
      <c r="J432" s="3">
        <v>111.84</v>
      </c>
      <c r="K432" s="3">
        <v>208.71</v>
      </c>
      <c r="L432" s="3"/>
      <c r="N432" s="4"/>
    </row>
    <row r="433" spans="1:14" ht="17.5" thickBot="1" x14ac:dyDescent="0.45">
      <c r="A433" s="4">
        <v>43290</v>
      </c>
      <c r="B433" s="3">
        <v>171.86</v>
      </c>
      <c r="C433" s="3">
        <v>242.56</v>
      </c>
      <c r="D433" s="3">
        <v>106.61</v>
      </c>
      <c r="E433" s="3">
        <v>1.0982000000000001</v>
      </c>
      <c r="F433" s="3">
        <v>254.63</v>
      </c>
      <c r="G433" s="3">
        <v>235.83</v>
      </c>
      <c r="H433" s="3">
        <v>180.15</v>
      </c>
      <c r="I433" s="3">
        <v>197.54</v>
      </c>
      <c r="J433" s="3">
        <v>111.84</v>
      </c>
      <c r="K433" s="3">
        <v>210.21</v>
      </c>
      <c r="L433" s="3"/>
      <c r="N433" s="4"/>
    </row>
    <row r="434" spans="1:14" ht="17.5" thickBot="1" x14ac:dyDescent="0.45">
      <c r="A434" s="4">
        <v>43291</v>
      </c>
      <c r="B434" s="3">
        <v>171.76</v>
      </c>
      <c r="C434" s="3">
        <v>243.31</v>
      </c>
      <c r="D434" s="3">
        <v>106.42</v>
      </c>
      <c r="E434" s="3">
        <v>1.0991</v>
      </c>
      <c r="F434" s="3">
        <v>254.68</v>
      </c>
      <c r="G434" s="3">
        <v>236.53</v>
      </c>
      <c r="H434" s="3">
        <v>180.19</v>
      </c>
      <c r="I434" s="3">
        <v>198.31</v>
      </c>
      <c r="J434" s="3">
        <v>111.84</v>
      </c>
      <c r="K434" s="3">
        <v>210.15</v>
      </c>
      <c r="L434" s="3"/>
      <c r="N434" s="4"/>
    </row>
    <row r="435" spans="1:14" ht="17.5" thickBot="1" x14ac:dyDescent="0.45">
      <c r="A435" s="4">
        <v>43292</v>
      </c>
      <c r="B435" s="3">
        <v>169.43</v>
      </c>
      <c r="C435" s="3">
        <v>241.04</v>
      </c>
      <c r="D435" s="3">
        <v>106.33</v>
      </c>
      <c r="E435" s="3">
        <v>1.0936999999999999</v>
      </c>
      <c r="F435" s="3">
        <v>252.12</v>
      </c>
      <c r="G435" s="3">
        <v>234.75</v>
      </c>
      <c r="H435" s="3">
        <v>178.38</v>
      </c>
      <c r="I435" s="3">
        <v>196.3</v>
      </c>
      <c r="J435" s="3">
        <v>111.84</v>
      </c>
      <c r="K435" s="3">
        <v>208.85</v>
      </c>
      <c r="L435" s="3"/>
      <c r="N435" s="4"/>
    </row>
    <row r="436" spans="1:14" ht="17.5" thickBot="1" x14ac:dyDescent="0.45">
      <c r="A436" s="4">
        <v>43293</v>
      </c>
      <c r="B436" s="3">
        <v>170.67</v>
      </c>
      <c r="C436" s="3">
        <v>241.91</v>
      </c>
      <c r="D436" s="3">
        <v>106.14</v>
      </c>
      <c r="E436" s="3">
        <v>1.0979000000000001</v>
      </c>
      <c r="F436" s="3">
        <v>253.13</v>
      </c>
      <c r="G436" s="3">
        <v>237.02</v>
      </c>
      <c r="H436" s="3">
        <v>179.09</v>
      </c>
      <c r="I436" s="3">
        <v>198.17</v>
      </c>
      <c r="J436" s="3">
        <v>111.84</v>
      </c>
      <c r="K436" s="3">
        <v>209.28</v>
      </c>
      <c r="L436" s="3"/>
      <c r="N436" s="4"/>
    </row>
    <row r="437" spans="1:14" ht="17.5" thickBot="1" x14ac:dyDescent="0.45">
      <c r="A437" s="4">
        <v>43294</v>
      </c>
      <c r="B437" s="3">
        <v>170.83</v>
      </c>
      <c r="C437" s="3">
        <v>243.85</v>
      </c>
      <c r="D437" s="3">
        <v>106.14</v>
      </c>
      <c r="E437" s="3">
        <v>1.0998000000000001</v>
      </c>
      <c r="F437" s="3">
        <v>254.1</v>
      </c>
      <c r="G437" s="3">
        <v>237.62</v>
      </c>
      <c r="H437" s="3">
        <v>179.79</v>
      </c>
      <c r="I437" s="3">
        <v>198.57</v>
      </c>
      <c r="J437" s="3">
        <v>111.84</v>
      </c>
      <c r="K437" s="3">
        <v>209.85</v>
      </c>
      <c r="L437" s="3"/>
      <c r="N437" s="4"/>
    </row>
    <row r="438" spans="1:14" ht="17.5" thickBot="1" x14ac:dyDescent="0.45">
      <c r="A438" s="4">
        <v>43295</v>
      </c>
      <c r="B438" s="3">
        <v>170.83</v>
      </c>
      <c r="C438" s="3">
        <v>243.85</v>
      </c>
      <c r="D438" s="3">
        <v>106.14</v>
      </c>
      <c r="E438" s="3">
        <v>1.0998000000000001</v>
      </c>
      <c r="F438" s="3">
        <v>254.1</v>
      </c>
      <c r="G438" s="3">
        <v>237.62</v>
      </c>
      <c r="H438" s="3">
        <v>179.79</v>
      </c>
      <c r="I438" s="3">
        <v>198.57</v>
      </c>
      <c r="J438" s="3">
        <v>111.84</v>
      </c>
      <c r="K438" s="3">
        <v>209.85</v>
      </c>
      <c r="L438" s="3"/>
      <c r="N438" s="4"/>
    </row>
    <row r="439" spans="1:14" ht="17.5" thickBot="1" x14ac:dyDescent="0.45">
      <c r="A439" s="4">
        <v>43296</v>
      </c>
      <c r="B439" s="3">
        <v>170.83</v>
      </c>
      <c r="C439" s="3">
        <v>243.85</v>
      </c>
      <c r="D439" s="3">
        <v>106.14</v>
      </c>
      <c r="E439" s="3">
        <v>1.0998000000000001</v>
      </c>
      <c r="F439" s="3">
        <v>254.1</v>
      </c>
      <c r="G439" s="3">
        <v>237.62</v>
      </c>
      <c r="H439" s="3">
        <v>179.79</v>
      </c>
      <c r="I439" s="3">
        <v>198.57</v>
      </c>
      <c r="J439" s="3">
        <v>111.84</v>
      </c>
      <c r="K439" s="3">
        <v>209.85</v>
      </c>
      <c r="L439" s="3"/>
      <c r="N439" s="4"/>
    </row>
    <row r="440" spans="1:14" ht="17.5" thickBot="1" x14ac:dyDescent="0.45">
      <c r="A440" s="4">
        <v>43297</v>
      </c>
      <c r="B440" s="3">
        <v>170.66</v>
      </c>
      <c r="C440" s="3">
        <v>241.91</v>
      </c>
      <c r="D440" s="3">
        <v>106.14</v>
      </c>
      <c r="E440" s="3">
        <v>1.0986</v>
      </c>
      <c r="F440" s="3">
        <v>253.73</v>
      </c>
      <c r="G440" s="3">
        <v>237.04</v>
      </c>
      <c r="H440" s="3">
        <v>179.54</v>
      </c>
      <c r="I440" s="3">
        <v>198.47</v>
      </c>
      <c r="J440" s="3">
        <v>111.84</v>
      </c>
      <c r="K440" s="3">
        <v>209.66</v>
      </c>
      <c r="L440" s="3"/>
      <c r="N440" s="4"/>
    </row>
    <row r="441" spans="1:14" ht="17.5" thickBot="1" x14ac:dyDescent="0.45">
      <c r="A441" s="4">
        <v>43298</v>
      </c>
      <c r="B441" s="3">
        <v>168.98</v>
      </c>
      <c r="C441" s="3">
        <v>241.04</v>
      </c>
      <c r="D441" s="3">
        <v>106.13</v>
      </c>
      <c r="E441" s="3">
        <v>1.1007</v>
      </c>
      <c r="F441" s="3">
        <v>253.31</v>
      </c>
      <c r="G441" s="3">
        <v>238.32</v>
      </c>
      <c r="H441" s="3">
        <v>179.31</v>
      </c>
      <c r="I441" s="3">
        <v>199.72</v>
      </c>
      <c r="J441" s="3">
        <v>111.84</v>
      </c>
      <c r="K441" s="3">
        <v>209.43</v>
      </c>
      <c r="L441" s="3"/>
      <c r="N441" s="4"/>
    </row>
    <row r="442" spans="1:14" ht="17.5" thickBot="1" x14ac:dyDescent="0.45">
      <c r="A442" s="4">
        <v>43299</v>
      </c>
      <c r="B442" s="3">
        <v>168.19</v>
      </c>
      <c r="C442" s="3">
        <v>241.41</v>
      </c>
      <c r="D442" s="3">
        <v>106.04</v>
      </c>
      <c r="E442" s="3">
        <v>1.1017999999999999</v>
      </c>
      <c r="F442" s="3">
        <v>253.44</v>
      </c>
      <c r="G442" s="3">
        <v>239.06</v>
      </c>
      <c r="H442" s="3">
        <v>179.43</v>
      </c>
      <c r="I442" s="3">
        <v>199.95</v>
      </c>
      <c r="J442" s="3">
        <v>111.84</v>
      </c>
      <c r="K442" s="3">
        <v>209.44</v>
      </c>
      <c r="L442" s="3"/>
      <c r="N442" s="4"/>
    </row>
    <row r="443" spans="1:14" ht="17.5" thickBot="1" x14ac:dyDescent="0.45">
      <c r="A443" s="4">
        <v>43300</v>
      </c>
      <c r="B443" s="3">
        <v>167.63</v>
      </c>
      <c r="C443" s="3">
        <v>241.63</v>
      </c>
      <c r="D443" s="3">
        <v>105.76</v>
      </c>
      <c r="E443" s="3">
        <v>1.0996999999999999</v>
      </c>
      <c r="F443" s="3">
        <v>252.69</v>
      </c>
      <c r="G443" s="3">
        <v>237.61</v>
      </c>
      <c r="H443" s="3">
        <v>178.86</v>
      </c>
      <c r="I443" s="3">
        <v>198.85</v>
      </c>
      <c r="J443" s="3">
        <v>111.84</v>
      </c>
      <c r="K443" s="3">
        <v>209.04</v>
      </c>
      <c r="L443" s="3"/>
      <c r="N443" s="4"/>
    </row>
    <row r="444" spans="1:14" ht="17.5" thickBot="1" x14ac:dyDescent="0.45">
      <c r="A444" s="4">
        <v>43301</v>
      </c>
      <c r="B444" s="3">
        <v>169.24</v>
      </c>
      <c r="C444" s="3">
        <v>243.85</v>
      </c>
      <c r="D444" s="3">
        <v>106.13</v>
      </c>
      <c r="E444" s="3">
        <v>1.1006</v>
      </c>
      <c r="F444" s="3">
        <v>253.76</v>
      </c>
      <c r="G444" s="3">
        <v>237.21</v>
      </c>
      <c r="H444" s="3">
        <v>179.62</v>
      </c>
      <c r="I444" s="3">
        <v>199.62</v>
      </c>
      <c r="J444" s="3">
        <v>111.84</v>
      </c>
      <c r="K444" s="3">
        <v>209.61</v>
      </c>
      <c r="L444" s="3"/>
      <c r="N444" s="4"/>
    </row>
    <row r="445" spans="1:14" ht="17.5" thickBot="1" x14ac:dyDescent="0.45">
      <c r="A445" s="4">
        <v>43302</v>
      </c>
      <c r="B445" s="3">
        <v>169.24</v>
      </c>
      <c r="C445" s="3">
        <v>243.85</v>
      </c>
      <c r="D445" s="3">
        <v>106.13</v>
      </c>
      <c r="E445" s="3">
        <v>1.1006</v>
      </c>
      <c r="F445" s="3">
        <v>253.76</v>
      </c>
      <c r="G445" s="3">
        <v>237.21</v>
      </c>
      <c r="H445" s="3">
        <v>179.62</v>
      </c>
      <c r="I445" s="3">
        <v>199.62</v>
      </c>
      <c r="J445" s="3">
        <v>111.84</v>
      </c>
      <c r="K445" s="3">
        <v>209.61</v>
      </c>
      <c r="L445" s="3"/>
      <c r="N445" s="4"/>
    </row>
    <row r="446" spans="1:14" ht="17.5" thickBot="1" x14ac:dyDescent="0.45">
      <c r="A446" s="4">
        <v>43303</v>
      </c>
      <c r="B446" s="3">
        <v>169.24</v>
      </c>
      <c r="C446" s="3">
        <v>243.85</v>
      </c>
      <c r="D446" s="3">
        <v>106.13</v>
      </c>
      <c r="E446" s="3">
        <v>1.1006</v>
      </c>
      <c r="F446" s="3">
        <v>253.76</v>
      </c>
      <c r="G446" s="3">
        <v>237.21</v>
      </c>
      <c r="H446" s="3">
        <v>179.62</v>
      </c>
      <c r="I446" s="3">
        <v>199.62</v>
      </c>
      <c r="J446" s="3">
        <v>111.84</v>
      </c>
      <c r="K446" s="3">
        <v>209.61</v>
      </c>
      <c r="L446" s="3"/>
      <c r="N446" s="4"/>
    </row>
    <row r="447" spans="1:14" ht="17.5" thickBot="1" x14ac:dyDescent="0.45">
      <c r="A447" s="4">
        <v>43304</v>
      </c>
      <c r="B447" s="3">
        <v>169.71</v>
      </c>
      <c r="C447" s="3">
        <v>242.96</v>
      </c>
      <c r="D447" s="3">
        <v>106.03</v>
      </c>
      <c r="E447" s="3">
        <v>1.0992</v>
      </c>
      <c r="F447" s="3">
        <v>253.71</v>
      </c>
      <c r="G447" s="3">
        <v>237.56</v>
      </c>
      <c r="H447" s="3">
        <v>179.59</v>
      </c>
      <c r="I447" s="3">
        <v>199.73</v>
      </c>
      <c r="J447" s="3">
        <v>111.84</v>
      </c>
      <c r="K447" s="3">
        <v>209.37</v>
      </c>
      <c r="L447" s="3"/>
      <c r="N447" s="4"/>
    </row>
    <row r="448" spans="1:14" ht="17.5" thickBot="1" x14ac:dyDescent="0.45">
      <c r="A448" s="4">
        <v>43305</v>
      </c>
      <c r="B448" s="3">
        <v>172.23</v>
      </c>
      <c r="C448" s="3">
        <v>244.44</v>
      </c>
      <c r="D448" s="3">
        <v>105.85</v>
      </c>
      <c r="E448" s="3">
        <v>1.1034999999999999</v>
      </c>
      <c r="F448" s="3">
        <v>255.9</v>
      </c>
      <c r="G448" s="3">
        <v>238.72</v>
      </c>
      <c r="H448" s="3">
        <v>181.09</v>
      </c>
      <c r="I448" s="3">
        <v>201.33</v>
      </c>
      <c r="J448" s="3">
        <v>111.84</v>
      </c>
      <c r="K448" s="3">
        <v>210.52</v>
      </c>
      <c r="L448" s="3"/>
      <c r="N448" s="4"/>
    </row>
    <row r="449" spans="1:14" ht="17.5" thickBot="1" x14ac:dyDescent="0.45">
      <c r="A449" s="4">
        <v>43306</v>
      </c>
      <c r="B449" s="3">
        <v>173.93</v>
      </c>
      <c r="C449" s="3">
        <v>245.4</v>
      </c>
      <c r="D449" s="3">
        <v>106.12</v>
      </c>
      <c r="E449" s="3">
        <v>1.107</v>
      </c>
      <c r="F449" s="3">
        <v>257.14</v>
      </c>
      <c r="G449" s="3">
        <v>241.16</v>
      </c>
      <c r="H449" s="3">
        <v>181.98</v>
      </c>
      <c r="I449" s="3">
        <v>203.64</v>
      </c>
      <c r="J449" s="3">
        <v>111.84</v>
      </c>
      <c r="K449" s="3">
        <v>211.15</v>
      </c>
      <c r="L449" s="3"/>
      <c r="N449" s="4"/>
    </row>
    <row r="450" spans="1:14" ht="17.5" thickBot="1" x14ac:dyDescent="0.45">
      <c r="A450" s="4">
        <v>43307</v>
      </c>
      <c r="B450" s="3">
        <v>172.61</v>
      </c>
      <c r="C450" s="3">
        <v>246.32</v>
      </c>
      <c r="D450" s="3">
        <v>106.12</v>
      </c>
      <c r="E450" s="3">
        <v>1.1068</v>
      </c>
      <c r="F450" s="3">
        <v>257.10000000000002</v>
      </c>
      <c r="G450" s="3">
        <v>239.53</v>
      </c>
      <c r="H450" s="3">
        <v>181.96</v>
      </c>
      <c r="I450" s="3">
        <v>202.54</v>
      </c>
      <c r="J450" s="3">
        <v>111.84</v>
      </c>
      <c r="K450" s="3">
        <v>211.09</v>
      </c>
      <c r="L450" s="3"/>
      <c r="N450" s="4"/>
    </row>
    <row r="451" spans="1:14" ht="17.5" thickBot="1" x14ac:dyDescent="0.45">
      <c r="A451" s="4">
        <v>43308</v>
      </c>
      <c r="B451" s="3">
        <v>172.68</v>
      </c>
      <c r="C451" s="3">
        <v>248.47</v>
      </c>
      <c r="D451" s="3">
        <v>106.21</v>
      </c>
      <c r="E451" s="3">
        <v>1.1056999999999999</v>
      </c>
      <c r="F451" s="3">
        <v>257.5</v>
      </c>
      <c r="G451" s="3">
        <v>238.11</v>
      </c>
      <c r="H451" s="3">
        <v>182.22</v>
      </c>
      <c r="I451" s="3">
        <v>201.92</v>
      </c>
      <c r="J451" s="3">
        <v>111.84</v>
      </c>
      <c r="K451" s="3">
        <v>211.28</v>
      </c>
      <c r="L451" s="3"/>
      <c r="N451" s="4"/>
    </row>
    <row r="452" spans="1:14" ht="17.5" thickBot="1" x14ac:dyDescent="0.45">
      <c r="A452" s="4">
        <v>43309</v>
      </c>
      <c r="B452" s="3">
        <v>172.68</v>
      </c>
      <c r="C452" s="3">
        <v>248.47</v>
      </c>
      <c r="D452" s="3">
        <v>106.21</v>
      </c>
      <c r="E452" s="3">
        <v>1.1056999999999999</v>
      </c>
      <c r="F452" s="3">
        <v>257.5</v>
      </c>
      <c r="G452" s="3">
        <v>238.11</v>
      </c>
      <c r="H452" s="3">
        <v>182.22</v>
      </c>
      <c r="I452" s="3">
        <v>201.92</v>
      </c>
      <c r="J452" s="3">
        <v>111.84</v>
      </c>
      <c r="K452" s="3">
        <v>211.28</v>
      </c>
      <c r="L452" s="3"/>
      <c r="N452" s="4"/>
    </row>
    <row r="453" spans="1:14" ht="17.5" thickBot="1" x14ac:dyDescent="0.45">
      <c r="A453" s="4">
        <v>43310</v>
      </c>
      <c r="B453" s="3">
        <v>172.68</v>
      </c>
      <c r="C453" s="3">
        <v>248.47</v>
      </c>
      <c r="D453" s="3">
        <v>106.21</v>
      </c>
      <c r="E453" s="3">
        <v>1.1056999999999999</v>
      </c>
      <c r="F453" s="3">
        <v>257.5</v>
      </c>
      <c r="G453" s="3">
        <v>238.11</v>
      </c>
      <c r="H453" s="3">
        <v>182.22</v>
      </c>
      <c r="I453" s="3">
        <v>201.92</v>
      </c>
      <c r="J453" s="3">
        <v>111.84</v>
      </c>
      <c r="K453" s="3">
        <v>211.28</v>
      </c>
      <c r="L453" s="3"/>
      <c r="N453" s="4"/>
    </row>
    <row r="454" spans="1:14" ht="17.5" thickBot="1" x14ac:dyDescent="0.45">
      <c r="A454" s="4">
        <v>43311</v>
      </c>
      <c r="B454" s="3">
        <v>172.47</v>
      </c>
      <c r="C454" s="3">
        <v>247.39</v>
      </c>
      <c r="D454" s="3">
        <v>106.2</v>
      </c>
      <c r="E454" s="3">
        <v>1.1028</v>
      </c>
      <c r="F454" s="3">
        <v>256.45999999999998</v>
      </c>
      <c r="G454" s="3">
        <v>236.03</v>
      </c>
      <c r="H454" s="3">
        <v>181.49</v>
      </c>
      <c r="I454" s="3">
        <v>201.11</v>
      </c>
      <c r="J454" s="3">
        <v>111.84</v>
      </c>
      <c r="K454" s="3">
        <v>210.71</v>
      </c>
      <c r="L454" s="3"/>
      <c r="N454" s="4"/>
    </row>
    <row r="455" spans="1:14" ht="17.5" thickBot="1" x14ac:dyDescent="0.45">
      <c r="A455" s="4">
        <v>43312</v>
      </c>
      <c r="B455" s="3">
        <v>171.9</v>
      </c>
      <c r="C455" s="3">
        <v>247.33</v>
      </c>
      <c r="D455" s="3">
        <v>106.29</v>
      </c>
      <c r="E455" s="3">
        <v>1.1041000000000001</v>
      </c>
      <c r="F455" s="3">
        <v>255.83</v>
      </c>
      <c r="G455" s="3">
        <v>237.46</v>
      </c>
      <c r="H455" s="3">
        <v>181.04</v>
      </c>
      <c r="I455" s="3">
        <v>201.61</v>
      </c>
      <c r="J455" s="3">
        <v>111.89</v>
      </c>
      <c r="K455" s="3">
        <v>210.45</v>
      </c>
      <c r="L455" s="3"/>
      <c r="N455" s="4"/>
    </row>
    <row r="456" spans="1:14" ht="17.5" thickBot="1" x14ac:dyDescent="0.45">
      <c r="A456" s="4">
        <v>43313</v>
      </c>
      <c r="B456" s="3">
        <v>170.32</v>
      </c>
      <c r="C456" s="3">
        <v>247.38</v>
      </c>
      <c r="D456" s="3">
        <v>106.11</v>
      </c>
      <c r="E456" s="3">
        <v>1.1019000000000001</v>
      </c>
      <c r="F456" s="3">
        <v>255.12</v>
      </c>
      <c r="G456" s="3">
        <v>237.45</v>
      </c>
      <c r="H456" s="3">
        <v>180.6</v>
      </c>
      <c r="I456" s="3">
        <v>200.96</v>
      </c>
      <c r="J456" s="3">
        <v>111.89</v>
      </c>
      <c r="K456" s="3">
        <v>209.91</v>
      </c>
      <c r="L456" s="3"/>
      <c r="N456" s="4"/>
    </row>
    <row r="457" spans="1:14" ht="17.5" thickBot="1" x14ac:dyDescent="0.45">
      <c r="A457" s="4">
        <v>43314</v>
      </c>
      <c r="B457" s="3">
        <v>166.8</v>
      </c>
      <c r="C457" s="3">
        <v>243.23</v>
      </c>
      <c r="D457" s="3">
        <v>105.92</v>
      </c>
      <c r="E457" s="3">
        <v>1.1000000000000001</v>
      </c>
      <c r="F457" s="3">
        <v>252.35</v>
      </c>
      <c r="G457" s="3">
        <v>239.12</v>
      </c>
      <c r="H457" s="3">
        <v>178.7</v>
      </c>
      <c r="I457" s="3">
        <v>201.75</v>
      </c>
      <c r="J457" s="3">
        <v>111.89</v>
      </c>
      <c r="K457" s="3">
        <v>208.52</v>
      </c>
      <c r="L457" s="3"/>
      <c r="N457" s="4"/>
    </row>
    <row r="458" spans="1:14" ht="17.5" thickBot="1" x14ac:dyDescent="0.45">
      <c r="A458" s="4">
        <v>43315</v>
      </c>
      <c r="B458" s="3">
        <v>166.44</v>
      </c>
      <c r="C458" s="3">
        <v>243.89</v>
      </c>
      <c r="D458" s="3">
        <v>105.92</v>
      </c>
      <c r="E458" s="3">
        <v>1.1032</v>
      </c>
      <c r="F458" s="3">
        <v>252.44</v>
      </c>
      <c r="G458" s="3">
        <v>239.88</v>
      </c>
      <c r="H458" s="3">
        <v>178.81</v>
      </c>
      <c r="I458" s="3">
        <v>203.57</v>
      </c>
      <c r="J458" s="3">
        <v>111.89</v>
      </c>
      <c r="K458" s="3">
        <v>208.7</v>
      </c>
      <c r="L458" s="3"/>
      <c r="N458" s="4"/>
    </row>
    <row r="459" spans="1:14" ht="17.5" thickBot="1" x14ac:dyDescent="0.45">
      <c r="A459" s="4">
        <v>43316</v>
      </c>
      <c r="B459" s="3">
        <v>166.44</v>
      </c>
      <c r="C459" s="3">
        <v>243.89</v>
      </c>
      <c r="D459" s="3">
        <v>105.92</v>
      </c>
      <c r="E459" s="3">
        <v>1.1032</v>
      </c>
      <c r="F459" s="3">
        <v>252.44</v>
      </c>
      <c r="G459" s="3">
        <v>239.88</v>
      </c>
      <c r="H459" s="3">
        <v>178.81</v>
      </c>
      <c r="I459" s="3">
        <v>203.57</v>
      </c>
      <c r="J459" s="3">
        <v>111.89</v>
      </c>
      <c r="K459" s="3">
        <v>208.7</v>
      </c>
      <c r="L459" s="3"/>
      <c r="N459" s="4"/>
    </row>
    <row r="460" spans="1:14" ht="17.5" thickBot="1" x14ac:dyDescent="0.45">
      <c r="A460" s="4">
        <v>43317</v>
      </c>
      <c r="B460" s="3">
        <v>166.44</v>
      </c>
      <c r="C460" s="3">
        <v>243.89</v>
      </c>
      <c r="D460" s="3">
        <v>105.92</v>
      </c>
      <c r="E460" s="3">
        <v>1.1032</v>
      </c>
      <c r="F460" s="3">
        <v>252.44</v>
      </c>
      <c r="G460" s="3">
        <v>239.88</v>
      </c>
      <c r="H460" s="3">
        <v>178.81</v>
      </c>
      <c r="I460" s="3">
        <v>203.57</v>
      </c>
      <c r="J460" s="3">
        <v>111.89</v>
      </c>
      <c r="K460" s="3">
        <v>208.7</v>
      </c>
      <c r="L460" s="3"/>
      <c r="N460" s="4"/>
    </row>
    <row r="461" spans="1:14" ht="17.5" thickBot="1" x14ac:dyDescent="0.45">
      <c r="A461" s="4">
        <v>43318</v>
      </c>
      <c r="B461" s="3">
        <v>167.35</v>
      </c>
      <c r="C461" s="3">
        <v>244.7</v>
      </c>
      <c r="D461" s="3">
        <v>106</v>
      </c>
      <c r="E461" s="3">
        <v>1.1041000000000001</v>
      </c>
      <c r="F461" s="3">
        <v>252.59</v>
      </c>
      <c r="G461" s="3">
        <v>240.77</v>
      </c>
      <c r="H461" s="3">
        <v>178.83</v>
      </c>
      <c r="I461" s="3">
        <v>203.83</v>
      </c>
      <c r="J461" s="3">
        <v>111.89</v>
      </c>
      <c r="K461" s="3">
        <v>208.74</v>
      </c>
      <c r="L461" s="3"/>
      <c r="N461" s="4"/>
    </row>
    <row r="462" spans="1:14" ht="17.5" thickBot="1" x14ac:dyDescent="0.45">
      <c r="A462" s="4">
        <v>43319</v>
      </c>
      <c r="B462" s="3">
        <v>169.71</v>
      </c>
      <c r="C462" s="3">
        <v>245.29</v>
      </c>
      <c r="D462" s="3">
        <v>106.28</v>
      </c>
      <c r="E462" s="3">
        <v>1.1071</v>
      </c>
      <c r="F462" s="3">
        <v>254.75</v>
      </c>
      <c r="G462" s="3">
        <v>241.37</v>
      </c>
      <c r="H462" s="3">
        <v>180.34</v>
      </c>
      <c r="I462" s="3">
        <v>204.15</v>
      </c>
      <c r="J462" s="3">
        <v>111.89</v>
      </c>
      <c r="K462" s="3">
        <v>209.8</v>
      </c>
      <c r="L462" s="3"/>
      <c r="N462" s="4"/>
    </row>
    <row r="463" spans="1:14" ht="17.5" thickBot="1" x14ac:dyDescent="0.45">
      <c r="A463" s="4">
        <v>43320</v>
      </c>
      <c r="B463" s="3">
        <v>170.26</v>
      </c>
      <c r="C463" s="3">
        <v>246.33</v>
      </c>
      <c r="D463" s="3">
        <v>106.28</v>
      </c>
      <c r="E463" s="3">
        <v>1.107</v>
      </c>
      <c r="F463" s="3">
        <v>255.22</v>
      </c>
      <c r="G463" s="3">
        <v>240.9</v>
      </c>
      <c r="H463" s="3">
        <v>180.65</v>
      </c>
      <c r="I463" s="3">
        <v>203.75</v>
      </c>
      <c r="J463" s="3">
        <v>111.89</v>
      </c>
      <c r="K463" s="3">
        <v>210.02</v>
      </c>
      <c r="L463" s="3"/>
      <c r="N463" s="4"/>
    </row>
    <row r="464" spans="1:14" ht="17.5" thickBot="1" x14ac:dyDescent="0.45">
      <c r="A464" s="4">
        <v>43321</v>
      </c>
      <c r="B464" s="3">
        <v>171.79</v>
      </c>
      <c r="C464" s="3">
        <v>246</v>
      </c>
      <c r="D464" s="3">
        <v>106.27</v>
      </c>
      <c r="E464" s="3">
        <v>1.1073</v>
      </c>
      <c r="F464" s="3">
        <v>255.68</v>
      </c>
      <c r="G464" s="3">
        <v>240.57</v>
      </c>
      <c r="H464" s="3">
        <v>180.92</v>
      </c>
      <c r="I464" s="3">
        <v>202.91</v>
      </c>
      <c r="J464" s="3">
        <v>111.89</v>
      </c>
      <c r="K464" s="3">
        <v>210.24</v>
      </c>
      <c r="L464" s="3"/>
      <c r="N464" s="4"/>
    </row>
    <row r="465" spans="1:14" ht="17.5" thickBot="1" x14ac:dyDescent="0.45">
      <c r="A465" s="4">
        <v>43322</v>
      </c>
      <c r="B465" s="3">
        <v>170.21</v>
      </c>
      <c r="C465" s="3">
        <v>242.43</v>
      </c>
      <c r="D465" s="3">
        <v>106.18</v>
      </c>
      <c r="E465" s="3">
        <v>1.1009</v>
      </c>
      <c r="F465" s="3">
        <v>252.97</v>
      </c>
      <c r="G465" s="3">
        <v>238.81</v>
      </c>
      <c r="H465" s="3">
        <v>179.14</v>
      </c>
      <c r="I465" s="3">
        <v>200.37</v>
      </c>
      <c r="J465" s="3">
        <v>111.89</v>
      </c>
      <c r="K465" s="3">
        <v>208.86</v>
      </c>
      <c r="L465" s="3"/>
      <c r="N465" s="4"/>
    </row>
    <row r="466" spans="1:14" ht="17.5" thickBot="1" x14ac:dyDescent="0.45">
      <c r="A466" s="4">
        <v>43323</v>
      </c>
      <c r="B466" s="3">
        <v>170.21</v>
      </c>
      <c r="C466" s="3">
        <v>242.43</v>
      </c>
      <c r="D466" s="3">
        <v>106.18</v>
      </c>
      <c r="E466" s="3">
        <v>1.1009</v>
      </c>
      <c r="F466" s="3">
        <v>252.97</v>
      </c>
      <c r="G466" s="3">
        <v>238.81</v>
      </c>
      <c r="H466" s="3">
        <v>179.14</v>
      </c>
      <c r="I466" s="3">
        <v>200.37</v>
      </c>
      <c r="J466" s="3">
        <v>111.89</v>
      </c>
      <c r="K466" s="3">
        <v>208.86</v>
      </c>
      <c r="L466" s="3"/>
      <c r="N466" s="4"/>
    </row>
    <row r="467" spans="1:14" ht="17.5" thickBot="1" x14ac:dyDescent="0.45">
      <c r="A467" s="4">
        <v>43324</v>
      </c>
      <c r="B467" s="3">
        <v>170.21</v>
      </c>
      <c r="C467" s="3">
        <v>242.43</v>
      </c>
      <c r="D467" s="3">
        <v>106.18</v>
      </c>
      <c r="E467" s="3">
        <v>1.1009</v>
      </c>
      <c r="F467" s="3">
        <v>252.97</v>
      </c>
      <c r="G467" s="3">
        <v>238.81</v>
      </c>
      <c r="H467" s="3">
        <v>179.14</v>
      </c>
      <c r="I467" s="3">
        <v>200.37</v>
      </c>
      <c r="J467" s="3">
        <v>111.89</v>
      </c>
      <c r="K467" s="3">
        <v>208.86</v>
      </c>
      <c r="L467" s="3"/>
      <c r="N467" s="4"/>
    </row>
    <row r="468" spans="1:14" ht="17.5" thickBot="1" x14ac:dyDescent="0.45">
      <c r="A468" s="4">
        <v>43325</v>
      </c>
      <c r="B468" s="3">
        <v>168.04</v>
      </c>
      <c r="C468" s="3">
        <v>238.33</v>
      </c>
      <c r="D468" s="3">
        <v>106.08</v>
      </c>
      <c r="E468" s="3">
        <v>1.0956999999999999</v>
      </c>
      <c r="F468" s="3">
        <v>250.17</v>
      </c>
      <c r="G468" s="3">
        <v>238.01</v>
      </c>
      <c r="H468" s="3">
        <v>177.36</v>
      </c>
      <c r="I468" s="3">
        <v>199.66</v>
      </c>
      <c r="J468" s="3">
        <v>111.89</v>
      </c>
      <c r="K468" s="3">
        <v>207.39</v>
      </c>
      <c r="L468" s="3"/>
      <c r="N468" s="4"/>
    </row>
    <row r="469" spans="1:14" ht="17.5" thickBot="1" x14ac:dyDescent="0.45">
      <c r="A469" s="4">
        <v>43326</v>
      </c>
      <c r="B469" s="3">
        <v>167.25</v>
      </c>
      <c r="C469" s="3">
        <v>239.83</v>
      </c>
      <c r="D469" s="3">
        <v>106.08</v>
      </c>
      <c r="E469" s="3">
        <v>1.0983000000000001</v>
      </c>
      <c r="F469" s="3">
        <v>249.83</v>
      </c>
      <c r="G469" s="3">
        <v>239.67</v>
      </c>
      <c r="H469" s="3">
        <v>177.19</v>
      </c>
      <c r="I469" s="3">
        <v>201.47</v>
      </c>
      <c r="J469" s="3">
        <v>111.89</v>
      </c>
      <c r="K469" s="3">
        <v>207.12</v>
      </c>
      <c r="L469" s="3"/>
      <c r="N469" s="4"/>
    </row>
    <row r="470" spans="1:14" ht="17.5" thickBot="1" x14ac:dyDescent="0.45">
      <c r="A470" s="4">
        <v>43327</v>
      </c>
      <c r="B470" s="3">
        <v>164.27</v>
      </c>
      <c r="C470" s="3">
        <v>239.81</v>
      </c>
      <c r="D470" s="3">
        <v>105.8</v>
      </c>
      <c r="E470" s="3">
        <v>1.0915999999999999</v>
      </c>
      <c r="F470" s="3">
        <v>246.75</v>
      </c>
      <c r="G470" s="3">
        <v>237.76</v>
      </c>
      <c r="H470" s="3">
        <v>175.17</v>
      </c>
      <c r="I470" s="3">
        <v>199.1</v>
      </c>
      <c r="J470" s="3">
        <v>111.89</v>
      </c>
      <c r="K470" s="3">
        <v>205.55</v>
      </c>
      <c r="L470" s="3"/>
      <c r="N470" s="4"/>
    </row>
    <row r="471" spans="1:14" ht="17.5" thickBot="1" x14ac:dyDescent="0.45">
      <c r="A471" s="4">
        <v>43328</v>
      </c>
      <c r="B471" s="3">
        <v>163.63999999999999</v>
      </c>
      <c r="C471" s="3">
        <v>237.8</v>
      </c>
      <c r="D471" s="3">
        <v>105.98</v>
      </c>
      <c r="E471" s="3">
        <v>1.0952999999999999</v>
      </c>
      <c r="F471" s="3">
        <v>246.75</v>
      </c>
      <c r="G471" s="3">
        <v>240.02</v>
      </c>
      <c r="H471" s="3">
        <v>175.27</v>
      </c>
      <c r="I471" s="3">
        <v>200.43</v>
      </c>
      <c r="J471" s="3">
        <v>111.89</v>
      </c>
      <c r="K471" s="3">
        <v>205.64</v>
      </c>
      <c r="L471" s="3"/>
      <c r="N471" s="4"/>
    </row>
    <row r="472" spans="1:14" ht="17.5" thickBot="1" x14ac:dyDescent="0.45">
      <c r="A472" s="4">
        <v>43329</v>
      </c>
      <c r="B472" s="3">
        <v>163.93</v>
      </c>
      <c r="C472" s="3">
        <v>238.41</v>
      </c>
      <c r="D472" s="3">
        <v>106.07</v>
      </c>
      <c r="E472" s="3">
        <v>1.0973999999999999</v>
      </c>
      <c r="F472" s="3">
        <v>247.54</v>
      </c>
      <c r="G472" s="3">
        <v>240.91</v>
      </c>
      <c r="H472" s="3">
        <v>175.81</v>
      </c>
      <c r="I472" s="3">
        <v>200.87</v>
      </c>
      <c r="J472" s="3">
        <v>111.89</v>
      </c>
      <c r="K472" s="3">
        <v>206.09</v>
      </c>
      <c r="L472" s="3"/>
      <c r="N472" s="4"/>
    </row>
    <row r="473" spans="1:14" ht="17.5" thickBot="1" x14ac:dyDescent="0.45">
      <c r="A473" s="4">
        <v>43330</v>
      </c>
      <c r="B473" s="3">
        <v>163.93</v>
      </c>
      <c r="C473" s="3">
        <v>238.41</v>
      </c>
      <c r="D473" s="3">
        <v>106.07</v>
      </c>
      <c r="E473" s="3">
        <v>1.0973999999999999</v>
      </c>
      <c r="F473" s="3">
        <v>247.54</v>
      </c>
      <c r="G473" s="3">
        <v>240.91</v>
      </c>
      <c r="H473" s="3">
        <v>175.81</v>
      </c>
      <c r="I473" s="3">
        <v>200.87</v>
      </c>
      <c r="J473" s="3">
        <v>111.89</v>
      </c>
      <c r="K473" s="3">
        <v>206.09</v>
      </c>
      <c r="L473" s="3"/>
      <c r="N473" s="4"/>
    </row>
    <row r="474" spans="1:14" ht="17.5" thickBot="1" x14ac:dyDescent="0.45">
      <c r="A474" s="4">
        <v>43331</v>
      </c>
      <c r="B474" s="3">
        <v>163.93</v>
      </c>
      <c r="C474" s="3">
        <v>238.41</v>
      </c>
      <c r="D474" s="3">
        <v>106.07</v>
      </c>
      <c r="E474" s="3">
        <v>1.0973999999999999</v>
      </c>
      <c r="F474" s="3">
        <v>247.54</v>
      </c>
      <c r="G474" s="3">
        <v>240.91</v>
      </c>
      <c r="H474" s="3">
        <v>175.81</v>
      </c>
      <c r="I474" s="3">
        <v>200.87</v>
      </c>
      <c r="J474" s="3">
        <v>111.89</v>
      </c>
      <c r="K474" s="3">
        <v>206.09</v>
      </c>
      <c r="L474" s="3"/>
      <c r="N474" s="4"/>
    </row>
    <row r="475" spans="1:14" ht="17.5" thickBot="1" x14ac:dyDescent="0.45">
      <c r="A475" s="4">
        <v>43332</v>
      </c>
      <c r="B475" s="3">
        <v>166.12</v>
      </c>
      <c r="C475" s="3">
        <v>240.01</v>
      </c>
      <c r="D475" s="3">
        <v>106.25</v>
      </c>
      <c r="E475" s="3">
        <v>1.1008</v>
      </c>
      <c r="F475" s="3">
        <v>249.16</v>
      </c>
      <c r="G475" s="3">
        <v>241.48</v>
      </c>
      <c r="H475" s="3">
        <v>176.81</v>
      </c>
      <c r="I475" s="3">
        <v>201.12</v>
      </c>
      <c r="J475" s="3">
        <v>111.89</v>
      </c>
      <c r="K475" s="3">
        <v>207.04</v>
      </c>
      <c r="L475" s="3"/>
      <c r="N475" s="4"/>
    </row>
    <row r="476" spans="1:14" ht="17.5" thickBot="1" x14ac:dyDescent="0.45">
      <c r="A476" s="4">
        <v>43333</v>
      </c>
      <c r="B476" s="3">
        <v>167.16</v>
      </c>
      <c r="C476" s="3">
        <v>241.48</v>
      </c>
      <c r="D476" s="3">
        <v>106.62</v>
      </c>
      <c r="E476" s="3">
        <v>1.1032</v>
      </c>
      <c r="F476" s="3">
        <v>250.78</v>
      </c>
      <c r="G476" s="3">
        <v>241.77</v>
      </c>
      <c r="H476" s="3">
        <v>177.83</v>
      </c>
      <c r="I476" s="3">
        <v>201.01</v>
      </c>
      <c r="J476" s="3">
        <v>111.89</v>
      </c>
      <c r="K476" s="3">
        <v>207.91</v>
      </c>
      <c r="L476" s="3"/>
      <c r="N476" s="4"/>
    </row>
    <row r="477" spans="1:14" ht="17.5" thickBot="1" x14ac:dyDescent="0.45">
      <c r="A477" s="4">
        <v>43334</v>
      </c>
      <c r="B477" s="3">
        <v>168.21</v>
      </c>
      <c r="C477" s="3">
        <v>241.09</v>
      </c>
      <c r="D477" s="3">
        <v>106.62</v>
      </c>
      <c r="E477" s="3">
        <v>1.1048</v>
      </c>
      <c r="F477" s="3">
        <v>251.86</v>
      </c>
      <c r="G477" s="3">
        <v>241.61</v>
      </c>
      <c r="H477" s="3">
        <v>178.58</v>
      </c>
      <c r="I477" s="3">
        <v>201.61</v>
      </c>
      <c r="J477" s="3">
        <v>111.89</v>
      </c>
      <c r="K477" s="3">
        <v>208.59</v>
      </c>
      <c r="L477" s="3"/>
      <c r="N477" s="4"/>
    </row>
    <row r="478" spans="1:14" ht="17.5" thickBot="1" x14ac:dyDescent="0.45">
      <c r="A478" s="4">
        <v>43335</v>
      </c>
      <c r="B478" s="3">
        <v>167.18</v>
      </c>
      <c r="C478" s="3">
        <v>240.23</v>
      </c>
      <c r="D478" s="3">
        <v>106.43</v>
      </c>
      <c r="E478" s="3">
        <v>1.103</v>
      </c>
      <c r="F478" s="3">
        <v>250.93</v>
      </c>
      <c r="G478" s="3">
        <v>241.21</v>
      </c>
      <c r="H478" s="3">
        <v>177.97</v>
      </c>
      <c r="I478" s="3">
        <v>200.36</v>
      </c>
      <c r="J478" s="3">
        <v>111.89</v>
      </c>
      <c r="K478" s="3">
        <v>208.04</v>
      </c>
      <c r="L478" s="3"/>
      <c r="N478" s="4"/>
    </row>
    <row r="479" spans="1:14" ht="17.5" thickBot="1" x14ac:dyDescent="0.45">
      <c r="A479" s="4">
        <v>43336</v>
      </c>
      <c r="B479" s="3">
        <v>166.91</v>
      </c>
      <c r="C479" s="3">
        <v>241.23</v>
      </c>
      <c r="D479" s="3">
        <v>106.61</v>
      </c>
      <c r="E479" s="3">
        <v>1.1062000000000001</v>
      </c>
      <c r="F479" s="3">
        <v>251.35</v>
      </c>
      <c r="G479" s="3">
        <v>242.72</v>
      </c>
      <c r="H479" s="3">
        <v>178.31</v>
      </c>
      <c r="I479" s="3">
        <v>201.84</v>
      </c>
      <c r="J479" s="3">
        <v>111.89</v>
      </c>
      <c r="K479" s="3">
        <v>208.31</v>
      </c>
      <c r="L479" s="3"/>
      <c r="N479" s="4"/>
    </row>
    <row r="480" spans="1:14" ht="17.5" thickBot="1" x14ac:dyDescent="0.45">
      <c r="A480" s="4">
        <v>43337</v>
      </c>
      <c r="B480" s="3">
        <v>166.91</v>
      </c>
      <c r="C480" s="3">
        <v>241.23</v>
      </c>
      <c r="D480" s="3">
        <v>106.61</v>
      </c>
      <c r="E480" s="3">
        <v>1.1062000000000001</v>
      </c>
      <c r="F480" s="3">
        <v>251.35</v>
      </c>
      <c r="G480" s="3">
        <v>242.72</v>
      </c>
      <c r="H480" s="3">
        <v>178.31</v>
      </c>
      <c r="I480" s="3">
        <v>201.84</v>
      </c>
      <c r="J480" s="3">
        <v>111.89</v>
      </c>
      <c r="K480" s="3">
        <v>208.31</v>
      </c>
      <c r="L480" s="3"/>
      <c r="N480" s="4"/>
    </row>
    <row r="481" spans="1:14" ht="17.5" thickBot="1" x14ac:dyDescent="0.45">
      <c r="A481" s="4">
        <v>43338</v>
      </c>
      <c r="B481" s="3">
        <v>166.91</v>
      </c>
      <c r="C481" s="3">
        <v>241.23</v>
      </c>
      <c r="D481" s="3">
        <v>106.61</v>
      </c>
      <c r="E481" s="3">
        <v>1.1062000000000001</v>
      </c>
      <c r="F481" s="3">
        <v>251.35</v>
      </c>
      <c r="G481" s="3">
        <v>242.72</v>
      </c>
      <c r="H481" s="3">
        <v>178.31</v>
      </c>
      <c r="I481" s="3">
        <v>201.84</v>
      </c>
      <c r="J481" s="3">
        <v>111.89</v>
      </c>
      <c r="K481" s="3">
        <v>208.31</v>
      </c>
      <c r="L481" s="3"/>
      <c r="N481" s="4"/>
    </row>
    <row r="482" spans="1:14" ht="17.5" thickBot="1" x14ac:dyDescent="0.45">
      <c r="A482" s="4">
        <v>43339</v>
      </c>
      <c r="B482" s="3">
        <v>170.72</v>
      </c>
      <c r="C482" s="3">
        <v>243.3</v>
      </c>
      <c r="D482" s="3">
        <v>106.88</v>
      </c>
      <c r="E482" s="3">
        <v>1.1119000000000001</v>
      </c>
      <c r="F482" s="3">
        <v>254.64</v>
      </c>
      <c r="G482" s="3">
        <v>244.24</v>
      </c>
      <c r="H482" s="3">
        <v>180.4</v>
      </c>
      <c r="I482" s="3">
        <v>203.82</v>
      </c>
      <c r="J482" s="3">
        <v>111.89</v>
      </c>
      <c r="K482" s="3">
        <v>209.98</v>
      </c>
      <c r="L482" s="3"/>
      <c r="N482" s="4"/>
    </row>
    <row r="483" spans="1:14" ht="17.5" thickBot="1" x14ac:dyDescent="0.45">
      <c r="A483" s="4">
        <v>43340</v>
      </c>
      <c r="B483" s="3">
        <v>171.31</v>
      </c>
      <c r="C483" s="3">
        <v>245.32</v>
      </c>
      <c r="D483" s="3">
        <v>106.79</v>
      </c>
      <c r="E483" s="3">
        <v>1.1119000000000001</v>
      </c>
      <c r="F483" s="3">
        <v>255.19</v>
      </c>
      <c r="G483" s="3">
        <v>244.39</v>
      </c>
      <c r="H483" s="3">
        <v>180.68</v>
      </c>
      <c r="I483" s="3">
        <v>203.24</v>
      </c>
      <c r="J483" s="3">
        <v>111.89</v>
      </c>
      <c r="K483" s="3">
        <v>210.13</v>
      </c>
      <c r="L483" s="3"/>
      <c r="N483" s="4"/>
    </row>
    <row r="484" spans="1:14" ht="17.5" thickBot="1" x14ac:dyDescent="0.45">
      <c r="A484" s="4">
        <v>43341</v>
      </c>
      <c r="B484" s="3">
        <v>171.47</v>
      </c>
      <c r="C484" s="3">
        <v>245.79</v>
      </c>
      <c r="D484" s="3">
        <v>106.6</v>
      </c>
      <c r="E484" s="3">
        <v>1.1138999999999999</v>
      </c>
      <c r="F484" s="3">
        <v>255.9</v>
      </c>
      <c r="G484" s="3">
        <v>245.66</v>
      </c>
      <c r="H484" s="3">
        <v>181.09</v>
      </c>
      <c r="I484" s="3">
        <v>204.62</v>
      </c>
      <c r="J484" s="3">
        <v>111.89</v>
      </c>
      <c r="K484" s="3">
        <v>210.38</v>
      </c>
      <c r="L484" s="3"/>
      <c r="N484" s="4"/>
    </row>
    <row r="485" spans="1:14" ht="17.5" thickBot="1" x14ac:dyDescent="0.45">
      <c r="A485" s="4">
        <v>43342</v>
      </c>
      <c r="B485" s="3">
        <v>170.05</v>
      </c>
      <c r="C485" s="3">
        <v>245.64</v>
      </c>
      <c r="D485" s="3">
        <v>106.51</v>
      </c>
      <c r="E485" s="3">
        <v>1.1113</v>
      </c>
      <c r="F485" s="3">
        <v>254.66</v>
      </c>
      <c r="G485" s="3">
        <v>244.51</v>
      </c>
      <c r="H485" s="3">
        <v>180.35</v>
      </c>
      <c r="I485" s="3">
        <v>202.78</v>
      </c>
      <c r="J485" s="3">
        <v>111.89</v>
      </c>
      <c r="K485" s="3">
        <v>209.8</v>
      </c>
      <c r="L485" s="3"/>
      <c r="N485" s="4"/>
    </row>
    <row r="486" spans="1:14" ht="17.5" thickBot="1" x14ac:dyDescent="0.45">
      <c r="A486" s="4">
        <v>43343</v>
      </c>
      <c r="B486" s="3">
        <v>168.33</v>
      </c>
      <c r="C486" s="3">
        <v>243.68</v>
      </c>
      <c r="D486" s="3">
        <v>106.42</v>
      </c>
      <c r="E486" s="3">
        <v>1.1095999999999999</v>
      </c>
      <c r="F486" s="3">
        <v>253.45</v>
      </c>
      <c r="G486" s="3">
        <v>244.92</v>
      </c>
      <c r="H486" s="3">
        <v>179.59</v>
      </c>
      <c r="I486" s="3">
        <v>203.37</v>
      </c>
      <c r="J486" s="3">
        <v>112.02</v>
      </c>
      <c r="K486" s="3">
        <v>209.14</v>
      </c>
      <c r="L486" s="3"/>
      <c r="N486" s="4"/>
    </row>
    <row r="487" spans="1:14" ht="17.5" thickBot="1" x14ac:dyDescent="0.45">
      <c r="A487" s="4">
        <v>43344</v>
      </c>
      <c r="B487" s="3">
        <v>168.33</v>
      </c>
      <c r="C487" s="3">
        <v>243.68</v>
      </c>
      <c r="D487" s="3">
        <v>106.42</v>
      </c>
      <c r="E487" s="3">
        <v>1.1095999999999999</v>
      </c>
      <c r="F487" s="3">
        <v>253.45</v>
      </c>
      <c r="G487" s="3">
        <v>244.92</v>
      </c>
      <c r="H487" s="3">
        <v>179.59</v>
      </c>
      <c r="I487" s="3">
        <v>203.37</v>
      </c>
      <c r="J487" s="3">
        <v>112.02</v>
      </c>
      <c r="K487" s="3">
        <v>209.14</v>
      </c>
      <c r="L487" s="3"/>
      <c r="N487" s="4"/>
    </row>
    <row r="488" spans="1:14" ht="17.5" thickBot="1" x14ac:dyDescent="0.45">
      <c r="A488" s="4">
        <v>43345</v>
      </c>
      <c r="B488" s="3">
        <v>168.33</v>
      </c>
      <c r="C488" s="3">
        <v>243.68</v>
      </c>
      <c r="D488" s="3">
        <v>106.42</v>
      </c>
      <c r="E488" s="3">
        <v>1.1095999999999999</v>
      </c>
      <c r="F488" s="3">
        <v>253.45</v>
      </c>
      <c r="G488" s="3">
        <v>244.92</v>
      </c>
      <c r="H488" s="3">
        <v>179.59</v>
      </c>
      <c r="I488" s="3">
        <v>203.37</v>
      </c>
      <c r="J488" s="3">
        <v>112.02</v>
      </c>
      <c r="K488" s="3">
        <v>209.14</v>
      </c>
      <c r="L488" s="3"/>
      <c r="N488" s="4"/>
    </row>
    <row r="489" spans="1:14" ht="17.5" thickBot="1" x14ac:dyDescent="0.45">
      <c r="A489" s="4">
        <v>43346</v>
      </c>
      <c r="B489" s="3">
        <v>167.72</v>
      </c>
      <c r="C489" s="3">
        <v>242.22</v>
      </c>
      <c r="D489" s="3">
        <v>106.32</v>
      </c>
      <c r="E489" s="3">
        <v>1.1084000000000001</v>
      </c>
      <c r="F489" s="3">
        <v>252.39</v>
      </c>
      <c r="G489" s="3">
        <v>244.88</v>
      </c>
      <c r="H489" s="3">
        <v>178.96</v>
      </c>
      <c r="I489" s="3">
        <v>203.38</v>
      </c>
      <c r="J489" s="3">
        <v>112.02</v>
      </c>
      <c r="K489" s="3">
        <v>208.59</v>
      </c>
      <c r="L489" s="3"/>
      <c r="N489" s="4"/>
    </row>
    <row r="490" spans="1:14" ht="17.5" thickBot="1" x14ac:dyDescent="0.45">
      <c r="A490" s="4">
        <v>43347</v>
      </c>
      <c r="B490" s="3">
        <v>169.27</v>
      </c>
      <c r="C490" s="3">
        <v>241.25</v>
      </c>
      <c r="D490" s="3">
        <v>106.04</v>
      </c>
      <c r="E490" s="3">
        <v>1.1051</v>
      </c>
      <c r="F490" s="3">
        <v>252.25</v>
      </c>
      <c r="G490" s="3">
        <v>244.72</v>
      </c>
      <c r="H490" s="3">
        <v>178.8</v>
      </c>
      <c r="I490" s="3">
        <v>201.58</v>
      </c>
      <c r="J490" s="3">
        <v>112.02</v>
      </c>
      <c r="K490" s="3">
        <v>208.31</v>
      </c>
      <c r="L490" s="3"/>
      <c r="N490" s="4"/>
    </row>
    <row r="491" spans="1:14" ht="17.5" thickBot="1" x14ac:dyDescent="0.45">
      <c r="A491" s="4">
        <v>43348</v>
      </c>
      <c r="B491" s="3">
        <v>164.86</v>
      </c>
      <c r="C491" s="3">
        <v>238.36</v>
      </c>
      <c r="D491" s="3">
        <v>105.95</v>
      </c>
      <c r="E491" s="3">
        <v>1.1012</v>
      </c>
      <c r="F491" s="3">
        <v>249.3</v>
      </c>
      <c r="G491" s="3">
        <v>243.72</v>
      </c>
      <c r="H491" s="3">
        <v>177.01</v>
      </c>
      <c r="I491" s="3">
        <v>201.28</v>
      </c>
      <c r="J491" s="3">
        <v>112.02</v>
      </c>
      <c r="K491" s="3">
        <v>206.85</v>
      </c>
      <c r="L491" s="3"/>
      <c r="N491" s="4"/>
    </row>
    <row r="492" spans="1:14" ht="17.5" thickBot="1" x14ac:dyDescent="0.45">
      <c r="A492" s="4">
        <v>43349</v>
      </c>
      <c r="B492" s="3">
        <v>164</v>
      </c>
      <c r="C492" s="3">
        <v>237.04</v>
      </c>
      <c r="D492" s="3">
        <v>106.04</v>
      </c>
      <c r="E492" s="3">
        <v>1.0995999999999999</v>
      </c>
      <c r="F492" s="3">
        <v>247.72</v>
      </c>
      <c r="G492" s="3">
        <v>242.94</v>
      </c>
      <c r="H492" s="3">
        <v>176.11</v>
      </c>
      <c r="I492" s="3">
        <v>201.29</v>
      </c>
      <c r="J492" s="3">
        <v>112.02</v>
      </c>
      <c r="K492" s="3">
        <v>206.24</v>
      </c>
      <c r="L492" s="3"/>
      <c r="N492" s="4"/>
    </row>
    <row r="493" spans="1:14" ht="17.5" thickBot="1" x14ac:dyDescent="0.45">
      <c r="A493" s="4">
        <v>43350</v>
      </c>
      <c r="B493" s="3">
        <v>163.38</v>
      </c>
      <c r="C493" s="3">
        <v>235.36</v>
      </c>
      <c r="D493" s="3">
        <v>105.94</v>
      </c>
      <c r="E493" s="3">
        <v>1.0972999999999999</v>
      </c>
      <c r="F493" s="3">
        <v>246.89</v>
      </c>
      <c r="G493" s="3">
        <v>242.4</v>
      </c>
      <c r="H493" s="3">
        <v>175.53</v>
      </c>
      <c r="I493" s="3">
        <v>201.2</v>
      </c>
      <c r="J493" s="3">
        <v>112.02</v>
      </c>
      <c r="K493" s="3">
        <v>205.59</v>
      </c>
      <c r="L493" s="3"/>
      <c r="N493" s="4"/>
    </row>
    <row r="494" spans="1:14" ht="17.5" thickBot="1" x14ac:dyDescent="0.45">
      <c r="A494" s="4">
        <v>43351</v>
      </c>
      <c r="B494" s="3">
        <v>163.38</v>
      </c>
      <c r="C494" s="3">
        <v>235.36</v>
      </c>
      <c r="D494" s="3">
        <v>105.94</v>
      </c>
      <c r="E494" s="3">
        <v>1.0972999999999999</v>
      </c>
      <c r="F494" s="3">
        <v>246.89</v>
      </c>
      <c r="G494" s="3">
        <v>242.4</v>
      </c>
      <c r="H494" s="3">
        <v>175.53</v>
      </c>
      <c r="I494" s="3">
        <v>201.2</v>
      </c>
      <c r="J494" s="3">
        <v>112.02</v>
      </c>
      <c r="K494" s="3">
        <v>205.59</v>
      </c>
      <c r="L494" s="3"/>
      <c r="N494" s="4"/>
    </row>
    <row r="495" spans="1:14" ht="17.5" thickBot="1" x14ac:dyDescent="0.45">
      <c r="A495" s="4">
        <v>43352</v>
      </c>
      <c r="B495" s="3">
        <v>163.38</v>
      </c>
      <c r="C495" s="3">
        <v>235.36</v>
      </c>
      <c r="D495" s="3">
        <v>105.94</v>
      </c>
      <c r="E495" s="3">
        <v>1.0972999999999999</v>
      </c>
      <c r="F495" s="3">
        <v>246.89</v>
      </c>
      <c r="G495" s="3">
        <v>242.4</v>
      </c>
      <c r="H495" s="3">
        <v>175.53</v>
      </c>
      <c r="I495" s="3">
        <v>201.2</v>
      </c>
      <c r="J495" s="3">
        <v>112.02</v>
      </c>
      <c r="K495" s="3">
        <v>205.59</v>
      </c>
      <c r="L495" s="3"/>
      <c r="N495" s="4"/>
    </row>
    <row r="496" spans="1:14" ht="17.5" thickBot="1" x14ac:dyDescent="0.45">
      <c r="A496" s="4">
        <v>43353</v>
      </c>
      <c r="B496" s="3">
        <v>161.86000000000001</v>
      </c>
      <c r="C496" s="3">
        <v>233.47</v>
      </c>
      <c r="D496" s="3">
        <v>105.57</v>
      </c>
      <c r="E496" s="3">
        <v>1.0983000000000001</v>
      </c>
      <c r="F496" s="3">
        <v>246.05</v>
      </c>
      <c r="G496" s="3">
        <v>242.65</v>
      </c>
      <c r="H496" s="3">
        <v>175.03</v>
      </c>
      <c r="I496" s="3">
        <v>201.21</v>
      </c>
      <c r="J496" s="3">
        <v>112.02</v>
      </c>
      <c r="K496" s="3">
        <v>205.2</v>
      </c>
      <c r="L496" s="3"/>
      <c r="N496" s="4"/>
    </row>
    <row r="497" spans="1:14" ht="17.5" thickBot="1" x14ac:dyDescent="0.45">
      <c r="A497" s="4">
        <v>43354</v>
      </c>
      <c r="B497" s="3">
        <v>160.41</v>
      </c>
      <c r="C497" s="3">
        <v>232.53</v>
      </c>
      <c r="D497" s="3">
        <v>105.47</v>
      </c>
      <c r="E497" s="3">
        <v>1.0982000000000001</v>
      </c>
      <c r="F497" s="3">
        <v>245.32</v>
      </c>
      <c r="G497" s="3">
        <v>243.57</v>
      </c>
      <c r="H497" s="3">
        <v>174.49</v>
      </c>
      <c r="I497" s="3">
        <v>201.17</v>
      </c>
      <c r="J497" s="3">
        <v>112.02</v>
      </c>
      <c r="K497" s="3">
        <v>204.61</v>
      </c>
      <c r="L497" s="3"/>
      <c r="N497" s="4"/>
    </row>
    <row r="498" spans="1:14" ht="17.5" thickBot="1" x14ac:dyDescent="0.45">
      <c r="A498" s="4">
        <v>43355</v>
      </c>
      <c r="B498" s="3">
        <v>160.09</v>
      </c>
      <c r="C498" s="3">
        <v>233.22</v>
      </c>
      <c r="D498" s="3">
        <v>105.56</v>
      </c>
      <c r="E498" s="3">
        <v>1.0996999999999999</v>
      </c>
      <c r="F498" s="3">
        <v>245.24</v>
      </c>
      <c r="G498" s="3">
        <v>243.71</v>
      </c>
      <c r="H498" s="3">
        <v>174.48</v>
      </c>
      <c r="I498" s="3">
        <v>201.8</v>
      </c>
      <c r="J498" s="3">
        <v>112.02</v>
      </c>
      <c r="K498" s="3">
        <v>204.69</v>
      </c>
      <c r="L498" s="3"/>
      <c r="N498" s="4"/>
    </row>
    <row r="499" spans="1:14" ht="17.5" thickBot="1" x14ac:dyDescent="0.45">
      <c r="A499" s="4">
        <v>43356</v>
      </c>
      <c r="B499" s="3">
        <v>163.68</v>
      </c>
      <c r="C499" s="3">
        <v>233.33</v>
      </c>
      <c r="D499" s="3">
        <v>105.65</v>
      </c>
      <c r="E499" s="3">
        <v>1.1031</v>
      </c>
      <c r="F499" s="3">
        <v>247.81</v>
      </c>
      <c r="G499" s="3">
        <v>245.09</v>
      </c>
      <c r="H499" s="3">
        <v>176.14</v>
      </c>
      <c r="I499" s="3">
        <v>202.74</v>
      </c>
      <c r="J499" s="3">
        <v>112.02</v>
      </c>
      <c r="K499" s="3">
        <v>206.12</v>
      </c>
      <c r="L499" s="3"/>
      <c r="N499" s="4"/>
    </row>
    <row r="500" spans="1:14" ht="17.5" thickBot="1" x14ac:dyDescent="0.45">
      <c r="A500" s="4">
        <v>43357</v>
      </c>
      <c r="B500" s="3">
        <v>165.02</v>
      </c>
      <c r="C500" s="3">
        <v>236.93</v>
      </c>
      <c r="D500" s="3">
        <v>105.74</v>
      </c>
      <c r="E500" s="3">
        <v>1.1043000000000001</v>
      </c>
      <c r="F500" s="3">
        <v>249.66</v>
      </c>
      <c r="G500" s="3">
        <v>245.6</v>
      </c>
      <c r="H500" s="3">
        <v>177.23</v>
      </c>
      <c r="I500" s="3">
        <v>203.02</v>
      </c>
      <c r="J500" s="3">
        <v>112.02</v>
      </c>
      <c r="K500" s="3">
        <v>206.94</v>
      </c>
      <c r="L500" s="3"/>
      <c r="N500" s="4"/>
    </row>
    <row r="501" spans="1:14" ht="17.5" thickBot="1" x14ac:dyDescent="0.45">
      <c r="A501" s="4">
        <v>43358</v>
      </c>
      <c r="B501" s="3">
        <v>165.02</v>
      </c>
      <c r="C501" s="3">
        <v>236.93</v>
      </c>
      <c r="D501" s="3">
        <v>105.74</v>
      </c>
      <c r="E501" s="3">
        <v>1.1043000000000001</v>
      </c>
      <c r="F501" s="3">
        <v>249.66</v>
      </c>
      <c r="G501" s="3">
        <v>245.6</v>
      </c>
      <c r="H501" s="3">
        <v>177.23</v>
      </c>
      <c r="I501" s="3">
        <v>203.02</v>
      </c>
      <c r="J501" s="3">
        <v>112.02</v>
      </c>
      <c r="K501" s="3">
        <v>206.94</v>
      </c>
      <c r="L501" s="3"/>
      <c r="N501" s="4"/>
    </row>
    <row r="502" spans="1:14" ht="17.5" thickBot="1" x14ac:dyDescent="0.45">
      <c r="A502" s="4">
        <v>43359</v>
      </c>
      <c r="B502" s="3">
        <v>165.02</v>
      </c>
      <c r="C502" s="3">
        <v>236.93</v>
      </c>
      <c r="D502" s="3">
        <v>105.74</v>
      </c>
      <c r="E502" s="3">
        <v>1.1043000000000001</v>
      </c>
      <c r="F502" s="3">
        <v>249.66</v>
      </c>
      <c r="G502" s="3">
        <v>245.6</v>
      </c>
      <c r="H502" s="3">
        <v>177.23</v>
      </c>
      <c r="I502" s="3">
        <v>203.02</v>
      </c>
      <c r="J502" s="3">
        <v>112.02</v>
      </c>
      <c r="K502" s="3">
        <v>206.94</v>
      </c>
      <c r="L502" s="3"/>
      <c r="N502" s="4"/>
    </row>
    <row r="503" spans="1:14" ht="17.5" thickBot="1" x14ac:dyDescent="0.45">
      <c r="A503" s="4">
        <v>43360</v>
      </c>
      <c r="B503" s="3">
        <v>163.11000000000001</v>
      </c>
      <c r="C503" s="3">
        <v>234.53</v>
      </c>
      <c r="D503" s="3">
        <v>105.55</v>
      </c>
      <c r="E503" s="3">
        <v>1.1022000000000001</v>
      </c>
      <c r="F503" s="3">
        <v>248.26</v>
      </c>
      <c r="G503" s="3">
        <v>244.06</v>
      </c>
      <c r="H503" s="3">
        <v>176.41</v>
      </c>
      <c r="I503" s="3">
        <v>202.69</v>
      </c>
      <c r="J503" s="3">
        <v>112.02</v>
      </c>
      <c r="K503" s="3">
        <v>206.26</v>
      </c>
      <c r="L503" s="3"/>
      <c r="N503" s="4"/>
    </row>
    <row r="504" spans="1:14" ht="17.5" thickBot="1" x14ac:dyDescent="0.45">
      <c r="A504" s="4">
        <v>43361</v>
      </c>
      <c r="B504" s="3">
        <v>164</v>
      </c>
      <c r="C504" s="3">
        <v>233.57</v>
      </c>
      <c r="D504" s="3">
        <v>105.55</v>
      </c>
      <c r="E504" s="3">
        <v>1.1049</v>
      </c>
      <c r="F504" s="3">
        <v>249.43</v>
      </c>
      <c r="G504" s="3">
        <v>245.3</v>
      </c>
      <c r="H504" s="3">
        <v>177.1</v>
      </c>
      <c r="I504" s="3">
        <v>204.04</v>
      </c>
      <c r="J504" s="3">
        <v>112.02</v>
      </c>
      <c r="K504" s="3">
        <v>206.73</v>
      </c>
      <c r="L504" s="3"/>
      <c r="N504" s="4"/>
    </row>
    <row r="505" spans="1:14" ht="17.5" thickBot="1" x14ac:dyDescent="0.45">
      <c r="A505" s="4">
        <v>43362</v>
      </c>
      <c r="B505" s="3">
        <v>165.99</v>
      </c>
      <c r="C505" s="3">
        <v>235.94</v>
      </c>
      <c r="D505" s="3">
        <v>105.55</v>
      </c>
      <c r="E505" s="3">
        <v>1.1065</v>
      </c>
      <c r="F505" s="3">
        <v>251.3</v>
      </c>
      <c r="G505" s="3">
        <v>245.25</v>
      </c>
      <c r="H505" s="3">
        <v>178.25</v>
      </c>
      <c r="I505" s="3">
        <v>204.32</v>
      </c>
      <c r="J505" s="3">
        <v>112.02</v>
      </c>
      <c r="K505" s="3">
        <v>207.6</v>
      </c>
      <c r="L505" s="3"/>
      <c r="N505" s="4"/>
    </row>
    <row r="506" spans="1:14" ht="17.5" thickBot="1" x14ac:dyDescent="0.45">
      <c r="A506" s="4">
        <v>43363</v>
      </c>
      <c r="B506" s="3">
        <v>166.64</v>
      </c>
      <c r="C506" s="3">
        <v>237.06</v>
      </c>
      <c r="D506" s="3">
        <v>105.64</v>
      </c>
      <c r="E506" s="3">
        <v>1.1116999999999999</v>
      </c>
      <c r="F506" s="3">
        <v>252.74</v>
      </c>
      <c r="G506" s="3">
        <v>247.28</v>
      </c>
      <c r="H506" s="3">
        <v>179.22</v>
      </c>
      <c r="I506" s="3">
        <v>206.08</v>
      </c>
      <c r="J506" s="3">
        <v>112.02</v>
      </c>
      <c r="K506" s="3">
        <v>208.5</v>
      </c>
      <c r="L506" s="3"/>
      <c r="N506" s="4"/>
    </row>
    <row r="507" spans="1:14" ht="17.5" thickBot="1" x14ac:dyDescent="0.45">
      <c r="A507" s="4">
        <v>43364</v>
      </c>
      <c r="B507" s="3">
        <v>169.74</v>
      </c>
      <c r="C507" s="3">
        <v>238.39</v>
      </c>
      <c r="D507" s="3">
        <v>105.36</v>
      </c>
      <c r="E507" s="3">
        <v>1.1111</v>
      </c>
      <c r="F507" s="3">
        <v>254.11</v>
      </c>
      <c r="G507" s="3">
        <v>246.65</v>
      </c>
      <c r="H507" s="3">
        <v>180.18</v>
      </c>
      <c r="I507" s="3">
        <v>205.68</v>
      </c>
      <c r="J507" s="3">
        <v>112.02</v>
      </c>
      <c r="K507" s="3">
        <v>209.1</v>
      </c>
      <c r="L507" s="3"/>
      <c r="N507" s="4"/>
    </row>
    <row r="508" spans="1:14" ht="17.5" thickBot="1" x14ac:dyDescent="0.45">
      <c r="A508" s="4">
        <v>43365</v>
      </c>
      <c r="B508" s="3">
        <v>169.74</v>
      </c>
      <c r="C508" s="3">
        <v>238.39</v>
      </c>
      <c r="D508" s="3">
        <v>105.36</v>
      </c>
      <c r="E508" s="3">
        <v>1.1111</v>
      </c>
      <c r="F508" s="3">
        <v>254.11</v>
      </c>
      <c r="G508" s="3">
        <v>246.65</v>
      </c>
      <c r="H508" s="3">
        <v>180.18</v>
      </c>
      <c r="I508" s="3">
        <v>205.68</v>
      </c>
      <c r="J508" s="3">
        <v>112.02</v>
      </c>
      <c r="K508" s="3">
        <v>209.1</v>
      </c>
      <c r="L508" s="3"/>
      <c r="N508" s="4"/>
    </row>
    <row r="509" spans="1:14" ht="17.5" thickBot="1" x14ac:dyDescent="0.45">
      <c r="A509" s="4">
        <v>43366</v>
      </c>
      <c r="B509" s="3">
        <v>169.74</v>
      </c>
      <c r="C509" s="3">
        <v>238.39</v>
      </c>
      <c r="D509" s="3">
        <v>105.36</v>
      </c>
      <c r="E509" s="3">
        <v>1.1111</v>
      </c>
      <c r="F509" s="3">
        <v>254.11</v>
      </c>
      <c r="G509" s="3">
        <v>246.65</v>
      </c>
      <c r="H509" s="3">
        <v>180.18</v>
      </c>
      <c r="I509" s="3">
        <v>205.68</v>
      </c>
      <c r="J509" s="3">
        <v>112.02</v>
      </c>
      <c r="K509" s="3">
        <v>209.1</v>
      </c>
      <c r="L509" s="3"/>
      <c r="N509" s="4"/>
    </row>
    <row r="510" spans="1:14" ht="17.5" thickBot="1" x14ac:dyDescent="0.45">
      <c r="A510" s="4">
        <v>43367</v>
      </c>
      <c r="B510" s="3">
        <v>166.8</v>
      </c>
      <c r="C510" s="3">
        <v>236.66</v>
      </c>
      <c r="D510" s="3">
        <v>105.36</v>
      </c>
      <c r="E510" s="3">
        <v>1.1086</v>
      </c>
      <c r="F510" s="3">
        <v>252.46</v>
      </c>
      <c r="G510" s="3">
        <v>246.01</v>
      </c>
      <c r="H510" s="3">
        <v>179.09</v>
      </c>
      <c r="I510" s="3">
        <v>204.46</v>
      </c>
      <c r="J510" s="3">
        <v>112.02</v>
      </c>
      <c r="K510" s="3">
        <v>208.21</v>
      </c>
      <c r="L510" s="3"/>
      <c r="N510" s="4"/>
    </row>
    <row r="511" spans="1:14" ht="17.5" thickBot="1" x14ac:dyDescent="0.45">
      <c r="A511" s="4">
        <v>43368</v>
      </c>
      <c r="B511" s="3">
        <v>166.8</v>
      </c>
      <c r="C511" s="3">
        <v>236.66</v>
      </c>
      <c r="D511" s="3">
        <v>105.36</v>
      </c>
      <c r="E511" s="3">
        <v>1.1086</v>
      </c>
      <c r="F511" s="3">
        <v>252.46</v>
      </c>
      <c r="G511" s="3">
        <v>246.01</v>
      </c>
      <c r="H511" s="3">
        <v>179.09</v>
      </c>
      <c r="I511" s="3">
        <v>204.46</v>
      </c>
      <c r="J511" s="3">
        <v>112.02</v>
      </c>
      <c r="K511" s="3">
        <v>208.21</v>
      </c>
      <c r="L511" s="3"/>
      <c r="N511" s="4"/>
    </row>
    <row r="512" spans="1:14" ht="17.5" thickBot="1" x14ac:dyDescent="0.45">
      <c r="A512" s="4">
        <v>43369</v>
      </c>
      <c r="B512" s="3">
        <v>168.86</v>
      </c>
      <c r="C512" s="3">
        <v>237.66</v>
      </c>
      <c r="D512" s="3">
        <v>105.35</v>
      </c>
      <c r="E512" s="3">
        <v>1.1086</v>
      </c>
      <c r="F512" s="3">
        <v>253.75</v>
      </c>
      <c r="G512" s="3">
        <v>245.24</v>
      </c>
      <c r="H512" s="3">
        <v>179.86</v>
      </c>
      <c r="I512" s="3">
        <v>204.1</v>
      </c>
      <c r="J512" s="3">
        <v>112.02</v>
      </c>
      <c r="K512" s="3">
        <v>208.8</v>
      </c>
      <c r="L512" s="3"/>
      <c r="N512" s="4"/>
    </row>
    <row r="513" spans="1:14" ht="17.5" thickBot="1" x14ac:dyDescent="0.45">
      <c r="A513" s="4">
        <v>43370</v>
      </c>
      <c r="B513" s="3">
        <v>168.2</v>
      </c>
      <c r="C513" s="3">
        <v>237.57</v>
      </c>
      <c r="D513" s="3">
        <v>105.44</v>
      </c>
      <c r="E513" s="3">
        <v>1.1089</v>
      </c>
      <c r="F513" s="3">
        <v>253.12</v>
      </c>
      <c r="G513" s="3">
        <v>245.57</v>
      </c>
      <c r="H513" s="3">
        <v>179.49</v>
      </c>
      <c r="I513" s="3">
        <v>205.12</v>
      </c>
      <c r="J513" s="3">
        <v>112.02</v>
      </c>
      <c r="K513" s="3">
        <v>208.44</v>
      </c>
      <c r="L513" s="3"/>
      <c r="N513" s="4"/>
    </row>
    <row r="514" spans="1:14" ht="17.5" thickBot="1" x14ac:dyDescent="0.45">
      <c r="A514" s="4">
        <v>43371</v>
      </c>
      <c r="B514" s="3">
        <v>168.69</v>
      </c>
      <c r="C514" s="3">
        <v>237.67</v>
      </c>
      <c r="D514" s="3">
        <v>105.72</v>
      </c>
      <c r="E514" s="3">
        <v>1.1079000000000001</v>
      </c>
      <c r="F514" s="3">
        <v>253.06</v>
      </c>
      <c r="G514" s="3">
        <v>246.12</v>
      </c>
      <c r="H514" s="3">
        <v>179.37</v>
      </c>
      <c r="I514" s="3">
        <v>204.87</v>
      </c>
      <c r="J514" s="3">
        <v>112.09</v>
      </c>
      <c r="K514" s="3">
        <v>208.33</v>
      </c>
      <c r="L514" s="3"/>
      <c r="N514" s="4"/>
    </row>
    <row r="515" spans="1:14" ht="17.5" thickBot="1" x14ac:dyDescent="0.45">
      <c r="A515" s="4">
        <v>43372</v>
      </c>
      <c r="B515" s="3">
        <v>168.69</v>
      </c>
      <c r="C515" s="3">
        <v>237.67</v>
      </c>
      <c r="D515" s="3">
        <v>105.72</v>
      </c>
      <c r="E515" s="3">
        <v>1.1079000000000001</v>
      </c>
      <c r="F515" s="3">
        <v>253.06</v>
      </c>
      <c r="G515" s="3">
        <v>246.12</v>
      </c>
      <c r="H515" s="3">
        <v>179.37</v>
      </c>
      <c r="I515" s="3">
        <v>204.87</v>
      </c>
      <c r="J515" s="3">
        <v>112.09</v>
      </c>
      <c r="K515" s="3">
        <v>208.33</v>
      </c>
      <c r="L515" s="3"/>
      <c r="N515" s="4"/>
    </row>
    <row r="516" spans="1:14" ht="17.5" thickBot="1" x14ac:dyDescent="0.45">
      <c r="A516" s="4">
        <v>43373</v>
      </c>
      <c r="B516" s="3">
        <v>168.69</v>
      </c>
      <c r="C516" s="3">
        <v>237.67</v>
      </c>
      <c r="D516" s="3">
        <v>105.72</v>
      </c>
      <c r="E516" s="3">
        <v>1.1079000000000001</v>
      </c>
      <c r="F516" s="3">
        <v>253.06</v>
      </c>
      <c r="G516" s="3">
        <v>246.12</v>
      </c>
      <c r="H516" s="3">
        <v>179.37</v>
      </c>
      <c r="I516" s="3">
        <v>204.87</v>
      </c>
      <c r="J516" s="3">
        <v>112.09</v>
      </c>
      <c r="K516" s="3">
        <v>208.33</v>
      </c>
      <c r="L516" s="3"/>
      <c r="N516" s="4"/>
    </row>
    <row r="517" spans="1:14" ht="17.5" thickBot="1" x14ac:dyDescent="0.45">
      <c r="A517" s="4">
        <v>43374</v>
      </c>
      <c r="B517" s="3">
        <v>168.69</v>
      </c>
      <c r="C517" s="3">
        <v>237.67</v>
      </c>
      <c r="D517" s="3">
        <v>105.72</v>
      </c>
      <c r="E517" s="3">
        <v>1.1079000000000001</v>
      </c>
      <c r="F517" s="3">
        <v>253.06</v>
      </c>
      <c r="G517" s="3">
        <v>246.12</v>
      </c>
      <c r="H517" s="3">
        <v>179.37</v>
      </c>
      <c r="I517" s="3">
        <v>204.87</v>
      </c>
      <c r="J517" s="3">
        <v>112.09</v>
      </c>
      <c r="K517" s="3">
        <v>208.33</v>
      </c>
      <c r="L517" s="3"/>
      <c r="N517" s="4"/>
    </row>
    <row r="518" spans="1:14" ht="17.5" thickBot="1" x14ac:dyDescent="0.45">
      <c r="A518" s="4">
        <v>43375</v>
      </c>
      <c r="B518" s="3">
        <v>164.89</v>
      </c>
      <c r="C518" s="3">
        <v>234.48</v>
      </c>
      <c r="D518" s="3">
        <v>105.62</v>
      </c>
      <c r="E518" s="3">
        <v>1.1075999999999999</v>
      </c>
      <c r="F518" s="3">
        <v>250.78</v>
      </c>
      <c r="G518" s="3">
        <v>246.86</v>
      </c>
      <c r="H518" s="3">
        <v>177.8</v>
      </c>
      <c r="I518" s="3">
        <v>206.79</v>
      </c>
      <c r="J518" s="3">
        <v>112.09</v>
      </c>
      <c r="K518" s="3">
        <v>207.01</v>
      </c>
      <c r="L518" s="3"/>
      <c r="N518" s="4"/>
    </row>
    <row r="519" spans="1:14" ht="17.5" thickBot="1" x14ac:dyDescent="0.45">
      <c r="A519" s="4">
        <v>43376</v>
      </c>
      <c r="B519" s="3">
        <v>164.69</v>
      </c>
      <c r="C519" s="3">
        <v>233.54</v>
      </c>
      <c r="D519" s="3">
        <v>105.52</v>
      </c>
      <c r="E519" s="3">
        <v>1.107</v>
      </c>
      <c r="F519" s="3">
        <v>250.56</v>
      </c>
      <c r="G519" s="3">
        <v>247.65</v>
      </c>
      <c r="H519" s="3">
        <v>177.7</v>
      </c>
      <c r="I519" s="3">
        <v>207.56</v>
      </c>
      <c r="J519" s="3">
        <v>112.09</v>
      </c>
      <c r="K519" s="3">
        <v>206.77</v>
      </c>
      <c r="L519" s="3"/>
      <c r="N519" s="4"/>
    </row>
    <row r="520" spans="1:14" ht="17.5" thickBot="1" x14ac:dyDescent="0.45">
      <c r="A520" s="4">
        <v>43377</v>
      </c>
      <c r="B520" s="3">
        <v>162.16</v>
      </c>
      <c r="C520" s="3">
        <v>229.45</v>
      </c>
      <c r="D520" s="3">
        <v>104.79</v>
      </c>
      <c r="E520" s="3">
        <v>1.0994999999999999</v>
      </c>
      <c r="F520" s="3">
        <v>247.71</v>
      </c>
      <c r="G520" s="3">
        <v>245.26</v>
      </c>
      <c r="H520" s="3">
        <v>175.81</v>
      </c>
      <c r="I520" s="3">
        <v>205.76</v>
      </c>
      <c r="J520" s="3">
        <v>112.09</v>
      </c>
      <c r="K520" s="3">
        <v>205.04</v>
      </c>
      <c r="L520" s="3"/>
      <c r="N520" s="4"/>
    </row>
    <row r="521" spans="1:14" ht="17.5" thickBot="1" x14ac:dyDescent="0.45">
      <c r="A521" s="4">
        <v>43378</v>
      </c>
      <c r="B521" s="3">
        <v>161.83000000000001</v>
      </c>
      <c r="C521" s="3">
        <v>227.1</v>
      </c>
      <c r="D521" s="3">
        <v>104.6</v>
      </c>
      <c r="E521" s="3">
        <v>1.0942000000000001</v>
      </c>
      <c r="F521" s="3">
        <v>246.37</v>
      </c>
      <c r="G521" s="3">
        <v>243.75</v>
      </c>
      <c r="H521" s="3">
        <v>174.95</v>
      </c>
      <c r="I521" s="3">
        <v>204.84</v>
      </c>
      <c r="J521" s="3">
        <v>112.09</v>
      </c>
      <c r="K521" s="3">
        <v>204.23</v>
      </c>
      <c r="L521" s="3"/>
      <c r="N521" s="4"/>
    </row>
    <row r="522" spans="1:14" ht="17.5" thickBot="1" x14ac:dyDescent="0.45">
      <c r="A522" s="4">
        <v>43379</v>
      </c>
      <c r="B522" s="3">
        <v>161.83000000000001</v>
      </c>
      <c r="C522" s="3">
        <v>227.1</v>
      </c>
      <c r="D522" s="3">
        <v>104.6</v>
      </c>
      <c r="E522" s="3">
        <v>1.0942000000000001</v>
      </c>
      <c r="F522" s="3">
        <v>246.37</v>
      </c>
      <c r="G522" s="3">
        <v>243.75</v>
      </c>
      <c r="H522" s="3">
        <v>174.95</v>
      </c>
      <c r="I522" s="3">
        <v>204.84</v>
      </c>
      <c r="J522" s="3">
        <v>112.09</v>
      </c>
      <c r="K522" s="3">
        <v>204.23</v>
      </c>
      <c r="L522" s="3"/>
      <c r="N522" s="4"/>
    </row>
    <row r="523" spans="1:14" ht="17.5" thickBot="1" x14ac:dyDescent="0.45">
      <c r="A523" s="4">
        <v>43380</v>
      </c>
      <c r="B523" s="3">
        <v>161.83000000000001</v>
      </c>
      <c r="C523" s="3">
        <v>227.1</v>
      </c>
      <c r="D523" s="3">
        <v>104.6</v>
      </c>
      <c r="E523" s="3">
        <v>1.0942000000000001</v>
      </c>
      <c r="F523" s="3">
        <v>246.37</v>
      </c>
      <c r="G523" s="3">
        <v>243.75</v>
      </c>
      <c r="H523" s="3">
        <v>174.95</v>
      </c>
      <c r="I523" s="3">
        <v>204.84</v>
      </c>
      <c r="J523" s="3">
        <v>112.09</v>
      </c>
      <c r="K523" s="3">
        <v>204.23</v>
      </c>
      <c r="L523" s="3"/>
      <c r="N523" s="4"/>
    </row>
    <row r="524" spans="1:14" ht="17.5" thickBot="1" x14ac:dyDescent="0.45">
      <c r="A524" s="4">
        <v>43381</v>
      </c>
      <c r="B524" s="3">
        <v>159.88</v>
      </c>
      <c r="C524" s="3">
        <v>224.78</v>
      </c>
      <c r="D524" s="3">
        <v>104.32</v>
      </c>
      <c r="E524" s="3">
        <v>1.091</v>
      </c>
      <c r="F524" s="3">
        <v>244.25</v>
      </c>
      <c r="G524" s="3">
        <v>243.4</v>
      </c>
      <c r="H524" s="3">
        <v>173.51</v>
      </c>
      <c r="I524" s="3">
        <v>206.38</v>
      </c>
      <c r="J524" s="3">
        <v>112.09</v>
      </c>
      <c r="K524" s="3">
        <v>203.01</v>
      </c>
      <c r="L524" s="3"/>
      <c r="N524" s="4"/>
    </row>
    <row r="525" spans="1:14" ht="17.5" thickBot="1" x14ac:dyDescent="0.45">
      <c r="A525" s="4">
        <v>43382</v>
      </c>
      <c r="B525" s="3">
        <v>159.62</v>
      </c>
      <c r="C525" s="3">
        <v>223.84</v>
      </c>
      <c r="D525" s="3">
        <v>104.31</v>
      </c>
      <c r="E525" s="3">
        <v>1.0900000000000001</v>
      </c>
      <c r="F525" s="3">
        <v>243.62</v>
      </c>
      <c r="G525" s="3">
        <v>242.87</v>
      </c>
      <c r="H525" s="3">
        <v>173.19</v>
      </c>
      <c r="I525" s="3">
        <v>206.61</v>
      </c>
      <c r="J525" s="3">
        <v>112.09</v>
      </c>
      <c r="K525" s="3">
        <v>202.77</v>
      </c>
      <c r="L525" s="3"/>
      <c r="N525" s="4"/>
    </row>
    <row r="526" spans="1:14" ht="17.5" thickBot="1" x14ac:dyDescent="0.45">
      <c r="A526" s="4">
        <v>43383</v>
      </c>
      <c r="B526" s="3">
        <v>159.94</v>
      </c>
      <c r="C526" s="3">
        <v>225.06</v>
      </c>
      <c r="D526" s="3">
        <v>104.5</v>
      </c>
      <c r="E526" s="3">
        <v>1.0764</v>
      </c>
      <c r="F526" s="3">
        <v>240.4</v>
      </c>
      <c r="G526" s="3">
        <v>234.91</v>
      </c>
      <c r="H526" s="3">
        <v>171.41</v>
      </c>
      <c r="I526" s="3">
        <v>199.93</v>
      </c>
      <c r="J526" s="3">
        <v>112.09</v>
      </c>
      <c r="K526" s="3">
        <v>201.35</v>
      </c>
      <c r="L526" s="3"/>
      <c r="N526" s="4"/>
    </row>
    <row r="527" spans="1:14" ht="17.5" thickBot="1" x14ac:dyDescent="0.45">
      <c r="A527" s="4">
        <v>43384</v>
      </c>
      <c r="B527" s="3">
        <v>154.16</v>
      </c>
      <c r="C527" s="3">
        <v>216.41</v>
      </c>
      <c r="D527" s="3">
        <v>104.77</v>
      </c>
      <c r="E527" s="3">
        <v>1.0632999999999999</v>
      </c>
      <c r="F527" s="3">
        <v>235.07</v>
      </c>
      <c r="G527" s="3">
        <v>229.96</v>
      </c>
      <c r="H527" s="3">
        <v>168.59</v>
      </c>
      <c r="I527" s="3">
        <v>196.27</v>
      </c>
      <c r="J527" s="3">
        <v>112.09</v>
      </c>
      <c r="K527" s="3">
        <v>199.05</v>
      </c>
      <c r="L527" s="3"/>
      <c r="N527" s="4"/>
    </row>
    <row r="528" spans="1:14" ht="17.5" thickBot="1" x14ac:dyDescent="0.45">
      <c r="A528" s="4">
        <v>43385</v>
      </c>
      <c r="B528" s="3">
        <v>157.27000000000001</v>
      </c>
      <c r="C528" s="3">
        <v>221.39</v>
      </c>
      <c r="D528" s="3">
        <v>104.86</v>
      </c>
      <c r="E528" s="3">
        <v>1.07</v>
      </c>
      <c r="F528" s="3">
        <v>237.97</v>
      </c>
      <c r="G528" s="3">
        <v>233.33</v>
      </c>
      <c r="H528" s="3">
        <v>170.27</v>
      </c>
      <c r="I528" s="3">
        <v>199.17</v>
      </c>
      <c r="J528" s="3">
        <v>112.09</v>
      </c>
      <c r="K528" s="3">
        <v>200.51</v>
      </c>
      <c r="L528" s="3"/>
      <c r="N528" s="4"/>
    </row>
    <row r="529" spans="1:14" ht="17.5" thickBot="1" x14ac:dyDescent="0.45">
      <c r="A529" s="4">
        <v>43386</v>
      </c>
      <c r="B529" s="3">
        <v>157.27000000000001</v>
      </c>
      <c r="C529" s="3">
        <v>221.39</v>
      </c>
      <c r="D529" s="3">
        <v>104.86</v>
      </c>
      <c r="E529" s="3">
        <v>1.07</v>
      </c>
      <c r="F529" s="3">
        <v>237.97</v>
      </c>
      <c r="G529" s="3">
        <v>233.33</v>
      </c>
      <c r="H529" s="3">
        <v>170.27</v>
      </c>
      <c r="I529" s="3">
        <v>199.17</v>
      </c>
      <c r="J529" s="3">
        <v>112.09</v>
      </c>
      <c r="K529" s="3">
        <v>200.51</v>
      </c>
      <c r="L529" s="3"/>
      <c r="N529" s="4"/>
    </row>
    <row r="530" spans="1:14" ht="17.5" thickBot="1" x14ac:dyDescent="0.45">
      <c r="A530" s="4">
        <v>43387</v>
      </c>
      <c r="B530" s="3">
        <v>157.27000000000001</v>
      </c>
      <c r="C530" s="3">
        <v>221.39</v>
      </c>
      <c r="D530" s="3">
        <v>104.86</v>
      </c>
      <c r="E530" s="3">
        <v>1.07</v>
      </c>
      <c r="F530" s="3">
        <v>237.97</v>
      </c>
      <c r="G530" s="3">
        <v>233.33</v>
      </c>
      <c r="H530" s="3">
        <v>170.27</v>
      </c>
      <c r="I530" s="3">
        <v>199.17</v>
      </c>
      <c r="J530" s="3">
        <v>112.09</v>
      </c>
      <c r="K530" s="3">
        <v>200.51</v>
      </c>
      <c r="L530" s="3"/>
      <c r="N530" s="4"/>
    </row>
    <row r="531" spans="1:14" ht="17.5" thickBot="1" x14ac:dyDescent="0.45">
      <c r="A531" s="4">
        <v>43388</v>
      </c>
      <c r="B531" s="3">
        <v>155.26</v>
      </c>
      <c r="C531" s="3">
        <v>220.24</v>
      </c>
      <c r="D531" s="3">
        <v>105.13</v>
      </c>
      <c r="E531" s="3">
        <v>1.0669999999999999</v>
      </c>
      <c r="F531" s="3">
        <v>236.13</v>
      </c>
      <c r="G531" s="3">
        <v>231.91</v>
      </c>
      <c r="H531" s="3">
        <v>169.23</v>
      </c>
      <c r="I531" s="3">
        <v>198.19</v>
      </c>
      <c r="J531" s="3">
        <v>112.09</v>
      </c>
      <c r="K531" s="3">
        <v>199.65</v>
      </c>
      <c r="L531" s="3"/>
      <c r="N531" s="4"/>
    </row>
    <row r="532" spans="1:14" ht="17.5" thickBot="1" x14ac:dyDescent="0.45">
      <c r="A532" s="4">
        <v>43389</v>
      </c>
      <c r="B532" s="3">
        <v>155.55000000000001</v>
      </c>
      <c r="C532" s="3">
        <v>221.65</v>
      </c>
      <c r="D532" s="3">
        <v>105.13</v>
      </c>
      <c r="E532" s="3">
        <v>1.0780000000000001</v>
      </c>
      <c r="F532" s="3">
        <v>238.02</v>
      </c>
      <c r="G532" s="3">
        <v>236.86</v>
      </c>
      <c r="H532" s="3">
        <v>170.25</v>
      </c>
      <c r="I532" s="3">
        <v>202.73</v>
      </c>
      <c r="J532" s="3">
        <v>112.09</v>
      </c>
      <c r="K532" s="3">
        <v>200.54</v>
      </c>
      <c r="L532" s="3"/>
      <c r="N532" s="4"/>
    </row>
    <row r="533" spans="1:14" ht="17.5" thickBot="1" x14ac:dyDescent="0.45">
      <c r="A533" s="4">
        <v>43390</v>
      </c>
      <c r="B533" s="3">
        <v>155.55000000000001</v>
      </c>
      <c r="C533" s="3">
        <v>221.65</v>
      </c>
      <c r="D533" s="3">
        <v>105.13</v>
      </c>
      <c r="E533" s="3">
        <v>1.0780000000000001</v>
      </c>
      <c r="F533" s="3">
        <v>238.02</v>
      </c>
      <c r="G533" s="3">
        <v>236.86</v>
      </c>
      <c r="H533" s="3">
        <v>170.25</v>
      </c>
      <c r="I533" s="3">
        <v>202.73</v>
      </c>
      <c r="J533" s="3">
        <v>112.09</v>
      </c>
      <c r="K533" s="3">
        <v>200.54</v>
      </c>
      <c r="L533" s="3"/>
      <c r="N533" s="4"/>
    </row>
    <row r="534" spans="1:14" ht="17.5" thickBot="1" x14ac:dyDescent="0.45">
      <c r="A534" s="4">
        <v>43391</v>
      </c>
      <c r="B534" s="3">
        <v>155.22</v>
      </c>
      <c r="C534" s="3">
        <v>221.52</v>
      </c>
      <c r="D534" s="3">
        <v>105.03</v>
      </c>
      <c r="E534" s="3">
        <v>1.0699000000000001</v>
      </c>
      <c r="F534" s="3">
        <v>236.53</v>
      </c>
      <c r="G534" s="3">
        <v>233.15</v>
      </c>
      <c r="H534" s="3">
        <v>169.27</v>
      </c>
      <c r="I534" s="3">
        <v>199.16</v>
      </c>
      <c r="J534" s="3">
        <v>112.09</v>
      </c>
      <c r="K534" s="3">
        <v>199.56</v>
      </c>
      <c r="L534" s="3"/>
      <c r="N534" s="4"/>
    </row>
    <row r="535" spans="1:14" ht="17.5" thickBot="1" x14ac:dyDescent="0.45">
      <c r="A535" s="4">
        <v>43392</v>
      </c>
      <c r="B535" s="3">
        <v>156.13999999999999</v>
      </c>
      <c r="C535" s="3">
        <v>221.08</v>
      </c>
      <c r="D535" s="3">
        <v>105.12</v>
      </c>
      <c r="E535" s="3">
        <v>1.0692999999999999</v>
      </c>
      <c r="F535" s="3">
        <v>236.48</v>
      </c>
      <c r="G535" s="3">
        <v>232.37</v>
      </c>
      <c r="H535" s="3">
        <v>169.3</v>
      </c>
      <c r="I535" s="3">
        <v>199.16</v>
      </c>
      <c r="J535" s="3">
        <v>112.09</v>
      </c>
      <c r="K535" s="3">
        <v>199.56</v>
      </c>
      <c r="L535" s="3"/>
      <c r="N535" s="4"/>
    </row>
    <row r="536" spans="1:14" ht="17.5" thickBot="1" x14ac:dyDescent="0.45">
      <c r="A536" s="4">
        <v>43393</v>
      </c>
      <c r="B536" s="3">
        <v>156.13999999999999</v>
      </c>
      <c r="C536" s="3">
        <v>221.08</v>
      </c>
      <c r="D536" s="3">
        <v>105.12</v>
      </c>
      <c r="E536" s="3">
        <v>1.0692999999999999</v>
      </c>
      <c r="F536" s="3">
        <v>236.48</v>
      </c>
      <c r="G536" s="3">
        <v>232.37</v>
      </c>
      <c r="H536" s="3">
        <v>169.3</v>
      </c>
      <c r="I536" s="3">
        <v>199.16</v>
      </c>
      <c r="J536" s="3">
        <v>112.09</v>
      </c>
      <c r="K536" s="3">
        <v>199.56</v>
      </c>
      <c r="L536" s="3"/>
      <c r="N536" s="4"/>
    </row>
    <row r="537" spans="1:14" ht="17.5" thickBot="1" x14ac:dyDescent="0.45">
      <c r="A537" s="4">
        <v>43394</v>
      </c>
      <c r="B537" s="3">
        <v>156.13999999999999</v>
      </c>
      <c r="C537" s="3">
        <v>221.08</v>
      </c>
      <c r="D537" s="3">
        <v>105.12</v>
      </c>
      <c r="E537" s="3">
        <v>1.0692999999999999</v>
      </c>
      <c r="F537" s="3">
        <v>236.48</v>
      </c>
      <c r="G537" s="3">
        <v>232.37</v>
      </c>
      <c r="H537" s="3">
        <v>169.3</v>
      </c>
      <c r="I537" s="3">
        <v>199.16</v>
      </c>
      <c r="J537" s="3">
        <v>112.09</v>
      </c>
      <c r="K537" s="3">
        <v>199.56</v>
      </c>
      <c r="L537" s="3"/>
      <c r="N537" s="4"/>
    </row>
    <row r="538" spans="1:14" ht="17.5" thickBot="1" x14ac:dyDescent="0.45">
      <c r="A538" s="4">
        <v>43395</v>
      </c>
      <c r="B538" s="3">
        <v>159.77000000000001</v>
      </c>
      <c r="C538" s="3">
        <v>220.23</v>
      </c>
      <c r="D538" s="3">
        <v>104.93</v>
      </c>
      <c r="E538" s="3">
        <v>1.0679000000000001</v>
      </c>
      <c r="F538" s="3">
        <v>237.66</v>
      </c>
      <c r="G538" s="3">
        <v>231.56</v>
      </c>
      <c r="H538" s="3">
        <v>170.07</v>
      </c>
      <c r="I538" s="3">
        <v>198.9</v>
      </c>
      <c r="J538" s="3">
        <v>112.09</v>
      </c>
      <c r="K538" s="3">
        <v>200.18</v>
      </c>
      <c r="L538" s="3"/>
      <c r="N538" s="4"/>
    </row>
    <row r="539" spans="1:14" ht="17.5" thickBot="1" x14ac:dyDescent="0.45">
      <c r="A539" s="4">
        <v>43396</v>
      </c>
      <c r="B539" s="3">
        <v>155.33000000000001</v>
      </c>
      <c r="C539" s="3">
        <v>215.87</v>
      </c>
      <c r="D539" s="3">
        <v>104.84</v>
      </c>
      <c r="E539" s="3">
        <v>1.0610999999999999</v>
      </c>
      <c r="F539" s="3">
        <v>233.41</v>
      </c>
      <c r="G539" s="3">
        <v>230.11</v>
      </c>
      <c r="H539" s="3">
        <v>167.64</v>
      </c>
      <c r="I539" s="3">
        <v>197.53</v>
      </c>
      <c r="J539" s="3">
        <v>112.09</v>
      </c>
      <c r="K539" s="3">
        <v>198.17</v>
      </c>
      <c r="L539" s="3"/>
      <c r="N539" s="4"/>
    </row>
    <row r="540" spans="1:14" ht="17.5" thickBot="1" x14ac:dyDescent="0.45">
      <c r="A540" s="4">
        <v>43397</v>
      </c>
      <c r="B540" s="3">
        <v>155</v>
      </c>
      <c r="C540" s="3">
        <v>215.99</v>
      </c>
      <c r="D540" s="3">
        <v>105.02</v>
      </c>
      <c r="E540" s="3">
        <v>1.0487</v>
      </c>
      <c r="F540" s="3">
        <v>230.91</v>
      </c>
      <c r="G540" s="3">
        <v>223.09</v>
      </c>
      <c r="H540" s="3">
        <v>166.32</v>
      </c>
      <c r="I540" s="3">
        <v>191.33</v>
      </c>
      <c r="J540" s="3">
        <v>112.09</v>
      </c>
      <c r="K540" s="3">
        <v>197.03</v>
      </c>
      <c r="L540" s="3"/>
      <c r="N540" s="4"/>
    </row>
    <row r="541" spans="1:14" ht="17.5" thickBot="1" x14ac:dyDescent="0.45">
      <c r="A541" s="4">
        <v>43398</v>
      </c>
      <c r="B541" s="3">
        <v>153.66999999999999</v>
      </c>
      <c r="C541" s="3">
        <v>211.2</v>
      </c>
      <c r="D541" s="3">
        <v>105.02</v>
      </c>
      <c r="E541" s="3">
        <v>1.0529999999999999</v>
      </c>
      <c r="F541" s="3">
        <v>230.01</v>
      </c>
      <c r="G541" s="3">
        <v>227.65</v>
      </c>
      <c r="H541" s="3">
        <v>165.77</v>
      </c>
      <c r="I541" s="3">
        <v>195.03</v>
      </c>
      <c r="J541" s="3">
        <v>112.09</v>
      </c>
      <c r="K541" s="3">
        <v>196.51</v>
      </c>
      <c r="L541" s="3"/>
      <c r="N541" s="4"/>
    </row>
    <row r="542" spans="1:14" ht="17.5" thickBot="1" x14ac:dyDescent="0.45">
      <c r="A542" s="4">
        <v>43399</v>
      </c>
      <c r="B542" s="3">
        <v>151.62</v>
      </c>
      <c r="C542" s="3">
        <v>209.99</v>
      </c>
      <c r="D542" s="3">
        <v>105.02</v>
      </c>
      <c r="E542" s="3">
        <v>1.0468</v>
      </c>
      <c r="F542" s="3">
        <v>227.93</v>
      </c>
      <c r="G542" s="3">
        <v>223.97</v>
      </c>
      <c r="H542" s="3">
        <v>164.7</v>
      </c>
      <c r="I542" s="3">
        <v>192.94</v>
      </c>
      <c r="J542" s="3">
        <v>112.1</v>
      </c>
      <c r="K542" s="3">
        <v>195.72</v>
      </c>
      <c r="L542" s="3"/>
      <c r="N542" s="4"/>
    </row>
    <row r="543" spans="1:14" ht="17.5" thickBot="1" x14ac:dyDescent="0.45">
      <c r="A543" s="4">
        <v>43400</v>
      </c>
      <c r="B543" s="3">
        <v>151.62</v>
      </c>
      <c r="C543" s="3">
        <v>209.99</v>
      </c>
      <c r="D543" s="3">
        <v>105.02</v>
      </c>
      <c r="E543" s="3">
        <v>1.0468</v>
      </c>
      <c r="F543" s="3">
        <v>227.93</v>
      </c>
      <c r="G543" s="3">
        <v>223.97</v>
      </c>
      <c r="H543" s="3">
        <v>164.7</v>
      </c>
      <c r="I543" s="3">
        <v>192.94</v>
      </c>
      <c r="J543" s="3">
        <v>112.1</v>
      </c>
      <c r="K543" s="3">
        <v>195.72</v>
      </c>
      <c r="L543" s="3"/>
      <c r="N543" s="4"/>
    </row>
    <row r="544" spans="1:14" ht="17.5" thickBot="1" x14ac:dyDescent="0.45">
      <c r="A544" s="4">
        <v>43401</v>
      </c>
      <c r="B544" s="3">
        <v>151.62</v>
      </c>
      <c r="C544" s="3">
        <v>209.99</v>
      </c>
      <c r="D544" s="3">
        <v>105.02</v>
      </c>
      <c r="E544" s="3">
        <v>1.0468</v>
      </c>
      <c r="F544" s="3">
        <v>227.93</v>
      </c>
      <c r="G544" s="3">
        <v>223.97</v>
      </c>
      <c r="H544" s="3">
        <v>164.7</v>
      </c>
      <c r="I544" s="3">
        <v>192.94</v>
      </c>
      <c r="J544" s="3">
        <v>112.1</v>
      </c>
      <c r="K544" s="3">
        <v>195.72</v>
      </c>
      <c r="L544" s="3"/>
      <c r="N544" s="4"/>
    </row>
    <row r="545" spans="1:14" ht="17.5" thickBot="1" x14ac:dyDescent="0.45">
      <c r="A545" s="4">
        <v>43402</v>
      </c>
      <c r="B545" s="3">
        <v>152.24</v>
      </c>
      <c r="C545" s="3">
        <v>211.31</v>
      </c>
      <c r="D545" s="3">
        <v>105.2</v>
      </c>
      <c r="E545" s="3">
        <v>1.0451999999999999</v>
      </c>
      <c r="F545" s="3">
        <v>227.82</v>
      </c>
      <c r="G545" s="3">
        <v>222.76</v>
      </c>
      <c r="H545" s="3">
        <v>164.64</v>
      </c>
      <c r="I545" s="3">
        <v>190.29</v>
      </c>
      <c r="J545" s="3">
        <v>112.1</v>
      </c>
      <c r="K545" s="3">
        <v>195.64</v>
      </c>
      <c r="L545" s="3"/>
      <c r="N545" s="4"/>
    </row>
    <row r="546" spans="1:14" ht="17.5" thickBot="1" x14ac:dyDescent="0.45">
      <c r="A546" s="4">
        <v>43403</v>
      </c>
      <c r="B546" s="3">
        <v>151.28</v>
      </c>
      <c r="C546" s="3">
        <v>212.33</v>
      </c>
      <c r="D546" s="3">
        <v>105.19</v>
      </c>
      <c r="E546" s="3">
        <v>1.0506</v>
      </c>
      <c r="F546" s="3">
        <v>228.35</v>
      </c>
      <c r="G546" s="3">
        <v>226.31</v>
      </c>
      <c r="H546" s="3">
        <v>164.74</v>
      </c>
      <c r="I546" s="3">
        <v>193.88</v>
      </c>
      <c r="J546" s="3">
        <v>112.1</v>
      </c>
      <c r="K546" s="3">
        <v>195.62</v>
      </c>
      <c r="L546" s="3"/>
      <c r="N546" s="4"/>
    </row>
    <row r="547" spans="1:14" ht="17.5" thickBot="1" x14ac:dyDescent="0.45">
      <c r="A547" s="4">
        <v>43404</v>
      </c>
      <c r="B547" s="3">
        <v>152.74</v>
      </c>
      <c r="C547" s="3">
        <v>215.01</v>
      </c>
      <c r="D547" s="3">
        <v>104.92</v>
      </c>
      <c r="E547" s="3">
        <v>1.0581</v>
      </c>
      <c r="F547" s="3">
        <v>231.74</v>
      </c>
      <c r="G547" s="3">
        <v>228.51</v>
      </c>
      <c r="H547" s="3">
        <v>166.66</v>
      </c>
      <c r="I547" s="3">
        <v>195.55</v>
      </c>
      <c r="J547" s="3">
        <v>112.23</v>
      </c>
      <c r="K547" s="3">
        <v>197.14</v>
      </c>
      <c r="L547" s="3"/>
      <c r="N547" s="4"/>
    </row>
    <row r="548" spans="1:14" ht="17.5" thickBot="1" x14ac:dyDescent="0.45">
      <c r="A548" s="4">
        <v>43405</v>
      </c>
      <c r="B548" s="3">
        <v>155.28</v>
      </c>
      <c r="C548" s="3">
        <v>217.03</v>
      </c>
      <c r="D548" s="3">
        <v>105.28</v>
      </c>
      <c r="E548" s="3">
        <v>1.0640000000000001</v>
      </c>
      <c r="F548" s="3">
        <v>234.06</v>
      </c>
      <c r="G548" s="3">
        <v>231.01</v>
      </c>
      <c r="H548" s="3">
        <v>168.1</v>
      </c>
      <c r="I548" s="3">
        <v>198.18</v>
      </c>
      <c r="J548" s="3">
        <v>112.23</v>
      </c>
      <c r="K548" s="3">
        <v>198.48</v>
      </c>
      <c r="L548" s="3"/>
      <c r="N548" s="4"/>
    </row>
    <row r="549" spans="1:14" ht="17.5" thickBot="1" x14ac:dyDescent="0.45">
      <c r="A549" s="4">
        <v>43406</v>
      </c>
      <c r="B549" s="3">
        <v>161.69</v>
      </c>
      <c r="C549" s="3">
        <v>222.44</v>
      </c>
      <c r="D549" s="3">
        <v>105.37</v>
      </c>
      <c r="E549" s="3">
        <v>1.0629999999999999</v>
      </c>
      <c r="F549" s="3">
        <v>237.62</v>
      </c>
      <c r="G549" s="3">
        <v>228.68</v>
      </c>
      <c r="H549" s="3">
        <v>170.22</v>
      </c>
      <c r="I549" s="3">
        <v>197.54</v>
      </c>
      <c r="J549" s="3">
        <v>112.23</v>
      </c>
      <c r="K549" s="3">
        <v>200.1</v>
      </c>
      <c r="L549" s="3"/>
      <c r="N549" s="4"/>
    </row>
    <row r="550" spans="1:14" ht="17.5" thickBot="1" x14ac:dyDescent="0.45">
      <c r="A550" s="4">
        <v>43407</v>
      </c>
      <c r="B550" s="3">
        <v>161.69</v>
      </c>
      <c r="C550" s="3">
        <v>222.44</v>
      </c>
      <c r="D550" s="3">
        <v>105.37</v>
      </c>
      <c r="E550" s="3">
        <v>1.0629999999999999</v>
      </c>
      <c r="F550" s="3">
        <v>237.62</v>
      </c>
      <c r="G550" s="3">
        <v>228.68</v>
      </c>
      <c r="H550" s="3">
        <v>170.22</v>
      </c>
      <c r="I550" s="3">
        <v>197.54</v>
      </c>
      <c r="J550" s="3">
        <v>112.23</v>
      </c>
      <c r="K550" s="3">
        <v>200.1</v>
      </c>
      <c r="L550" s="3"/>
      <c r="N550" s="4"/>
    </row>
    <row r="551" spans="1:14" ht="17.5" thickBot="1" x14ac:dyDescent="0.45">
      <c r="A551" s="4">
        <v>43408</v>
      </c>
      <c r="B551" s="3">
        <v>161.69</v>
      </c>
      <c r="C551" s="3">
        <v>222.44</v>
      </c>
      <c r="D551" s="3">
        <v>105.37</v>
      </c>
      <c r="E551" s="3">
        <v>1.0629999999999999</v>
      </c>
      <c r="F551" s="3">
        <v>237.62</v>
      </c>
      <c r="G551" s="3">
        <v>228.68</v>
      </c>
      <c r="H551" s="3">
        <v>170.22</v>
      </c>
      <c r="I551" s="3">
        <v>197.54</v>
      </c>
      <c r="J551" s="3">
        <v>112.23</v>
      </c>
      <c r="K551" s="3">
        <v>200.1</v>
      </c>
      <c r="L551" s="3"/>
      <c r="N551" s="4"/>
    </row>
    <row r="552" spans="1:14" ht="17.5" thickBot="1" x14ac:dyDescent="0.45">
      <c r="A552" s="4">
        <v>43409</v>
      </c>
      <c r="B552" s="3">
        <v>158.63999999999999</v>
      </c>
      <c r="C552" s="3">
        <v>220.2</v>
      </c>
      <c r="D552" s="3">
        <v>105.37</v>
      </c>
      <c r="E552" s="3">
        <v>1.0645</v>
      </c>
      <c r="F552" s="3">
        <v>235.88</v>
      </c>
      <c r="G552" s="3">
        <v>229.94</v>
      </c>
      <c r="H552" s="3">
        <v>169.23</v>
      </c>
      <c r="I552" s="3">
        <v>198.65</v>
      </c>
      <c r="J552" s="3">
        <v>112.23</v>
      </c>
      <c r="K552" s="3">
        <v>199.36</v>
      </c>
      <c r="L552" s="3"/>
      <c r="N552" s="4"/>
    </row>
    <row r="553" spans="1:14" ht="17.5" thickBot="1" x14ac:dyDescent="0.45">
      <c r="A553" s="4">
        <v>43410</v>
      </c>
      <c r="B553" s="3">
        <v>159.88999999999999</v>
      </c>
      <c r="C553" s="3">
        <v>221.12</v>
      </c>
      <c r="D553" s="3">
        <v>105.46</v>
      </c>
      <c r="E553" s="3">
        <v>1.0667</v>
      </c>
      <c r="F553" s="3">
        <v>236.92</v>
      </c>
      <c r="G553" s="3">
        <v>231.38</v>
      </c>
      <c r="H553" s="3">
        <v>169.75</v>
      </c>
      <c r="I553" s="3">
        <v>199.06</v>
      </c>
      <c r="J553" s="3">
        <v>112.23</v>
      </c>
      <c r="K553" s="3">
        <v>199.78</v>
      </c>
      <c r="L553" s="3"/>
      <c r="N553" s="4"/>
    </row>
    <row r="554" spans="1:14" ht="17.5" thickBot="1" x14ac:dyDescent="0.45">
      <c r="A554" s="4">
        <v>43411</v>
      </c>
      <c r="B554" s="3">
        <v>160.15</v>
      </c>
      <c r="C554" s="3">
        <v>222.31</v>
      </c>
      <c r="D554" s="3">
        <v>105.73</v>
      </c>
      <c r="E554" s="3">
        <v>1.0763</v>
      </c>
      <c r="F554" s="3">
        <v>238.93</v>
      </c>
      <c r="G554" s="3">
        <v>236.02</v>
      </c>
      <c r="H554" s="3">
        <v>170.94</v>
      </c>
      <c r="I554" s="3">
        <v>202.37</v>
      </c>
      <c r="J554" s="3">
        <v>112.23</v>
      </c>
      <c r="K554" s="3">
        <v>200.9</v>
      </c>
      <c r="L554" s="3"/>
      <c r="N554" s="4"/>
    </row>
    <row r="555" spans="1:14" ht="17.5" thickBot="1" x14ac:dyDescent="0.45">
      <c r="A555" s="4">
        <v>43412</v>
      </c>
      <c r="B555" s="3">
        <v>160.78</v>
      </c>
      <c r="C555" s="3">
        <v>223.61</v>
      </c>
      <c r="D555" s="3">
        <v>105.73</v>
      </c>
      <c r="E555" s="3">
        <v>1.0752999999999999</v>
      </c>
      <c r="F555" s="3">
        <v>239.54</v>
      </c>
      <c r="G555" s="3">
        <v>235.43</v>
      </c>
      <c r="H555" s="3">
        <v>171.18</v>
      </c>
      <c r="I555" s="3">
        <v>200.46</v>
      </c>
      <c r="J555" s="3">
        <v>112.23</v>
      </c>
      <c r="K555" s="3">
        <v>200.98</v>
      </c>
      <c r="L555" s="3"/>
      <c r="N555" s="4"/>
    </row>
    <row r="556" spans="1:14" ht="17.5" thickBot="1" x14ac:dyDescent="0.45">
      <c r="A556" s="4">
        <v>43413</v>
      </c>
      <c r="B556" s="3">
        <v>157.02000000000001</v>
      </c>
      <c r="C556" s="3">
        <v>221.89</v>
      </c>
      <c r="D556" s="3">
        <v>105.45</v>
      </c>
      <c r="E556" s="3">
        <v>1.0703</v>
      </c>
      <c r="F556" s="3">
        <v>236.64</v>
      </c>
      <c r="G556" s="3">
        <v>233.54</v>
      </c>
      <c r="H556" s="3">
        <v>169.46</v>
      </c>
      <c r="I556" s="3">
        <v>198.92</v>
      </c>
      <c r="J556" s="3">
        <v>112.23</v>
      </c>
      <c r="K556" s="3">
        <v>199.51</v>
      </c>
      <c r="L556" s="3"/>
      <c r="N556" s="4"/>
    </row>
    <row r="557" spans="1:14" ht="17.5" thickBot="1" x14ac:dyDescent="0.45">
      <c r="A557" s="4">
        <v>43414</v>
      </c>
      <c r="B557" s="3">
        <v>157.02000000000001</v>
      </c>
      <c r="C557" s="3">
        <v>221.89</v>
      </c>
      <c r="D557" s="3">
        <v>105.45</v>
      </c>
      <c r="E557" s="3">
        <v>1.0703</v>
      </c>
      <c r="F557" s="3">
        <v>236.64</v>
      </c>
      <c r="G557" s="3">
        <v>233.54</v>
      </c>
      <c r="H557" s="3">
        <v>169.46</v>
      </c>
      <c r="I557" s="3">
        <v>198.92</v>
      </c>
      <c r="J557" s="3">
        <v>112.23</v>
      </c>
      <c r="K557" s="3">
        <v>199.51</v>
      </c>
      <c r="L557" s="3"/>
      <c r="N557" s="4"/>
    </row>
    <row r="558" spans="1:14" ht="17.5" thickBot="1" x14ac:dyDescent="0.45">
      <c r="A558" s="4">
        <v>43415</v>
      </c>
      <c r="B558" s="3">
        <v>157.02000000000001</v>
      </c>
      <c r="C558" s="3">
        <v>221.89</v>
      </c>
      <c r="D558" s="3">
        <v>105.45</v>
      </c>
      <c r="E558" s="3">
        <v>1.0703</v>
      </c>
      <c r="F558" s="3">
        <v>236.64</v>
      </c>
      <c r="G558" s="3">
        <v>233.54</v>
      </c>
      <c r="H558" s="3">
        <v>169.46</v>
      </c>
      <c r="I558" s="3">
        <v>198.92</v>
      </c>
      <c r="J558" s="3">
        <v>112.23</v>
      </c>
      <c r="K558" s="3">
        <v>199.51</v>
      </c>
      <c r="L558" s="3"/>
      <c r="N558" s="4"/>
    </row>
    <row r="559" spans="1:14" ht="17.5" thickBot="1" x14ac:dyDescent="0.45">
      <c r="A559" s="4">
        <v>43416</v>
      </c>
      <c r="B559" s="3">
        <v>157.21</v>
      </c>
      <c r="C559" s="3">
        <v>221.15</v>
      </c>
      <c r="D559" s="3">
        <v>105.26</v>
      </c>
      <c r="E559" s="3">
        <v>1.0608</v>
      </c>
      <c r="F559" s="3">
        <v>234.75</v>
      </c>
      <c r="G559" s="3">
        <v>228.86</v>
      </c>
      <c r="H559" s="3">
        <v>168.32</v>
      </c>
      <c r="I559" s="3">
        <v>195.23</v>
      </c>
      <c r="J559" s="3">
        <v>112.23</v>
      </c>
      <c r="K559" s="3">
        <v>198.45</v>
      </c>
      <c r="L559" s="3"/>
      <c r="N559" s="4"/>
    </row>
    <row r="560" spans="1:14" ht="17.5" thickBot="1" x14ac:dyDescent="0.45">
      <c r="A560" s="4">
        <v>43417</v>
      </c>
      <c r="B560" s="3">
        <v>158.19</v>
      </c>
      <c r="C560" s="3">
        <v>219.86</v>
      </c>
      <c r="D560" s="3">
        <v>105.35</v>
      </c>
      <c r="E560" s="3">
        <v>1.0591999999999999</v>
      </c>
      <c r="F560" s="3">
        <v>234.42</v>
      </c>
      <c r="G560" s="3">
        <v>228.11</v>
      </c>
      <c r="H560" s="3">
        <v>168.22</v>
      </c>
      <c r="I560" s="3">
        <v>194.12</v>
      </c>
      <c r="J560" s="3">
        <v>112.23</v>
      </c>
      <c r="K560" s="3">
        <v>198.33</v>
      </c>
      <c r="L560" s="3"/>
      <c r="N560" s="4"/>
    </row>
    <row r="561" spans="1:14" ht="17.5" thickBot="1" x14ac:dyDescent="0.45">
      <c r="A561" s="4">
        <v>43418</v>
      </c>
      <c r="B561" s="3">
        <v>157.27000000000001</v>
      </c>
      <c r="C561" s="3">
        <v>218.35</v>
      </c>
      <c r="D561" s="3">
        <v>105.53</v>
      </c>
      <c r="E561" s="3">
        <v>1.0567</v>
      </c>
      <c r="F561" s="3">
        <v>233.5</v>
      </c>
      <c r="G561" s="3">
        <v>226.03</v>
      </c>
      <c r="H561" s="3">
        <v>167.75</v>
      </c>
      <c r="I561" s="3">
        <v>193.65</v>
      </c>
      <c r="J561" s="3">
        <v>112.23</v>
      </c>
      <c r="K561" s="3">
        <v>197.98</v>
      </c>
      <c r="L561" s="3"/>
      <c r="N561" s="4"/>
    </row>
    <row r="562" spans="1:14" ht="17.5" thickBot="1" x14ac:dyDescent="0.45">
      <c r="A562" s="4">
        <v>43419</v>
      </c>
      <c r="B562" s="3">
        <v>159.79</v>
      </c>
      <c r="C562" s="3">
        <v>220.1</v>
      </c>
      <c r="D562" s="3">
        <v>105.81</v>
      </c>
      <c r="E562" s="3">
        <v>1.0608</v>
      </c>
      <c r="F562" s="3">
        <v>234.97</v>
      </c>
      <c r="G562" s="3">
        <v>228.17</v>
      </c>
      <c r="H562" s="3">
        <v>168.62</v>
      </c>
      <c r="I562" s="3">
        <v>195.83</v>
      </c>
      <c r="J562" s="3">
        <v>112.23</v>
      </c>
      <c r="K562" s="3">
        <v>198.69</v>
      </c>
      <c r="L562" s="3"/>
      <c r="N562" s="4"/>
    </row>
    <row r="563" spans="1:14" ht="17.5" thickBot="1" x14ac:dyDescent="0.45">
      <c r="A563" s="4">
        <v>43420</v>
      </c>
      <c r="B563" s="3">
        <v>159.91999999999999</v>
      </c>
      <c r="C563" s="3">
        <v>220.53</v>
      </c>
      <c r="D563" s="3">
        <v>105.99</v>
      </c>
      <c r="E563" s="3">
        <v>1.0628</v>
      </c>
      <c r="F563" s="3">
        <v>235.2</v>
      </c>
      <c r="G563" s="3">
        <v>228.28</v>
      </c>
      <c r="H563" s="3">
        <v>168.84</v>
      </c>
      <c r="I563" s="3">
        <v>196.94</v>
      </c>
      <c r="J563" s="3">
        <v>112.23</v>
      </c>
      <c r="K563" s="3">
        <v>198.99</v>
      </c>
      <c r="L563" s="3"/>
      <c r="N563" s="4"/>
    </row>
    <row r="564" spans="1:14" ht="17.5" thickBot="1" x14ac:dyDescent="0.45">
      <c r="A564" s="4">
        <v>43421</v>
      </c>
      <c r="B564" s="3">
        <v>159.91999999999999</v>
      </c>
      <c r="C564" s="3">
        <v>220.53</v>
      </c>
      <c r="D564" s="3">
        <v>105.99</v>
      </c>
      <c r="E564" s="3">
        <v>1.0628</v>
      </c>
      <c r="F564" s="3">
        <v>235.2</v>
      </c>
      <c r="G564" s="3">
        <v>228.28</v>
      </c>
      <c r="H564" s="3">
        <v>168.84</v>
      </c>
      <c r="I564" s="3">
        <v>196.94</v>
      </c>
      <c r="J564" s="3">
        <v>112.23</v>
      </c>
      <c r="K564" s="3">
        <v>198.99</v>
      </c>
      <c r="L564" s="3"/>
      <c r="N564" s="4"/>
    </row>
    <row r="565" spans="1:14" ht="17.5" thickBot="1" x14ac:dyDescent="0.45">
      <c r="A565" s="4">
        <v>43422</v>
      </c>
      <c r="B565" s="3">
        <v>159.91999999999999</v>
      </c>
      <c r="C565" s="3">
        <v>220.53</v>
      </c>
      <c r="D565" s="3">
        <v>105.99</v>
      </c>
      <c r="E565" s="3">
        <v>1.0628</v>
      </c>
      <c r="F565" s="3">
        <v>235.2</v>
      </c>
      <c r="G565" s="3">
        <v>228.28</v>
      </c>
      <c r="H565" s="3">
        <v>168.84</v>
      </c>
      <c r="I565" s="3">
        <v>196.94</v>
      </c>
      <c r="J565" s="3">
        <v>112.23</v>
      </c>
      <c r="K565" s="3">
        <v>198.99</v>
      </c>
      <c r="L565" s="3"/>
      <c r="N565" s="4"/>
    </row>
    <row r="566" spans="1:14" ht="17.5" thickBot="1" x14ac:dyDescent="0.45">
      <c r="A566" s="4">
        <v>43423</v>
      </c>
      <c r="B566" s="3">
        <v>160.69999999999999</v>
      </c>
      <c r="C566" s="3">
        <v>220.18</v>
      </c>
      <c r="D566" s="3">
        <v>106.26</v>
      </c>
      <c r="E566" s="3">
        <v>1.0570999999999999</v>
      </c>
      <c r="F566" s="3">
        <v>234.92</v>
      </c>
      <c r="G566" s="3">
        <v>223.85</v>
      </c>
      <c r="H566" s="3">
        <v>168.77</v>
      </c>
      <c r="I566" s="3">
        <v>193.93</v>
      </c>
      <c r="J566" s="3">
        <v>112.23</v>
      </c>
      <c r="K566" s="3">
        <v>198.99</v>
      </c>
      <c r="L566" s="3"/>
      <c r="N566" s="4"/>
    </row>
    <row r="567" spans="1:14" ht="17.5" thickBot="1" x14ac:dyDescent="0.45">
      <c r="A567" s="4">
        <v>43424</v>
      </c>
      <c r="B567" s="3">
        <v>158.38999999999999</v>
      </c>
      <c r="C567" s="3">
        <v>217.97</v>
      </c>
      <c r="D567" s="3">
        <v>106.16</v>
      </c>
      <c r="E567" s="3">
        <v>1.0469999999999999</v>
      </c>
      <c r="F567" s="3">
        <v>231.3</v>
      </c>
      <c r="G567" s="3">
        <v>219.75</v>
      </c>
      <c r="H567" s="3">
        <v>166.54</v>
      </c>
      <c r="I567" s="3">
        <v>189.68</v>
      </c>
      <c r="J567" s="3">
        <v>112.23</v>
      </c>
      <c r="K567" s="3">
        <v>196.99</v>
      </c>
      <c r="L567" s="3"/>
      <c r="N567" s="4"/>
    </row>
    <row r="568" spans="1:14" ht="17.5" thickBot="1" x14ac:dyDescent="0.45">
      <c r="A568" s="4">
        <v>43425</v>
      </c>
      <c r="B568" s="3">
        <v>158.91999999999999</v>
      </c>
      <c r="C568" s="3">
        <v>216.85</v>
      </c>
      <c r="D568" s="3">
        <v>106.16</v>
      </c>
      <c r="E568" s="3">
        <v>1.0494000000000001</v>
      </c>
      <c r="F568" s="3">
        <v>231.84</v>
      </c>
      <c r="G568" s="3">
        <v>220.73</v>
      </c>
      <c r="H568" s="3">
        <v>166.92</v>
      </c>
      <c r="I568" s="3">
        <v>190.83</v>
      </c>
      <c r="J568" s="3">
        <v>112.23</v>
      </c>
      <c r="K568" s="3">
        <v>197.28</v>
      </c>
      <c r="L568" s="3"/>
      <c r="N568" s="4"/>
    </row>
    <row r="569" spans="1:14" ht="17.5" thickBot="1" x14ac:dyDescent="0.45">
      <c r="A569" s="4">
        <v>43426</v>
      </c>
      <c r="B569" s="3">
        <v>158.97999999999999</v>
      </c>
      <c r="C569" s="3">
        <v>217.75</v>
      </c>
      <c r="D569" s="3">
        <v>106.16</v>
      </c>
      <c r="E569" s="3">
        <v>1.0491999999999999</v>
      </c>
      <c r="F569" s="3">
        <v>231.94</v>
      </c>
      <c r="G569" s="3">
        <v>220.65</v>
      </c>
      <c r="H569" s="3">
        <v>166.96</v>
      </c>
      <c r="I569" s="3">
        <v>190.8</v>
      </c>
      <c r="J569" s="3">
        <v>112.23</v>
      </c>
      <c r="K569" s="3">
        <v>197.35</v>
      </c>
      <c r="L569" s="3"/>
      <c r="N569" s="4"/>
    </row>
    <row r="570" spans="1:14" ht="17.5" thickBot="1" x14ac:dyDescent="0.45">
      <c r="A570" s="4">
        <v>43427</v>
      </c>
      <c r="B570" s="3">
        <v>158.59</v>
      </c>
      <c r="C570" s="3">
        <v>217.06</v>
      </c>
      <c r="D570" s="3">
        <v>106.06</v>
      </c>
      <c r="E570" s="3">
        <v>1.0463</v>
      </c>
      <c r="F570" s="3">
        <v>230.85</v>
      </c>
      <c r="G570" s="3">
        <v>218.7</v>
      </c>
      <c r="H570" s="3">
        <v>166.3</v>
      </c>
      <c r="I570" s="3">
        <v>189.07</v>
      </c>
      <c r="J570" s="3">
        <v>112.23</v>
      </c>
      <c r="K570" s="3">
        <v>196.76</v>
      </c>
      <c r="L570" s="3"/>
      <c r="N570" s="4"/>
    </row>
    <row r="571" spans="1:14" ht="17.5" thickBot="1" x14ac:dyDescent="0.45">
      <c r="A571" s="4">
        <v>43428</v>
      </c>
      <c r="B571" s="3">
        <v>158.59</v>
      </c>
      <c r="C571" s="3">
        <v>217.06</v>
      </c>
      <c r="D571" s="3">
        <v>106.06</v>
      </c>
      <c r="E571" s="3">
        <v>1.0463</v>
      </c>
      <c r="F571" s="3">
        <v>230.85</v>
      </c>
      <c r="G571" s="3">
        <v>218.7</v>
      </c>
      <c r="H571" s="3">
        <v>166.3</v>
      </c>
      <c r="I571" s="3">
        <v>189.07</v>
      </c>
      <c r="J571" s="3">
        <v>112.23</v>
      </c>
      <c r="K571" s="3">
        <v>196.76</v>
      </c>
      <c r="L571" s="3"/>
      <c r="N571" s="4"/>
    </row>
    <row r="572" spans="1:14" ht="17.5" thickBot="1" x14ac:dyDescent="0.45">
      <c r="A572" s="4">
        <v>43429</v>
      </c>
      <c r="B572" s="3">
        <v>158.59</v>
      </c>
      <c r="C572" s="3">
        <v>217.06</v>
      </c>
      <c r="D572" s="3">
        <v>106.06</v>
      </c>
      <c r="E572" s="3">
        <v>1.0463</v>
      </c>
      <c r="F572" s="3">
        <v>230.85</v>
      </c>
      <c r="G572" s="3">
        <v>218.7</v>
      </c>
      <c r="H572" s="3">
        <v>166.3</v>
      </c>
      <c r="I572" s="3">
        <v>189.07</v>
      </c>
      <c r="J572" s="3">
        <v>112.23</v>
      </c>
      <c r="K572" s="3">
        <v>196.76</v>
      </c>
      <c r="L572" s="3"/>
      <c r="N572" s="4"/>
    </row>
    <row r="573" spans="1:14" ht="17.5" thickBot="1" x14ac:dyDescent="0.45">
      <c r="A573" s="4">
        <v>43430</v>
      </c>
      <c r="B573" s="3">
        <v>160.85</v>
      </c>
      <c r="C573" s="3">
        <v>217.61</v>
      </c>
      <c r="D573" s="3">
        <v>106.15</v>
      </c>
      <c r="E573" s="3">
        <v>1.0536000000000001</v>
      </c>
      <c r="F573" s="3">
        <v>233.07</v>
      </c>
      <c r="G573" s="3">
        <v>222.13</v>
      </c>
      <c r="H573" s="3">
        <v>167.61</v>
      </c>
      <c r="I573" s="3">
        <v>190.08</v>
      </c>
      <c r="J573" s="3">
        <v>112.23</v>
      </c>
      <c r="K573" s="3">
        <v>197.82</v>
      </c>
      <c r="L573" s="3"/>
      <c r="N573" s="4"/>
    </row>
    <row r="574" spans="1:14" ht="17.5" thickBot="1" x14ac:dyDescent="0.45">
      <c r="A574" s="4">
        <v>43431</v>
      </c>
      <c r="B574" s="3">
        <v>160.32</v>
      </c>
      <c r="C574" s="3">
        <v>218.59</v>
      </c>
      <c r="D574" s="3">
        <v>106.15</v>
      </c>
      <c r="E574" s="3">
        <v>1.0546</v>
      </c>
      <c r="F574" s="3">
        <v>233.11</v>
      </c>
      <c r="G574" s="3">
        <v>222.57</v>
      </c>
      <c r="H574" s="3">
        <v>167.58</v>
      </c>
      <c r="I574" s="3">
        <v>191.67</v>
      </c>
      <c r="J574" s="3">
        <v>112.24</v>
      </c>
      <c r="K574" s="3">
        <v>197.76</v>
      </c>
      <c r="L574" s="3"/>
      <c r="N574" s="4"/>
    </row>
    <row r="575" spans="1:14" ht="17.5" thickBot="1" x14ac:dyDescent="0.45">
      <c r="A575" s="4">
        <v>43432</v>
      </c>
      <c r="B575" s="3">
        <v>162.33000000000001</v>
      </c>
      <c r="C575" s="3">
        <v>219.52</v>
      </c>
      <c r="D575" s="3">
        <v>106.14</v>
      </c>
      <c r="E575" s="3">
        <v>1.0632999999999999</v>
      </c>
      <c r="F575" s="3">
        <v>235.29</v>
      </c>
      <c r="G575" s="3">
        <v>227.95</v>
      </c>
      <c r="H575" s="3">
        <v>168.83</v>
      </c>
      <c r="I575" s="3">
        <v>196.15</v>
      </c>
      <c r="J575" s="3">
        <v>112.24</v>
      </c>
      <c r="K575" s="3">
        <v>198.75</v>
      </c>
      <c r="L575" s="3"/>
      <c r="N575" s="4"/>
    </row>
    <row r="576" spans="1:14" ht="17.5" thickBot="1" x14ac:dyDescent="0.45">
      <c r="A576" s="4">
        <v>43433</v>
      </c>
      <c r="B576" s="3">
        <v>161.53</v>
      </c>
      <c r="C576" s="3">
        <v>222.38</v>
      </c>
      <c r="D576" s="3">
        <v>106.59</v>
      </c>
      <c r="E576" s="3">
        <v>1.0658000000000001</v>
      </c>
      <c r="F576" s="3">
        <v>235.69</v>
      </c>
      <c r="G576" s="3">
        <v>227.37</v>
      </c>
      <c r="H576" s="3">
        <v>169.11</v>
      </c>
      <c r="I576" s="3">
        <v>196</v>
      </c>
      <c r="J576" s="3">
        <v>112.24</v>
      </c>
      <c r="K576" s="3">
        <v>199.17</v>
      </c>
      <c r="L576" s="3"/>
      <c r="N576" s="4"/>
    </row>
    <row r="577" spans="1:14" ht="17.5" thickBot="1" x14ac:dyDescent="0.45">
      <c r="A577" s="4">
        <v>43434</v>
      </c>
      <c r="B577" s="3">
        <v>161.82</v>
      </c>
      <c r="C577" s="3">
        <v>219.97</v>
      </c>
      <c r="D577" s="3">
        <v>106.59</v>
      </c>
      <c r="E577" s="3">
        <v>1.0676000000000001</v>
      </c>
      <c r="F577" s="3">
        <v>235.77</v>
      </c>
      <c r="G577" s="3">
        <v>229.49</v>
      </c>
      <c r="H577" s="3">
        <v>169.15</v>
      </c>
      <c r="I577" s="3">
        <v>197</v>
      </c>
      <c r="J577" s="3">
        <v>112.34</v>
      </c>
      <c r="K577" s="3">
        <v>199.16</v>
      </c>
      <c r="L577" s="3"/>
      <c r="N577" s="4"/>
    </row>
    <row r="578" spans="1:14" ht="17.5" thickBot="1" x14ac:dyDescent="0.45">
      <c r="A578" s="4">
        <v>43435</v>
      </c>
      <c r="B578" s="3">
        <v>161.82</v>
      </c>
      <c r="C578" s="3">
        <v>219.97</v>
      </c>
      <c r="D578" s="3">
        <v>106.59</v>
      </c>
      <c r="E578" s="3">
        <v>1.0676000000000001</v>
      </c>
      <c r="F578" s="3">
        <v>235.77</v>
      </c>
      <c r="G578" s="3">
        <v>229.49</v>
      </c>
      <c r="H578" s="3">
        <v>169.15</v>
      </c>
      <c r="I578" s="3">
        <v>197</v>
      </c>
      <c r="J578" s="3">
        <v>112.34</v>
      </c>
      <c r="K578" s="3">
        <v>199.16</v>
      </c>
      <c r="L578" s="3"/>
      <c r="N578" s="4"/>
    </row>
    <row r="579" spans="1:14" ht="17.5" thickBot="1" x14ac:dyDescent="0.45">
      <c r="A579" s="4">
        <v>43436</v>
      </c>
      <c r="B579" s="3">
        <v>161.82</v>
      </c>
      <c r="C579" s="3">
        <v>219.97</v>
      </c>
      <c r="D579" s="3">
        <v>106.59</v>
      </c>
      <c r="E579" s="3">
        <v>1.0676000000000001</v>
      </c>
      <c r="F579" s="3">
        <v>235.77</v>
      </c>
      <c r="G579" s="3">
        <v>229.49</v>
      </c>
      <c r="H579" s="3">
        <v>169.15</v>
      </c>
      <c r="I579" s="3">
        <v>197</v>
      </c>
      <c r="J579" s="3">
        <v>112.34</v>
      </c>
      <c r="K579" s="3">
        <v>199.16</v>
      </c>
      <c r="L579" s="3"/>
      <c r="N579" s="4"/>
    </row>
    <row r="580" spans="1:14" ht="17.5" thickBot="1" x14ac:dyDescent="0.45">
      <c r="A580" s="4">
        <v>43437</v>
      </c>
      <c r="B580" s="3">
        <v>165.87</v>
      </c>
      <c r="C580" s="3">
        <v>224.81</v>
      </c>
      <c r="D580" s="3">
        <v>106.86</v>
      </c>
      <c r="E580" s="3">
        <v>1.0758000000000001</v>
      </c>
      <c r="F580" s="3">
        <v>239.45</v>
      </c>
      <c r="G580" s="3">
        <v>231.73</v>
      </c>
      <c r="H580" s="3">
        <v>171.25</v>
      </c>
      <c r="I580" s="3">
        <v>199.25</v>
      </c>
      <c r="J580" s="3">
        <v>112.34</v>
      </c>
      <c r="K580" s="3">
        <v>200.95</v>
      </c>
      <c r="L580" s="3"/>
      <c r="N580" s="4"/>
    </row>
    <row r="581" spans="1:14" ht="17.5" thickBot="1" x14ac:dyDescent="0.45">
      <c r="A581" s="4">
        <v>43438</v>
      </c>
      <c r="B581" s="3">
        <v>166.29</v>
      </c>
      <c r="C581" s="3">
        <v>222.84</v>
      </c>
      <c r="D581" s="3">
        <v>107.13</v>
      </c>
      <c r="E581" s="3">
        <v>1.0620000000000001</v>
      </c>
      <c r="F581" s="3">
        <v>236.86</v>
      </c>
      <c r="G581" s="3">
        <v>223.82</v>
      </c>
      <c r="H581" s="3">
        <v>169.87</v>
      </c>
      <c r="I581" s="3">
        <v>193.36</v>
      </c>
      <c r="J581" s="3">
        <v>112.34</v>
      </c>
      <c r="K581" s="3">
        <v>199.86</v>
      </c>
      <c r="L581" s="3"/>
      <c r="N581" s="4"/>
    </row>
    <row r="582" spans="1:14" ht="17.5" thickBot="1" x14ac:dyDescent="0.45">
      <c r="A582" s="4">
        <v>43439</v>
      </c>
      <c r="B582" s="3">
        <v>163.66</v>
      </c>
      <c r="C582" s="3">
        <v>219.31</v>
      </c>
      <c r="D582" s="3">
        <v>107.04</v>
      </c>
      <c r="E582" s="3">
        <v>1.0595000000000001</v>
      </c>
      <c r="F582" s="3">
        <v>234.84</v>
      </c>
      <c r="G582" s="3">
        <v>224.08</v>
      </c>
      <c r="H582" s="3">
        <v>168.74</v>
      </c>
      <c r="I582" s="3">
        <v>193.27</v>
      </c>
      <c r="J582" s="3">
        <v>112.35</v>
      </c>
      <c r="K582" s="3">
        <v>198.91</v>
      </c>
      <c r="L582" s="3"/>
      <c r="N582" s="4"/>
    </row>
    <row r="583" spans="1:14" ht="17.5" thickBot="1" x14ac:dyDescent="0.45">
      <c r="A583" s="4">
        <v>43440</v>
      </c>
      <c r="B583" s="3">
        <v>159.81</v>
      </c>
      <c r="C583" s="3">
        <v>215.16</v>
      </c>
      <c r="D583" s="3">
        <v>107.04</v>
      </c>
      <c r="E583" s="3">
        <v>1.0532999999999999</v>
      </c>
      <c r="F583" s="3">
        <v>231.18</v>
      </c>
      <c r="G583" s="3">
        <v>223.85</v>
      </c>
      <c r="H583" s="3">
        <v>166.76</v>
      </c>
      <c r="I583" s="3">
        <v>192.98</v>
      </c>
      <c r="J583" s="3">
        <v>112.35</v>
      </c>
      <c r="K583" s="3">
        <v>197.38</v>
      </c>
      <c r="L583" s="3"/>
      <c r="N583" s="4"/>
    </row>
    <row r="584" spans="1:14" ht="17.5" thickBot="1" x14ac:dyDescent="0.45">
      <c r="A584" s="4">
        <v>43441</v>
      </c>
      <c r="B584" s="3">
        <v>158.76</v>
      </c>
      <c r="C584" s="3">
        <v>216.03</v>
      </c>
      <c r="D584" s="3">
        <v>107.13</v>
      </c>
      <c r="E584" s="3">
        <v>1.0468999999999999</v>
      </c>
      <c r="F584" s="3">
        <v>230.13</v>
      </c>
      <c r="G584" s="3">
        <v>218.31</v>
      </c>
      <c r="H584" s="3">
        <v>166.19</v>
      </c>
      <c r="I584" s="3">
        <v>188.99</v>
      </c>
      <c r="J584" s="3">
        <v>112.35</v>
      </c>
      <c r="K584" s="3">
        <v>196.91</v>
      </c>
      <c r="L584" s="3"/>
      <c r="N584" s="4"/>
    </row>
    <row r="585" spans="1:14" ht="17.5" thickBot="1" x14ac:dyDescent="0.45">
      <c r="A585" s="4">
        <v>43442</v>
      </c>
      <c r="B585" s="3">
        <v>158.76</v>
      </c>
      <c r="C585" s="3">
        <v>216.03</v>
      </c>
      <c r="D585" s="3">
        <v>107.13</v>
      </c>
      <c r="E585" s="3">
        <v>1.0468999999999999</v>
      </c>
      <c r="F585" s="3">
        <v>230.13</v>
      </c>
      <c r="G585" s="3">
        <v>218.31</v>
      </c>
      <c r="H585" s="3">
        <v>166.19</v>
      </c>
      <c r="I585" s="3">
        <v>188.99</v>
      </c>
      <c r="J585" s="3">
        <v>112.35</v>
      </c>
      <c r="K585" s="3">
        <v>196.91</v>
      </c>
      <c r="L585" s="3"/>
      <c r="N585" s="4"/>
    </row>
    <row r="586" spans="1:14" ht="17.5" thickBot="1" x14ac:dyDescent="0.45">
      <c r="A586" s="4">
        <v>43443</v>
      </c>
      <c r="B586" s="3">
        <v>158.76</v>
      </c>
      <c r="C586" s="3">
        <v>216.03</v>
      </c>
      <c r="D586" s="3">
        <v>107.13</v>
      </c>
      <c r="E586" s="3">
        <v>1.0468999999999999</v>
      </c>
      <c r="F586" s="3">
        <v>230.13</v>
      </c>
      <c r="G586" s="3">
        <v>218.31</v>
      </c>
      <c r="H586" s="3">
        <v>166.19</v>
      </c>
      <c r="I586" s="3">
        <v>188.99</v>
      </c>
      <c r="J586" s="3">
        <v>112.35</v>
      </c>
      <c r="K586" s="3">
        <v>196.91</v>
      </c>
      <c r="L586" s="3"/>
      <c r="N586" s="4"/>
    </row>
    <row r="587" spans="1:14" ht="17.5" thickBot="1" x14ac:dyDescent="0.45">
      <c r="A587" s="4">
        <v>43444</v>
      </c>
      <c r="B587" s="3">
        <v>157.54</v>
      </c>
      <c r="C587" s="3">
        <v>211.87</v>
      </c>
      <c r="D587" s="3">
        <v>107.21</v>
      </c>
      <c r="E587" s="3">
        <v>1.0427</v>
      </c>
      <c r="F587" s="3">
        <v>227.56</v>
      </c>
      <c r="G587" s="3">
        <v>218.58</v>
      </c>
      <c r="H587" s="3">
        <v>164.69</v>
      </c>
      <c r="I587" s="3">
        <v>188.2</v>
      </c>
      <c r="J587" s="3">
        <v>112.35</v>
      </c>
      <c r="K587" s="3">
        <v>195.63</v>
      </c>
      <c r="L587" s="3"/>
      <c r="N587" s="4"/>
    </row>
    <row r="588" spans="1:14" ht="17.5" thickBot="1" x14ac:dyDescent="0.45">
      <c r="A588" s="4">
        <v>43445</v>
      </c>
      <c r="B588" s="3">
        <v>157.11000000000001</v>
      </c>
      <c r="C588" s="3">
        <v>212.12</v>
      </c>
      <c r="D588" s="3">
        <v>106.93</v>
      </c>
      <c r="E588" s="3">
        <v>1.0431999999999999</v>
      </c>
      <c r="F588" s="3">
        <v>227.76</v>
      </c>
      <c r="G588" s="3">
        <v>218.71</v>
      </c>
      <c r="H588" s="3">
        <v>164.83</v>
      </c>
      <c r="I588" s="3">
        <v>188.36</v>
      </c>
      <c r="J588" s="3">
        <v>112.35</v>
      </c>
      <c r="K588" s="3">
        <v>195.65</v>
      </c>
      <c r="L588" s="3"/>
      <c r="N588" s="4"/>
    </row>
    <row r="589" spans="1:14" ht="17.5" thickBot="1" x14ac:dyDescent="0.45">
      <c r="A589" s="4">
        <v>43446</v>
      </c>
      <c r="B589" s="3">
        <v>160.22999999999999</v>
      </c>
      <c r="C589" s="3">
        <v>215.35</v>
      </c>
      <c r="D589" s="3">
        <v>106.84</v>
      </c>
      <c r="E589" s="3">
        <v>1.0501</v>
      </c>
      <c r="F589" s="3">
        <v>230.75</v>
      </c>
      <c r="G589" s="3">
        <v>220.04</v>
      </c>
      <c r="H589" s="3">
        <v>166.56</v>
      </c>
      <c r="I589" s="3">
        <v>189.77</v>
      </c>
      <c r="J589" s="3">
        <v>112.35</v>
      </c>
      <c r="K589" s="3">
        <v>197.14</v>
      </c>
      <c r="L589" s="3"/>
      <c r="N589" s="4"/>
    </row>
    <row r="590" spans="1:14" ht="17.5" thickBot="1" x14ac:dyDescent="0.45">
      <c r="A590" s="4">
        <v>43447</v>
      </c>
      <c r="B590" s="3">
        <v>162.09</v>
      </c>
      <c r="C590" s="3">
        <v>216.33</v>
      </c>
      <c r="D590" s="3">
        <v>106.84</v>
      </c>
      <c r="E590" s="3">
        <v>1.05</v>
      </c>
      <c r="F590" s="3">
        <v>231.61</v>
      </c>
      <c r="G590" s="3">
        <v>219.27</v>
      </c>
      <c r="H590" s="3">
        <v>167.08</v>
      </c>
      <c r="I590" s="3">
        <v>189.55</v>
      </c>
      <c r="J590" s="3">
        <v>112.35</v>
      </c>
      <c r="K590" s="3">
        <v>197.57</v>
      </c>
      <c r="L590" s="3"/>
      <c r="N590" s="4"/>
    </row>
    <row r="591" spans="1:14" ht="17.5" thickBot="1" x14ac:dyDescent="0.45">
      <c r="A591" s="4">
        <v>43448</v>
      </c>
      <c r="B591" s="3">
        <v>159.1</v>
      </c>
      <c r="C591" s="3">
        <v>212.92</v>
      </c>
      <c r="D591" s="3">
        <v>106.65</v>
      </c>
      <c r="E591" s="3">
        <v>1.0403</v>
      </c>
      <c r="F591" s="3">
        <v>228.48</v>
      </c>
      <c r="G591" s="3">
        <v>215.22</v>
      </c>
      <c r="H591" s="3">
        <v>165.22</v>
      </c>
      <c r="I591" s="3">
        <v>186.45</v>
      </c>
      <c r="J591" s="3">
        <v>112.35</v>
      </c>
      <c r="K591" s="3">
        <v>195.98</v>
      </c>
      <c r="L591" s="3"/>
      <c r="N591" s="4"/>
    </row>
    <row r="592" spans="1:14" ht="17.5" thickBot="1" x14ac:dyDescent="0.45">
      <c r="A592" s="4">
        <v>43449</v>
      </c>
      <c r="B592" s="3">
        <v>159.1</v>
      </c>
      <c r="C592" s="3">
        <v>212.92</v>
      </c>
      <c r="D592" s="3">
        <v>106.65</v>
      </c>
      <c r="E592" s="3">
        <v>1.0403</v>
      </c>
      <c r="F592" s="3">
        <v>228.48</v>
      </c>
      <c r="G592" s="3">
        <v>215.22</v>
      </c>
      <c r="H592" s="3">
        <v>165.22</v>
      </c>
      <c r="I592" s="3">
        <v>186.45</v>
      </c>
      <c r="J592" s="3">
        <v>112.35</v>
      </c>
      <c r="K592" s="3">
        <v>195.98</v>
      </c>
      <c r="L592" s="3"/>
      <c r="N592" s="4"/>
    </row>
    <row r="593" spans="1:14" ht="17.5" thickBot="1" x14ac:dyDescent="0.45">
      <c r="A593" s="4">
        <v>43450</v>
      </c>
      <c r="B593" s="3">
        <v>159.1</v>
      </c>
      <c r="C593" s="3">
        <v>212.92</v>
      </c>
      <c r="D593" s="3">
        <v>106.65</v>
      </c>
      <c r="E593" s="3">
        <v>1.0403</v>
      </c>
      <c r="F593" s="3">
        <v>228.48</v>
      </c>
      <c r="G593" s="3">
        <v>215.22</v>
      </c>
      <c r="H593" s="3">
        <v>165.22</v>
      </c>
      <c r="I593" s="3">
        <v>186.45</v>
      </c>
      <c r="J593" s="3">
        <v>112.35</v>
      </c>
      <c r="K593" s="3">
        <v>195.98</v>
      </c>
      <c r="L593" s="3"/>
      <c r="N593" s="4"/>
    </row>
    <row r="594" spans="1:14" ht="17.5" thickBot="1" x14ac:dyDescent="0.45">
      <c r="A594" s="4">
        <v>43451</v>
      </c>
      <c r="B594" s="3">
        <v>159.30000000000001</v>
      </c>
      <c r="C594" s="3">
        <v>214.85</v>
      </c>
      <c r="D594" s="3">
        <v>106.83</v>
      </c>
      <c r="E594" s="3">
        <v>1.0331999999999999</v>
      </c>
      <c r="F594" s="3">
        <v>227.55</v>
      </c>
      <c r="G594" s="3">
        <v>211.07</v>
      </c>
      <c r="H594" s="3">
        <v>164.68</v>
      </c>
      <c r="I594" s="3">
        <v>182.7</v>
      </c>
      <c r="J594" s="3">
        <v>112.35</v>
      </c>
      <c r="K594" s="3">
        <v>195.64</v>
      </c>
      <c r="L594" s="3"/>
      <c r="N594" s="4"/>
    </row>
    <row r="595" spans="1:14" ht="17.5" thickBot="1" x14ac:dyDescent="0.45">
      <c r="A595" s="4">
        <v>43452</v>
      </c>
      <c r="B595" s="3">
        <v>157.25</v>
      </c>
      <c r="C595" s="3">
        <v>213.55</v>
      </c>
      <c r="D595" s="3">
        <v>107.2</v>
      </c>
      <c r="E595" s="3">
        <v>1.0322</v>
      </c>
      <c r="F595" s="3">
        <v>226.01</v>
      </c>
      <c r="G595" s="3">
        <v>211.4</v>
      </c>
      <c r="H595" s="3">
        <v>163.9</v>
      </c>
      <c r="I595" s="3">
        <v>182.77</v>
      </c>
      <c r="J595" s="3">
        <v>112.35</v>
      </c>
      <c r="K595" s="3">
        <v>195.13</v>
      </c>
      <c r="L595" s="3"/>
      <c r="N595" s="4"/>
    </row>
    <row r="596" spans="1:14" ht="17.5" thickBot="1" x14ac:dyDescent="0.45">
      <c r="A596" s="4">
        <v>43453</v>
      </c>
      <c r="B596" s="3">
        <v>157.31</v>
      </c>
      <c r="C596" s="3">
        <v>215.48</v>
      </c>
      <c r="D596" s="3">
        <v>107.47</v>
      </c>
      <c r="E596" s="3">
        <v>1.0297000000000001</v>
      </c>
      <c r="F596" s="3">
        <v>226.13</v>
      </c>
      <c r="G596" s="3">
        <v>208.07</v>
      </c>
      <c r="H596" s="3">
        <v>164.06</v>
      </c>
      <c r="I596" s="3">
        <v>180.19</v>
      </c>
      <c r="J596" s="3">
        <v>112.35</v>
      </c>
      <c r="K596" s="3">
        <v>195.42</v>
      </c>
      <c r="L596" s="3"/>
      <c r="N596" s="4"/>
    </row>
    <row r="597" spans="1:14" ht="17.5" thickBot="1" x14ac:dyDescent="0.45">
      <c r="A597" s="4">
        <v>43454</v>
      </c>
      <c r="B597" s="3">
        <v>156</v>
      </c>
      <c r="C597" s="3">
        <v>213.14</v>
      </c>
      <c r="D597" s="3">
        <v>107.47</v>
      </c>
      <c r="E597" s="3">
        <v>1.0212000000000001</v>
      </c>
      <c r="F597" s="3">
        <v>223.48</v>
      </c>
      <c r="G597" s="3">
        <v>204.44</v>
      </c>
      <c r="H597" s="3">
        <v>162.55000000000001</v>
      </c>
      <c r="I597" s="3">
        <v>178.16</v>
      </c>
      <c r="J597" s="3">
        <v>112.35</v>
      </c>
      <c r="K597" s="3">
        <v>194.17</v>
      </c>
      <c r="L597" s="3"/>
      <c r="N597" s="4"/>
    </row>
    <row r="598" spans="1:14" ht="17.5" thickBot="1" x14ac:dyDescent="0.45">
      <c r="A598" s="4">
        <v>43455</v>
      </c>
      <c r="B598" s="3">
        <v>156.53</v>
      </c>
      <c r="C598" s="3">
        <v>212.52</v>
      </c>
      <c r="D598" s="3">
        <v>107.37</v>
      </c>
      <c r="E598" s="3">
        <v>1.0129999999999999</v>
      </c>
      <c r="F598" s="3">
        <v>222.51</v>
      </c>
      <c r="G598" s="3">
        <v>200.13</v>
      </c>
      <c r="H598" s="3">
        <v>161.97999999999999</v>
      </c>
      <c r="I598" s="3">
        <v>174.72</v>
      </c>
      <c r="J598" s="3">
        <v>112.35</v>
      </c>
      <c r="K598" s="3">
        <v>193.66</v>
      </c>
      <c r="L598" s="3"/>
      <c r="N598" s="4"/>
    </row>
    <row r="599" spans="1:14" ht="17.5" thickBot="1" x14ac:dyDescent="0.45">
      <c r="A599" s="4">
        <v>43456</v>
      </c>
      <c r="B599" s="3">
        <v>156.53</v>
      </c>
      <c r="C599" s="3">
        <v>212.52</v>
      </c>
      <c r="D599" s="3">
        <v>107.37</v>
      </c>
      <c r="E599" s="3">
        <v>1.0129999999999999</v>
      </c>
      <c r="F599" s="3">
        <v>222.51</v>
      </c>
      <c r="G599" s="3">
        <v>200.13</v>
      </c>
      <c r="H599" s="3">
        <v>161.97999999999999</v>
      </c>
      <c r="I599" s="3">
        <v>174.72</v>
      </c>
      <c r="J599" s="3">
        <v>112.35</v>
      </c>
      <c r="K599" s="3">
        <v>193.66</v>
      </c>
      <c r="L599" s="3"/>
      <c r="N599" s="4"/>
    </row>
    <row r="600" spans="1:14" ht="17.5" thickBot="1" x14ac:dyDescent="0.45">
      <c r="A600" s="4">
        <v>43457</v>
      </c>
      <c r="B600" s="3">
        <v>156.53</v>
      </c>
      <c r="C600" s="3">
        <v>212.52</v>
      </c>
      <c r="D600" s="3">
        <v>107.37</v>
      </c>
      <c r="E600" s="3">
        <v>1.0129999999999999</v>
      </c>
      <c r="F600" s="3">
        <v>222.51</v>
      </c>
      <c r="G600" s="3">
        <v>200.13</v>
      </c>
      <c r="H600" s="3">
        <v>161.97999999999999</v>
      </c>
      <c r="I600" s="3">
        <v>174.72</v>
      </c>
      <c r="J600" s="3">
        <v>112.35</v>
      </c>
      <c r="K600" s="3">
        <v>193.66</v>
      </c>
      <c r="L600" s="3"/>
      <c r="N600" s="4"/>
    </row>
    <row r="601" spans="1:14" ht="17.5" thickBot="1" x14ac:dyDescent="0.45">
      <c r="A601" s="4">
        <v>43458</v>
      </c>
      <c r="B601" s="3">
        <v>155.88999999999999</v>
      </c>
      <c r="C601" s="3">
        <v>211.78</v>
      </c>
      <c r="D601" s="3">
        <v>107.37</v>
      </c>
      <c r="E601" s="3">
        <v>1.0044</v>
      </c>
      <c r="F601" s="3">
        <v>221.19</v>
      </c>
      <c r="G601" s="3">
        <v>195.5</v>
      </c>
      <c r="H601" s="3">
        <v>161.22</v>
      </c>
      <c r="I601" s="3">
        <v>170.82</v>
      </c>
      <c r="J601" s="3">
        <v>112.35</v>
      </c>
      <c r="K601" s="3">
        <v>193.09</v>
      </c>
      <c r="L601" s="3"/>
      <c r="N601" s="4"/>
    </row>
    <row r="602" spans="1:14" ht="17.5" thickBot="1" x14ac:dyDescent="0.45">
      <c r="A602" s="4">
        <v>43459</v>
      </c>
      <c r="B602" s="3">
        <v>155.88999999999999</v>
      </c>
      <c r="C602" s="3">
        <v>211.78</v>
      </c>
      <c r="D602" s="3">
        <v>107.37</v>
      </c>
      <c r="E602" s="3">
        <v>1.0044</v>
      </c>
      <c r="F602" s="3">
        <v>221.19</v>
      </c>
      <c r="G602" s="3">
        <v>195.5</v>
      </c>
      <c r="H602" s="3">
        <v>161.22</v>
      </c>
      <c r="I602" s="3">
        <v>170.82</v>
      </c>
      <c r="J602" s="3">
        <v>112.35</v>
      </c>
      <c r="K602" s="3">
        <v>193.09</v>
      </c>
      <c r="L602" s="3"/>
      <c r="N602" s="4"/>
    </row>
    <row r="603" spans="1:14" ht="17.5" thickBot="1" x14ac:dyDescent="0.45">
      <c r="A603" s="4">
        <v>43460</v>
      </c>
      <c r="B603" s="3">
        <v>155.88999999999999</v>
      </c>
      <c r="C603" s="3">
        <v>211.78</v>
      </c>
      <c r="D603" s="3">
        <v>107.37</v>
      </c>
      <c r="E603" s="3">
        <v>1.0044</v>
      </c>
      <c r="F603" s="3">
        <v>221.19</v>
      </c>
      <c r="G603" s="3">
        <v>195.5</v>
      </c>
      <c r="H603" s="3">
        <v>161.22</v>
      </c>
      <c r="I603" s="3">
        <v>170.82</v>
      </c>
      <c r="J603" s="3">
        <v>112.35</v>
      </c>
      <c r="K603" s="3">
        <v>193.09</v>
      </c>
      <c r="L603" s="3"/>
      <c r="N603" s="4"/>
    </row>
    <row r="604" spans="1:14" ht="17.5" thickBot="1" x14ac:dyDescent="0.45">
      <c r="A604" s="4">
        <v>43461</v>
      </c>
      <c r="B604" s="3">
        <v>154.46</v>
      </c>
      <c r="C604" s="3">
        <v>212.74</v>
      </c>
      <c r="D604" s="3">
        <v>107.54</v>
      </c>
      <c r="E604" s="3">
        <v>1.0213000000000001</v>
      </c>
      <c r="F604" s="3">
        <v>222.58</v>
      </c>
      <c r="G604" s="3">
        <v>207.02</v>
      </c>
      <c r="H604" s="3">
        <v>162.03</v>
      </c>
      <c r="I604" s="3">
        <v>179.92</v>
      </c>
      <c r="J604" s="3">
        <v>112.35</v>
      </c>
      <c r="K604" s="3">
        <v>193.76</v>
      </c>
      <c r="L604" s="3"/>
      <c r="N604" s="4"/>
    </row>
    <row r="605" spans="1:14" ht="17.5" thickBot="1" x14ac:dyDescent="0.45">
      <c r="A605" s="4">
        <v>43462</v>
      </c>
      <c r="B605" s="3">
        <v>154.69999999999999</v>
      </c>
      <c r="C605" s="3">
        <v>214.97</v>
      </c>
      <c r="D605" s="3">
        <v>107.73</v>
      </c>
      <c r="E605" s="3">
        <v>1.0247999999999999</v>
      </c>
      <c r="F605" s="3">
        <v>223.67</v>
      </c>
      <c r="G605" s="3">
        <v>206.73</v>
      </c>
      <c r="H605" s="3">
        <v>162.74</v>
      </c>
      <c r="I605" s="3">
        <v>179.94</v>
      </c>
      <c r="J605" s="3">
        <v>112.35</v>
      </c>
      <c r="K605" s="3">
        <v>194.42</v>
      </c>
      <c r="L605" s="3"/>
      <c r="N605" s="4"/>
    </row>
    <row r="606" spans="1:14" ht="17.5" thickBot="1" x14ac:dyDescent="0.45">
      <c r="A606" s="4">
        <v>43463</v>
      </c>
      <c r="B606" s="3">
        <v>154.69999999999999</v>
      </c>
      <c r="C606" s="3">
        <v>214.97</v>
      </c>
      <c r="D606" s="3">
        <v>107.73</v>
      </c>
      <c r="E606" s="3">
        <v>1.0247999999999999</v>
      </c>
      <c r="F606" s="3">
        <v>223.67</v>
      </c>
      <c r="G606" s="3">
        <v>206.73</v>
      </c>
      <c r="H606" s="3">
        <v>162.74</v>
      </c>
      <c r="I606" s="3">
        <v>179.94</v>
      </c>
      <c r="J606" s="3">
        <v>112.35</v>
      </c>
      <c r="K606" s="3">
        <v>194.42</v>
      </c>
      <c r="L606" s="3"/>
      <c r="N606" s="4"/>
    </row>
    <row r="607" spans="1:14" ht="17.5" thickBot="1" x14ac:dyDescent="0.45">
      <c r="A607" s="4">
        <v>43464</v>
      </c>
      <c r="B607" s="3">
        <v>154.69999999999999</v>
      </c>
      <c r="C607" s="3">
        <v>214.97</v>
      </c>
      <c r="D607" s="3">
        <v>107.73</v>
      </c>
      <c r="E607" s="3">
        <v>1.0247999999999999</v>
      </c>
      <c r="F607" s="3">
        <v>223.67</v>
      </c>
      <c r="G607" s="3">
        <v>206.73</v>
      </c>
      <c r="H607" s="3">
        <v>162.74</v>
      </c>
      <c r="I607" s="3">
        <v>179.94</v>
      </c>
      <c r="J607" s="3">
        <v>112.35</v>
      </c>
      <c r="K607" s="3">
        <v>194.42</v>
      </c>
      <c r="L607" s="3"/>
      <c r="N607" s="4"/>
    </row>
    <row r="608" spans="1:14" ht="17.5" thickBot="1" x14ac:dyDescent="0.45">
      <c r="A608" s="4">
        <v>43465</v>
      </c>
      <c r="B608" s="3">
        <v>156.97999999999999</v>
      </c>
      <c r="C608" s="3">
        <v>215.39</v>
      </c>
      <c r="D608" s="3">
        <v>107.99</v>
      </c>
      <c r="E608" s="3">
        <v>1.0290999999999999</v>
      </c>
      <c r="F608" s="3">
        <v>224.94</v>
      </c>
      <c r="G608" s="3">
        <v>208.53</v>
      </c>
      <c r="H608" s="3">
        <v>163.57</v>
      </c>
      <c r="I608" s="3">
        <v>181.44</v>
      </c>
      <c r="J608" s="3">
        <v>112.45</v>
      </c>
      <c r="K608" s="3">
        <v>195.19</v>
      </c>
      <c r="L608" s="3"/>
      <c r="N608" s="4"/>
    </row>
    <row r="609" spans="1:14" ht="17.5" thickBot="1" x14ac:dyDescent="0.45">
      <c r="A609" s="4">
        <v>43466</v>
      </c>
      <c r="B609" s="3">
        <v>156.97999999999999</v>
      </c>
      <c r="C609" s="3">
        <v>215.39</v>
      </c>
      <c r="D609" s="3">
        <v>107.99</v>
      </c>
      <c r="E609" s="3">
        <v>1.0290999999999999</v>
      </c>
      <c r="F609" s="3">
        <v>224.94</v>
      </c>
      <c r="G609" s="3">
        <v>208.53</v>
      </c>
      <c r="H609" s="3">
        <v>163.57</v>
      </c>
      <c r="I609" s="3">
        <v>181.44</v>
      </c>
      <c r="J609" s="3">
        <v>112.45</v>
      </c>
      <c r="K609" s="3">
        <v>195.19</v>
      </c>
      <c r="L609" s="3"/>
      <c r="N609" s="4"/>
    </row>
    <row r="610" spans="1:14" ht="17.5" thickBot="1" x14ac:dyDescent="0.45">
      <c r="A610" s="4">
        <v>43467</v>
      </c>
      <c r="B610" s="3">
        <v>152.22999999999999</v>
      </c>
      <c r="C610" s="3">
        <v>212</v>
      </c>
      <c r="D610" s="3">
        <v>108.17</v>
      </c>
      <c r="E610" s="3">
        <v>1.0289999999999999</v>
      </c>
      <c r="F610" s="3">
        <v>222.81</v>
      </c>
      <c r="G610" s="3">
        <v>208.97</v>
      </c>
      <c r="H610" s="3">
        <v>162.31</v>
      </c>
      <c r="I610" s="3">
        <v>183.28</v>
      </c>
      <c r="J610" s="3">
        <v>112.45</v>
      </c>
      <c r="K610" s="3">
        <v>194.18</v>
      </c>
      <c r="L610" s="3"/>
      <c r="N610" s="4"/>
    </row>
    <row r="611" spans="1:14" ht="17.5" thickBot="1" x14ac:dyDescent="0.45">
      <c r="A611" s="4">
        <v>43468</v>
      </c>
      <c r="B611" s="3">
        <v>152.26</v>
      </c>
      <c r="C611" s="3">
        <v>210.46</v>
      </c>
      <c r="D611" s="3">
        <v>108.26</v>
      </c>
      <c r="E611" s="3">
        <v>1.0213000000000001</v>
      </c>
      <c r="F611" s="3">
        <v>221.46</v>
      </c>
      <c r="G611" s="3">
        <v>203.58</v>
      </c>
      <c r="H611" s="3">
        <v>161.59</v>
      </c>
      <c r="I611" s="3">
        <v>179.53</v>
      </c>
      <c r="J611" s="3">
        <v>112.45</v>
      </c>
      <c r="K611" s="3">
        <v>193.75</v>
      </c>
      <c r="L611" s="3"/>
      <c r="N611" s="4"/>
    </row>
    <row r="612" spans="1:14" ht="17.5" thickBot="1" x14ac:dyDescent="0.45">
      <c r="A612" s="4">
        <v>43469</v>
      </c>
      <c r="B612" s="3">
        <v>155.41999999999999</v>
      </c>
      <c r="C612" s="3">
        <v>211.17</v>
      </c>
      <c r="D612" s="3">
        <v>108.63</v>
      </c>
      <c r="E612" s="3">
        <v>1.0353000000000001</v>
      </c>
      <c r="F612" s="3">
        <v>225.23</v>
      </c>
      <c r="G612" s="3">
        <v>210.58</v>
      </c>
      <c r="H612" s="3">
        <v>163.77000000000001</v>
      </c>
      <c r="I612" s="3">
        <v>185.42</v>
      </c>
      <c r="J612" s="3">
        <v>112.45</v>
      </c>
      <c r="K612" s="3">
        <v>195.47</v>
      </c>
      <c r="L612" s="3"/>
      <c r="N612" s="4"/>
    </row>
    <row r="613" spans="1:14" ht="17.5" thickBot="1" x14ac:dyDescent="0.45">
      <c r="A613" s="4">
        <v>43470</v>
      </c>
      <c r="B613" s="3">
        <v>155.41999999999999</v>
      </c>
      <c r="C613" s="3">
        <v>211.17</v>
      </c>
      <c r="D613" s="3">
        <v>108.63</v>
      </c>
      <c r="E613" s="3">
        <v>1.0353000000000001</v>
      </c>
      <c r="F613" s="3">
        <v>225.23</v>
      </c>
      <c r="G613" s="3">
        <v>210.58</v>
      </c>
      <c r="H613" s="3">
        <v>163.77000000000001</v>
      </c>
      <c r="I613" s="3">
        <v>185.42</v>
      </c>
      <c r="J613" s="3">
        <v>112.45</v>
      </c>
      <c r="K613" s="3">
        <v>195.47</v>
      </c>
      <c r="L613" s="3"/>
      <c r="N613" s="4"/>
    </row>
    <row r="614" spans="1:14" ht="17.5" thickBot="1" x14ac:dyDescent="0.45">
      <c r="A614" s="4">
        <v>43471</v>
      </c>
      <c r="B614" s="3">
        <v>155.41999999999999</v>
      </c>
      <c r="C614" s="3">
        <v>211.17</v>
      </c>
      <c r="D614" s="3">
        <v>108.63</v>
      </c>
      <c r="E614" s="3">
        <v>1.0353000000000001</v>
      </c>
      <c r="F614" s="3">
        <v>225.23</v>
      </c>
      <c r="G614" s="3">
        <v>210.58</v>
      </c>
      <c r="H614" s="3">
        <v>163.77000000000001</v>
      </c>
      <c r="I614" s="3">
        <v>185.42</v>
      </c>
      <c r="J614" s="3">
        <v>112.45</v>
      </c>
      <c r="K614" s="3">
        <v>195.47</v>
      </c>
      <c r="L614" s="3"/>
      <c r="N614" s="4"/>
    </row>
    <row r="615" spans="1:14" ht="17.5" thickBot="1" x14ac:dyDescent="0.45">
      <c r="A615" s="4">
        <v>43472</v>
      </c>
      <c r="B615" s="3">
        <v>156.91999999999999</v>
      </c>
      <c r="C615" s="3">
        <v>215.1</v>
      </c>
      <c r="D615" s="3">
        <v>108.62</v>
      </c>
      <c r="E615" s="3">
        <v>1.0405</v>
      </c>
      <c r="F615" s="3">
        <v>227.14</v>
      </c>
      <c r="G615" s="3">
        <v>212.11</v>
      </c>
      <c r="H615" s="3">
        <v>164.88</v>
      </c>
      <c r="I615" s="3">
        <v>186.44</v>
      </c>
      <c r="J615" s="3">
        <v>112.45</v>
      </c>
      <c r="K615" s="3">
        <v>196.4</v>
      </c>
      <c r="L615" s="3"/>
      <c r="N615" s="4"/>
    </row>
    <row r="616" spans="1:14" ht="17.5" thickBot="1" x14ac:dyDescent="0.45">
      <c r="A616" s="4">
        <v>43473</v>
      </c>
      <c r="B616" s="3">
        <v>156.71</v>
      </c>
      <c r="C616" s="3">
        <v>214.53</v>
      </c>
      <c r="D616" s="3">
        <v>108.34</v>
      </c>
      <c r="E616" s="3">
        <v>1.0444</v>
      </c>
      <c r="F616" s="3">
        <v>227.92</v>
      </c>
      <c r="G616" s="3">
        <v>214.13</v>
      </c>
      <c r="H616" s="3">
        <v>165.29</v>
      </c>
      <c r="I616" s="3">
        <v>188.45</v>
      </c>
      <c r="J616" s="3">
        <v>112.45</v>
      </c>
      <c r="K616" s="3">
        <v>196.66</v>
      </c>
      <c r="L616" s="3"/>
      <c r="N616" s="4"/>
    </row>
    <row r="617" spans="1:14" ht="17.5" thickBot="1" x14ac:dyDescent="0.45">
      <c r="A617" s="4">
        <v>43474</v>
      </c>
      <c r="B617" s="3">
        <v>160.51</v>
      </c>
      <c r="C617" s="3">
        <v>218.35</v>
      </c>
      <c r="D617" s="3">
        <v>108.43</v>
      </c>
      <c r="E617" s="3">
        <v>1.0503</v>
      </c>
      <c r="F617" s="3">
        <v>230.91</v>
      </c>
      <c r="G617" s="3">
        <v>215.24</v>
      </c>
      <c r="H617" s="3">
        <v>167.16</v>
      </c>
      <c r="I617" s="3">
        <v>190.03</v>
      </c>
      <c r="J617" s="3">
        <v>112.45</v>
      </c>
      <c r="K617" s="3">
        <v>198.37</v>
      </c>
      <c r="L617" s="3"/>
      <c r="N617" s="4"/>
    </row>
    <row r="618" spans="1:14" ht="17.5" thickBot="1" x14ac:dyDescent="0.45">
      <c r="A618" s="4">
        <v>43475</v>
      </c>
      <c r="B618" s="3">
        <v>161.11000000000001</v>
      </c>
      <c r="C618" s="3">
        <v>218.91</v>
      </c>
      <c r="D618" s="3">
        <v>108.8</v>
      </c>
      <c r="E618" s="3">
        <v>1.0524</v>
      </c>
      <c r="F618" s="3">
        <v>231.16</v>
      </c>
      <c r="G618" s="3">
        <v>216.08</v>
      </c>
      <c r="H618" s="3">
        <v>167.42</v>
      </c>
      <c r="I618" s="3">
        <v>190.63</v>
      </c>
      <c r="J618" s="3">
        <v>112.45</v>
      </c>
      <c r="K618" s="3">
        <v>198.63</v>
      </c>
      <c r="L618" s="3"/>
      <c r="N618" s="4"/>
    </row>
    <row r="619" spans="1:14" ht="17.5" thickBot="1" x14ac:dyDescent="0.45">
      <c r="A619" s="4">
        <v>43476</v>
      </c>
      <c r="B619" s="3">
        <v>161.54</v>
      </c>
      <c r="C619" s="3">
        <v>219.22</v>
      </c>
      <c r="D619" s="3">
        <v>108.89</v>
      </c>
      <c r="E619" s="3">
        <v>1.0528</v>
      </c>
      <c r="F619" s="3">
        <v>231.8</v>
      </c>
      <c r="G619" s="3">
        <v>215.98</v>
      </c>
      <c r="H619" s="3">
        <v>167.83</v>
      </c>
      <c r="I619" s="3">
        <v>190.38</v>
      </c>
      <c r="J619" s="3">
        <v>112.45</v>
      </c>
      <c r="K619" s="3">
        <v>199</v>
      </c>
      <c r="L619" s="3"/>
      <c r="N619" s="4"/>
    </row>
    <row r="620" spans="1:14" ht="17.5" thickBot="1" x14ac:dyDescent="0.45">
      <c r="A620" s="4">
        <v>43477</v>
      </c>
      <c r="B620" s="3">
        <v>161.54</v>
      </c>
      <c r="C620" s="3">
        <v>219.22</v>
      </c>
      <c r="D620" s="3">
        <v>108.89</v>
      </c>
      <c r="E620" s="3">
        <v>1.0528</v>
      </c>
      <c r="F620" s="3">
        <v>231.8</v>
      </c>
      <c r="G620" s="3">
        <v>215.98</v>
      </c>
      <c r="H620" s="3">
        <v>167.83</v>
      </c>
      <c r="I620" s="3">
        <v>190.38</v>
      </c>
      <c r="J620" s="3">
        <v>112.45</v>
      </c>
      <c r="K620" s="3">
        <v>199</v>
      </c>
      <c r="L620" s="3"/>
      <c r="N620" s="4"/>
    </row>
    <row r="621" spans="1:14" ht="17.5" thickBot="1" x14ac:dyDescent="0.45">
      <c r="A621" s="4">
        <v>43478</v>
      </c>
      <c r="B621" s="3">
        <v>161.54</v>
      </c>
      <c r="C621" s="3">
        <v>219.22</v>
      </c>
      <c r="D621" s="3">
        <v>108.89</v>
      </c>
      <c r="E621" s="3">
        <v>1.0528</v>
      </c>
      <c r="F621" s="3">
        <v>231.8</v>
      </c>
      <c r="G621" s="3">
        <v>215.98</v>
      </c>
      <c r="H621" s="3">
        <v>167.83</v>
      </c>
      <c r="I621" s="3">
        <v>190.38</v>
      </c>
      <c r="J621" s="3">
        <v>112.45</v>
      </c>
      <c r="K621" s="3">
        <v>199</v>
      </c>
      <c r="L621" s="3"/>
      <c r="N621" s="4"/>
    </row>
    <row r="622" spans="1:14" ht="17.5" thickBot="1" x14ac:dyDescent="0.45">
      <c r="A622" s="4">
        <v>43479</v>
      </c>
      <c r="B622" s="3">
        <v>159.38</v>
      </c>
      <c r="C622" s="3">
        <v>217.03</v>
      </c>
      <c r="D622" s="3">
        <v>108.97</v>
      </c>
      <c r="E622" s="3">
        <v>1.05</v>
      </c>
      <c r="F622" s="3">
        <v>230.29</v>
      </c>
      <c r="G622" s="3">
        <v>215.01</v>
      </c>
      <c r="H622" s="3">
        <v>166.94</v>
      </c>
      <c r="I622" s="3">
        <v>189.89</v>
      </c>
      <c r="J622" s="3">
        <v>112.45</v>
      </c>
      <c r="K622" s="3">
        <v>198.26</v>
      </c>
      <c r="L622" s="3"/>
      <c r="N622" s="4"/>
    </row>
    <row r="623" spans="1:14" ht="17.5" thickBot="1" x14ac:dyDescent="0.45">
      <c r="A623" s="4">
        <v>43480</v>
      </c>
      <c r="B623" s="3">
        <v>162.63</v>
      </c>
      <c r="C623" s="3">
        <v>219.65</v>
      </c>
      <c r="D623" s="3">
        <v>108.88</v>
      </c>
      <c r="E623" s="3">
        <v>1.0552999999999999</v>
      </c>
      <c r="F623" s="3">
        <v>232.64</v>
      </c>
      <c r="G623" s="3">
        <v>216.82</v>
      </c>
      <c r="H623" s="3">
        <v>168.33</v>
      </c>
      <c r="I623" s="3">
        <v>191.36</v>
      </c>
      <c r="J623" s="3">
        <v>112.45</v>
      </c>
      <c r="K623" s="3">
        <v>199.42</v>
      </c>
      <c r="L623" s="3"/>
      <c r="N623" s="4"/>
    </row>
    <row r="624" spans="1:14" ht="17.5" thickBot="1" x14ac:dyDescent="0.45">
      <c r="A624" s="4">
        <v>43481</v>
      </c>
      <c r="B624" s="3">
        <v>163.33000000000001</v>
      </c>
      <c r="C624" s="3">
        <v>219.97</v>
      </c>
      <c r="D624" s="3">
        <v>108.88</v>
      </c>
      <c r="E624" s="3">
        <v>1.0561</v>
      </c>
      <c r="F624" s="3">
        <v>233.11</v>
      </c>
      <c r="G624" s="3">
        <v>217.62</v>
      </c>
      <c r="H624" s="3">
        <v>168.61</v>
      </c>
      <c r="I624" s="3">
        <v>191.84</v>
      </c>
      <c r="J624" s="3">
        <v>112.45</v>
      </c>
      <c r="K624" s="3">
        <v>199.63</v>
      </c>
      <c r="L624" s="3"/>
      <c r="N624" s="4"/>
    </row>
    <row r="625" spans="1:14" ht="17.5" thickBot="1" x14ac:dyDescent="0.45">
      <c r="A625" s="4">
        <v>43482</v>
      </c>
      <c r="B625" s="3">
        <v>162.72</v>
      </c>
      <c r="C625" s="3">
        <v>220.8</v>
      </c>
      <c r="D625" s="3">
        <v>108.69</v>
      </c>
      <c r="E625" s="3">
        <v>1.0583</v>
      </c>
      <c r="F625" s="3">
        <v>233.17</v>
      </c>
      <c r="G625" s="3">
        <v>219.42</v>
      </c>
      <c r="H625" s="3">
        <v>168.61</v>
      </c>
      <c r="I625" s="3">
        <v>193.29</v>
      </c>
      <c r="J625" s="3">
        <v>112.45</v>
      </c>
      <c r="K625" s="3">
        <v>199.6</v>
      </c>
      <c r="L625" s="3"/>
      <c r="N625" s="4"/>
    </row>
    <row r="626" spans="1:14" ht="17.5" thickBot="1" x14ac:dyDescent="0.45">
      <c r="A626" s="4">
        <v>43483</v>
      </c>
      <c r="B626" s="3">
        <v>164.26</v>
      </c>
      <c r="C626" s="3">
        <v>221.9</v>
      </c>
      <c r="D626" s="3">
        <v>108.6</v>
      </c>
      <c r="E626" s="3">
        <v>1.0658000000000001</v>
      </c>
      <c r="F626" s="3">
        <v>235.46</v>
      </c>
      <c r="G626" s="3">
        <v>222.5</v>
      </c>
      <c r="H626" s="3">
        <v>169.95</v>
      </c>
      <c r="I626" s="3">
        <v>195.46</v>
      </c>
      <c r="J626" s="3">
        <v>112.45</v>
      </c>
      <c r="K626" s="3">
        <v>200.67</v>
      </c>
      <c r="L626" s="3"/>
      <c r="N626" s="4"/>
    </row>
    <row r="627" spans="1:14" ht="17.5" thickBot="1" x14ac:dyDescent="0.45">
      <c r="A627" s="4">
        <v>43484</v>
      </c>
      <c r="B627" s="3">
        <v>164.26</v>
      </c>
      <c r="C627" s="3">
        <v>221.9</v>
      </c>
      <c r="D627" s="3">
        <v>108.6</v>
      </c>
      <c r="E627" s="3">
        <v>1.0658000000000001</v>
      </c>
      <c r="F627" s="3">
        <v>235.46</v>
      </c>
      <c r="G627" s="3">
        <v>222.5</v>
      </c>
      <c r="H627" s="3">
        <v>169.95</v>
      </c>
      <c r="I627" s="3">
        <v>195.46</v>
      </c>
      <c r="J627" s="3">
        <v>112.45</v>
      </c>
      <c r="K627" s="3">
        <v>200.67</v>
      </c>
      <c r="L627" s="3"/>
      <c r="N627" s="4"/>
    </row>
    <row r="628" spans="1:14" ht="17.5" thickBot="1" x14ac:dyDescent="0.45">
      <c r="A628" s="4">
        <v>43485</v>
      </c>
      <c r="B628" s="3">
        <v>164.26</v>
      </c>
      <c r="C628" s="3">
        <v>221.9</v>
      </c>
      <c r="D628" s="3">
        <v>108.6</v>
      </c>
      <c r="E628" s="3">
        <v>1.0658000000000001</v>
      </c>
      <c r="F628" s="3">
        <v>235.46</v>
      </c>
      <c r="G628" s="3">
        <v>222.5</v>
      </c>
      <c r="H628" s="3">
        <v>169.95</v>
      </c>
      <c r="I628" s="3">
        <v>195.46</v>
      </c>
      <c r="J628" s="3">
        <v>112.45</v>
      </c>
      <c r="K628" s="3">
        <v>200.67</v>
      </c>
      <c r="L628" s="3"/>
      <c r="N628" s="4"/>
    </row>
    <row r="629" spans="1:14" ht="17.5" thickBot="1" x14ac:dyDescent="0.45">
      <c r="A629" s="4">
        <v>43486</v>
      </c>
      <c r="B629" s="3">
        <v>164.99</v>
      </c>
      <c r="C629" s="3">
        <v>222.07</v>
      </c>
      <c r="D629" s="3">
        <v>108.41</v>
      </c>
      <c r="E629" s="3">
        <v>1.0661</v>
      </c>
      <c r="F629" s="3">
        <v>235.76</v>
      </c>
      <c r="G629" s="3">
        <v>222.46</v>
      </c>
      <c r="H629" s="3">
        <v>170.15</v>
      </c>
      <c r="I629" s="3">
        <v>195.47</v>
      </c>
      <c r="J629" s="3">
        <v>112.51</v>
      </c>
      <c r="K629" s="3">
        <v>200.87</v>
      </c>
      <c r="L629" s="3"/>
      <c r="N629" s="4"/>
    </row>
    <row r="630" spans="1:14" ht="17.5" thickBot="1" x14ac:dyDescent="0.45">
      <c r="A630" s="4">
        <v>43487</v>
      </c>
      <c r="B630" s="3">
        <v>163.68</v>
      </c>
      <c r="C630" s="3">
        <v>220.58</v>
      </c>
      <c r="D630" s="3">
        <v>108.41</v>
      </c>
      <c r="E630" s="3">
        <v>1.0602</v>
      </c>
      <c r="F630" s="3">
        <v>234.15</v>
      </c>
      <c r="G630" s="3">
        <v>219.27</v>
      </c>
      <c r="H630" s="3">
        <v>169.23</v>
      </c>
      <c r="I630" s="3">
        <v>192.42</v>
      </c>
      <c r="J630" s="3">
        <v>112.51</v>
      </c>
      <c r="K630" s="3">
        <v>200.18</v>
      </c>
      <c r="L630" s="3"/>
      <c r="N630" s="4"/>
    </row>
    <row r="631" spans="1:14" ht="17.5" thickBot="1" x14ac:dyDescent="0.45">
      <c r="A631" s="4">
        <v>43488</v>
      </c>
      <c r="B631" s="3">
        <v>163.98</v>
      </c>
      <c r="C631" s="3">
        <v>219.69</v>
      </c>
      <c r="D631" s="3">
        <v>108.59</v>
      </c>
      <c r="E631" s="3">
        <v>1.0606</v>
      </c>
      <c r="F631" s="3">
        <v>234</v>
      </c>
      <c r="G631" s="3">
        <v>219.57</v>
      </c>
      <c r="H631" s="3">
        <v>169.19</v>
      </c>
      <c r="I631" s="3">
        <v>193.41</v>
      </c>
      <c r="J631" s="3">
        <v>112.51</v>
      </c>
      <c r="K631" s="3">
        <v>200.19</v>
      </c>
      <c r="L631" s="3"/>
      <c r="N631" s="4"/>
    </row>
    <row r="632" spans="1:14" ht="17.5" thickBot="1" x14ac:dyDescent="0.45">
      <c r="A632" s="4">
        <v>43489</v>
      </c>
      <c r="B632" s="3">
        <v>164.68</v>
      </c>
      <c r="C632" s="3">
        <v>220.96</v>
      </c>
      <c r="D632" s="3">
        <v>108.68</v>
      </c>
      <c r="E632" s="3">
        <v>1.0630999999999999</v>
      </c>
      <c r="F632" s="3">
        <v>234.74</v>
      </c>
      <c r="G632" s="3">
        <v>219.69</v>
      </c>
      <c r="H632" s="3">
        <v>169.71</v>
      </c>
      <c r="I632" s="3">
        <v>193.67</v>
      </c>
      <c r="J632" s="3">
        <v>112.51</v>
      </c>
      <c r="K632" s="3">
        <v>200.73</v>
      </c>
      <c r="L632" s="3"/>
      <c r="N632" s="4"/>
    </row>
    <row r="633" spans="1:14" ht="17.5" thickBot="1" x14ac:dyDescent="0.45">
      <c r="A633" s="4">
        <v>43490</v>
      </c>
      <c r="B633" s="3">
        <v>167.63</v>
      </c>
      <c r="C633" s="3">
        <v>223.98</v>
      </c>
      <c r="D633" s="3">
        <v>109.04</v>
      </c>
      <c r="E633" s="3">
        <v>1.0688</v>
      </c>
      <c r="F633" s="3">
        <v>237.36</v>
      </c>
      <c r="G633" s="3">
        <v>221.2</v>
      </c>
      <c r="H633" s="3">
        <v>171.35</v>
      </c>
      <c r="I633" s="3">
        <v>195.1</v>
      </c>
      <c r="J633" s="3">
        <v>112.51</v>
      </c>
      <c r="K633" s="3">
        <v>202.17</v>
      </c>
      <c r="L633" s="3"/>
      <c r="N633" s="4"/>
    </row>
    <row r="634" spans="1:14" ht="17.5" thickBot="1" x14ac:dyDescent="0.45">
      <c r="A634" s="4">
        <v>43491</v>
      </c>
      <c r="B634" s="3">
        <v>167.63</v>
      </c>
      <c r="C634" s="3">
        <v>223.98</v>
      </c>
      <c r="D634" s="3">
        <v>109.04</v>
      </c>
      <c r="E634" s="3">
        <v>1.0688</v>
      </c>
      <c r="F634" s="3">
        <v>237.36</v>
      </c>
      <c r="G634" s="3">
        <v>221.2</v>
      </c>
      <c r="H634" s="3">
        <v>171.35</v>
      </c>
      <c r="I634" s="3">
        <v>195.1</v>
      </c>
      <c r="J634" s="3">
        <v>112.51</v>
      </c>
      <c r="K634" s="3">
        <v>202.17</v>
      </c>
      <c r="L634" s="3"/>
      <c r="N634" s="4"/>
    </row>
    <row r="635" spans="1:14" ht="17.5" thickBot="1" x14ac:dyDescent="0.45">
      <c r="A635" s="4">
        <v>43492</v>
      </c>
      <c r="B635" s="3">
        <v>167.63</v>
      </c>
      <c r="C635" s="3">
        <v>223.98</v>
      </c>
      <c r="D635" s="3">
        <v>109.04</v>
      </c>
      <c r="E635" s="3">
        <v>1.0688</v>
      </c>
      <c r="F635" s="3">
        <v>237.36</v>
      </c>
      <c r="G635" s="3">
        <v>221.2</v>
      </c>
      <c r="H635" s="3">
        <v>171.35</v>
      </c>
      <c r="I635" s="3">
        <v>195.1</v>
      </c>
      <c r="J635" s="3">
        <v>112.51</v>
      </c>
      <c r="K635" s="3">
        <v>202.17</v>
      </c>
      <c r="L635" s="3"/>
      <c r="N635" s="4"/>
    </row>
    <row r="636" spans="1:14" ht="17.5" thickBot="1" x14ac:dyDescent="0.45">
      <c r="A636" s="4">
        <v>43493</v>
      </c>
      <c r="B636" s="3">
        <v>167.41</v>
      </c>
      <c r="C636" s="3">
        <v>224.1</v>
      </c>
      <c r="D636" s="3">
        <v>109.13</v>
      </c>
      <c r="E636" s="3">
        <v>1.0646</v>
      </c>
      <c r="F636" s="3">
        <v>236.72</v>
      </c>
      <c r="G636" s="3">
        <v>219.73</v>
      </c>
      <c r="H636" s="3">
        <v>171.01</v>
      </c>
      <c r="I636" s="3">
        <v>192.83</v>
      </c>
      <c r="J636" s="3">
        <v>112.51</v>
      </c>
      <c r="K636" s="3">
        <v>201.95</v>
      </c>
      <c r="L636" s="3"/>
      <c r="N636" s="4"/>
    </row>
    <row r="637" spans="1:14" ht="17.5" thickBot="1" x14ac:dyDescent="0.45">
      <c r="A637" s="4">
        <v>43494</v>
      </c>
      <c r="B637" s="3">
        <v>167.14</v>
      </c>
      <c r="C637" s="3">
        <v>223.03</v>
      </c>
      <c r="D637" s="3">
        <v>109.22</v>
      </c>
      <c r="E637" s="3">
        <v>1.0651999999999999</v>
      </c>
      <c r="F637" s="3">
        <v>236.86</v>
      </c>
      <c r="G637" s="3">
        <v>219.7</v>
      </c>
      <c r="H637" s="3">
        <v>171.11</v>
      </c>
      <c r="I637" s="3">
        <v>193.18</v>
      </c>
      <c r="J637" s="3">
        <v>112.51</v>
      </c>
      <c r="K637" s="3">
        <v>202.04</v>
      </c>
      <c r="L637" s="3"/>
      <c r="N637" s="4"/>
    </row>
    <row r="638" spans="1:14" ht="17.5" thickBot="1" x14ac:dyDescent="0.45">
      <c r="A638" s="4">
        <v>43495</v>
      </c>
      <c r="B638" s="3">
        <v>167.61</v>
      </c>
      <c r="C638" s="3">
        <v>223.78</v>
      </c>
      <c r="D638" s="3">
        <v>109.4</v>
      </c>
      <c r="E638" s="3">
        <v>1.0714999999999999</v>
      </c>
      <c r="F638" s="3">
        <v>237.9</v>
      </c>
      <c r="G638" s="3">
        <v>222.66</v>
      </c>
      <c r="H638" s="3">
        <v>171.81</v>
      </c>
      <c r="I638" s="3">
        <v>196.26</v>
      </c>
      <c r="J638" s="3">
        <v>112.61</v>
      </c>
      <c r="K638" s="3">
        <v>202.67</v>
      </c>
      <c r="L638" s="3"/>
      <c r="N638" s="4"/>
    </row>
    <row r="639" spans="1:14" ht="17.5" thickBot="1" x14ac:dyDescent="0.45">
      <c r="A639" s="4">
        <v>43496</v>
      </c>
      <c r="B639" s="3">
        <v>169.84</v>
      </c>
      <c r="C639" s="3">
        <v>225.79</v>
      </c>
      <c r="D639" s="3">
        <v>110.13</v>
      </c>
      <c r="E639" s="3">
        <v>1.0787</v>
      </c>
      <c r="F639" s="3">
        <v>240.31</v>
      </c>
      <c r="G639" s="3">
        <v>224.29</v>
      </c>
      <c r="H639" s="3">
        <v>173.46</v>
      </c>
      <c r="I639" s="3">
        <v>198.37</v>
      </c>
      <c r="J639" s="3">
        <v>112.61</v>
      </c>
      <c r="K639" s="3">
        <v>204.36</v>
      </c>
      <c r="L639" s="3"/>
      <c r="N639" s="4"/>
    </row>
    <row r="640" spans="1:14" ht="17.5" thickBot="1" x14ac:dyDescent="0.45">
      <c r="A640" s="4">
        <v>43497</v>
      </c>
      <c r="B640" s="3">
        <v>169.63</v>
      </c>
      <c r="C640" s="3">
        <v>225.87</v>
      </c>
      <c r="D640" s="3">
        <v>110.13</v>
      </c>
      <c r="E640" s="3">
        <v>1.0783</v>
      </c>
      <c r="F640" s="3">
        <v>240.29</v>
      </c>
      <c r="G640" s="3">
        <v>224.89</v>
      </c>
      <c r="H640" s="3">
        <v>173.41</v>
      </c>
      <c r="I640" s="3">
        <v>198.34</v>
      </c>
      <c r="J640" s="3">
        <v>112.61</v>
      </c>
      <c r="K640" s="3">
        <v>204.26</v>
      </c>
      <c r="L640" s="3"/>
      <c r="N640" s="4"/>
    </row>
    <row r="641" spans="1:14" ht="17.5" thickBot="1" x14ac:dyDescent="0.45">
      <c r="A641" s="4">
        <v>43498</v>
      </c>
      <c r="B641" s="3">
        <v>169.63</v>
      </c>
      <c r="C641" s="3">
        <v>225.87</v>
      </c>
      <c r="D641" s="3">
        <v>110.13</v>
      </c>
      <c r="E641" s="3">
        <v>1.0783</v>
      </c>
      <c r="F641" s="3">
        <v>240.29</v>
      </c>
      <c r="G641" s="3">
        <v>224.89</v>
      </c>
      <c r="H641" s="3">
        <v>173.41</v>
      </c>
      <c r="I641" s="3">
        <v>198.34</v>
      </c>
      <c r="J641" s="3">
        <v>112.61</v>
      </c>
      <c r="K641" s="3">
        <v>204.26</v>
      </c>
      <c r="L641" s="3"/>
      <c r="N641" s="4"/>
    </row>
    <row r="642" spans="1:14" ht="17.5" thickBot="1" x14ac:dyDescent="0.45">
      <c r="A642" s="4">
        <v>43499</v>
      </c>
      <c r="B642" s="3">
        <v>169.63</v>
      </c>
      <c r="C642" s="3">
        <v>225.87</v>
      </c>
      <c r="D642" s="3">
        <v>110.13</v>
      </c>
      <c r="E642" s="3">
        <v>1.0783</v>
      </c>
      <c r="F642" s="3">
        <v>240.29</v>
      </c>
      <c r="G642" s="3">
        <v>224.89</v>
      </c>
      <c r="H642" s="3">
        <v>173.41</v>
      </c>
      <c r="I642" s="3">
        <v>198.34</v>
      </c>
      <c r="J642" s="3">
        <v>112.61</v>
      </c>
      <c r="K642" s="3">
        <v>204.26</v>
      </c>
      <c r="L642" s="3"/>
      <c r="N642" s="4"/>
    </row>
    <row r="643" spans="1:14" ht="17.5" thickBot="1" x14ac:dyDescent="0.45">
      <c r="A643" s="4">
        <v>43500</v>
      </c>
      <c r="B643" s="3">
        <v>169.79</v>
      </c>
      <c r="C643" s="3">
        <v>225.51</v>
      </c>
      <c r="D643" s="3">
        <v>109.94</v>
      </c>
      <c r="E643" s="3">
        <v>1.0798000000000001</v>
      </c>
      <c r="F643" s="3">
        <v>240.78</v>
      </c>
      <c r="G643" s="3">
        <v>226.74</v>
      </c>
      <c r="H643" s="3">
        <v>173.64</v>
      </c>
      <c r="I643" s="3">
        <v>199.7</v>
      </c>
      <c r="J643" s="3">
        <v>112.61</v>
      </c>
      <c r="K643" s="3">
        <v>204.3</v>
      </c>
      <c r="L643" s="3"/>
      <c r="N643" s="4"/>
    </row>
    <row r="644" spans="1:14" ht="17.5" thickBot="1" x14ac:dyDescent="0.45">
      <c r="A644" s="4">
        <v>43501</v>
      </c>
      <c r="B644" s="3">
        <v>169.79</v>
      </c>
      <c r="C644" s="3">
        <v>225.51</v>
      </c>
      <c r="D644" s="3">
        <v>109.94</v>
      </c>
      <c r="E644" s="3">
        <v>1.0798000000000001</v>
      </c>
      <c r="F644" s="3">
        <v>240.78</v>
      </c>
      <c r="G644" s="3">
        <v>226.74</v>
      </c>
      <c r="H644" s="3">
        <v>173.64</v>
      </c>
      <c r="I644" s="3">
        <v>199.7</v>
      </c>
      <c r="J644" s="3">
        <v>112.61</v>
      </c>
      <c r="K644" s="3">
        <v>204.3</v>
      </c>
      <c r="L644" s="3"/>
      <c r="N644" s="4"/>
    </row>
    <row r="645" spans="1:14" ht="17.5" thickBot="1" x14ac:dyDescent="0.45">
      <c r="A645" s="4">
        <v>43502</v>
      </c>
      <c r="B645" s="3">
        <v>169.79</v>
      </c>
      <c r="C645" s="3">
        <v>225.51</v>
      </c>
      <c r="D645" s="3">
        <v>109.94</v>
      </c>
      <c r="E645" s="3">
        <v>1.0798000000000001</v>
      </c>
      <c r="F645" s="3">
        <v>240.78</v>
      </c>
      <c r="G645" s="3">
        <v>226.74</v>
      </c>
      <c r="H645" s="3">
        <v>173.64</v>
      </c>
      <c r="I645" s="3">
        <v>199.7</v>
      </c>
      <c r="J645" s="3">
        <v>112.61</v>
      </c>
      <c r="K645" s="3">
        <v>204.3</v>
      </c>
      <c r="L645" s="3"/>
      <c r="N645" s="4"/>
    </row>
    <row r="646" spans="1:14" ht="17.5" thickBot="1" x14ac:dyDescent="0.45">
      <c r="A646" s="4">
        <v>43503</v>
      </c>
      <c r="B646" s="3">
        <v>169.79</v>
      </c>
      <c r="C646" s="3">
        <v>225.51</v>
      </c>
      <c r="D646" s="3">
        <v>109.94</v>
      </c>
      <c r="E646" s="3">
        <v>1.0798000000000001</v>
      </c>
      <c r="F646" s="3">
        <v>240.78</v>
      </c>
      <c r="G646" s="3">
        <v>226.74</v>
      </c>
      <c r="H646" s="3">
        <v>173.64</v>
      </c>
      <c r="I646" s="3">
        <v>199.7</v>
      </c>
      <c r="J646" s="3">
        <v>112.61</v>
      </c>
      <c r="K646" s="3">
        <v>204.3</v>
      </c>
      <c r="L646" s="3"/>
      <c r="N646" s="4"/>
    </row>
    <row r="647" spans="1:14" ht="17.5" thickBot="1" x14ac:dyDescent="0.45">
      <c r="A647" s="4">
        <v>43504</v>
      </c>
      <c r="B647" s="3">
        <v>169.54</v>
      </c>
      <c r="C647" s="3">
        <v>225.04</v>
      </c>
      <c r="D647" s="3">
        <v>109.93</v>
      </c>
      <c r="E647" s="3">
        <v>1.075</v>
      </c>
      <c r="F647" s="3">
        <v>239.25</v>
      </c>
      <c r="G647" s="3">
        <v>225.61</v>
      </c>
      <c r="H647" s="3">
        <v>172.82</v>
      </c>
      <c r="I647" s="3">
        <v>196.93</v>
      </c>
      <c r="J647" s="3">
        <v>112.61</v>
      </c>
      <c r="K647" s="3">
        <v>203.71</v>
      </c>
      <c r="L647" s="3"/>
      <c r="N647" s="4"/>
    </row>
    <row r="648" spans="1:14" ht="17.5" thickBot="1" x14ac:dyDescent="0.45">
      <c r="A648" s="4">
        <v>43505</v>
      </c>
      <c r="B648" s="3">
        <v>169.54</v>
      </c>
      <c r="C648" s="3">
        <v>225.04</v>
      </c>
      <c r="D648" s="3">
        <v>109.93</v>
      </c>
      <c r="E648" s="3">
        <v>1.075</v>
      </c>
      <c r="F648" s="3">
        <v>239.25</v>
      </c>
      <c r="G648" s="3">
        <v>225.61</v>
      </c>
      <c r="H648" s="3">
        <v>172.82</v>
      </c>
      <c r="I648" s="3">
        <v>196.93</v>
      </c>
      <c r="J648" s="3">
        <v>112.61</v>
      </c>
      <c r="K648" s="3">
        <v>203.71</v>
      </c>
      <c r="L648" s="3"/>
      <c r="N648" s="4"/>
    </row>
    <row r="649" spans="1:14" ht="17.5" thickBot="1" x14ac:dyDescent="0.45">
      <c r="A649" s="4">
        <v>43506</v>
      </c>
      <c r="B649" s="3">
        <v>169.54</v>
      </c>
      <c r="C649" s="3">
        <v>225.04</v>
      </c>
      <c r="D649" s="3">
        <v>109.93</v>
      </c>
      <c r="E649" s="3">
        <v>1.075</v>
      </c>
      <c r="F649" s="3">
        <v>239.25</v>
      </c>
      <c r="G649" s="3">
        <v>225.61</v>
      </c>
      <c r="H649" s="3">
        <v>172.82</v>
      </c>
      <c r="I649" s="3">
        <v>196.93</v>
      </c>
      <c r="J649" s="3">
        <v>112.61</v>
      </c>
      <c r="K649" s="3">
        <v>203.71</v>
      </c>
      <c r="L649" s="3"/>
      <c r="N649" s="4"/>
    </row>
    <row r="650" spans="1:14" ht="17.5" thickBot="1" x14ac:dyDescent="0.45">
      <c r="A650" s="4">
        <v>43507</v>
      </c>
      <c r="B650" s="3">
        <v>170.67</v>
      </c>
      <c r="C650" s="3">
        <v>224.93</v>
      </c>
      <c r="D650" s="3">
        <v>109.83</v>
      </c>
      <c r="E650" s="3">
        <v>1.075</v>
      </c>
      <c r="F650" s="3">
        <v>239.89</v>
      </c>
      <c r="G650" s="3">
        <v>225.87</v>
      </c>
      <c r="H650" s="3">
        <v>173.11</v>
      </c>
      <c r="I650" s="3">
        <v>196.6</v>
      </c>
      <c r="J650" s="3">
        <v>112.61</v>
      </c>
      <c r="K650" s="3">
        <v>203.8</v>
      </c>
      <c r="L650" s="3"/>
      <c r="N650" s="4"/>
    </row>
    <row r="651" spans="1:14" ht="17.5" thickBot="1" x14ac:dyDescent="0.45">
      <c r="A651" s="4">
        <v>43508</v>
      </c>
      <c r="B651" s="3">
        <v>171</v>
      </c>
      <c r="C651" s="3">
        <v>226.09</v>
      </c>
      <c r="D651" s="3">
        <v>109.74</v>
      </c>
      <c r="E651" s="3">
        <v>1.0821000000000001</v>
      </c>
      <c r="F651" s="3">
        <v>241.28</v>
      </c>
      <c r="G651" s="3">
        <v>228.56</v>
      </c>
      <c r="H651" s="3">
        <v>173.91</v>
      </c>
      <c r="I651" s="3">
        <v>199.54</v>
      </c>
      <c r="J651" s="3">
        <v>112.61</v>
      </c>
      <c r="K651" s="3">
        <v>204.46</v>
      </c>
      <c r="L651" s="3"/>
      <c r="N651" s="4"/>
    </row>
    <row r="652" spans="1:14" ht="17.5" thickBot="1" x14ac:dyDescent="0.45">
      <c r="A652" s="4">
        <v>43509</v>
      </c>
      <c r="B652" s="3">
        <v>172.91</v>
      </c>
      <c r="C652" s="3">
        <v>227.23</v>
      </c>
      <c r="D652" s="3">
        <v>109.83</v>
      </c>
      <c r="E652" s="3">
        <v>1.0844</v>
      </c>
      <c r="F652" s="3">
        <v>242.85</v>
      </c>
      <c r="G652" s="3">
        <v>229.3</v>
      </c>
      <c r="H652" s="3">
        <v>174.81</v>
      </c>
      <c r="I652" s="3">
        <v>199.4</v>
      </c>
      <c r="J652" s="3">
        <v>112.61</v>
      </c>
      <c r="K652" s="3">
        <v>205.18</v>
      </c>
      <c r="L652" s="3"/>
      <c r="N652" s="4"/>
    </row>
    <row r="653" spans="1:14" ht="17.5" thickBot="1" x14ac:dyDescent="0.45">
      <c r="A653" s="4">
        <v>43510</v>
      </c>
      <c r="B653" s="3">
        <v>172.54</v>
      </c>
      <c r="C653" s="3">
        <v>227.39</v>
      </c>
      <c r="D653" s="3">
        <v>109.83</v>
      </c>
      <c r="E653" s="3">
        <v>1.0837000000000001</v>
      </c>
      <c r="F653" s="3">
        <v>242.49</v>
      </c>
      <c r="G653" s="3">
        <v>228.93</v>
      </c>
      <c r="H653" s="3">
        <v>174.62</v>
      </c>
      <c r="I653" s="3">
        <v>199.99</v>
      </c>
      <c r="J653" s="3">
        <v>112.61</v>
      </c>
      <c r="K653" s="3">
        <v>205.07</v>
      </c>
      <c r="L653" s="3"/>
      <c r="N653" s="4"/>
    </row>
    <row r="654" spans="1:14" ht="17.5" thickBot="1" x14ac:dyDescent="0.45">
      <c r="A654" s="4">
        <v>43511</v>
      </c>
      <c r="B654" s="3">
        <v>169.26</v>
      </c>
      <c r="C654" s="3">
        <v>225.67</v>
      </c>
      <c r="D654" s="3">
        <v>109.92</v>
      </c>
      <c r="E654" s="3">
        <v>1.0882000000000001</v>
      </c>
      <c r="F654" s="3">
        <v>241.65</v>
      </c>
      <c r="G654" s="3">
        <v>231.55</v>
      </c>
      <c r="H654" s="3">
        <v>174.08</v>
      </c>
      <c r="I654" s="3">
        <v>202.05</v>
      </c>
      <c r="J654" s="3">
        <v>112.61</v>
      </c>
      <c r="K654" s="3">
        <v>204.64</v>
      </c>
      <c r="L654" s="3"/>
      <c r="N654" s="4"/>
    </row>
    <row r="655" spans="1:14" ht="17.5" thickBot="1" x14ac:dyDescent="0.45">
      <c r="A655" s="4">
        <v>43512</v>
      </c>
      <c r="B655" s="3">
        <v>169.26</v>
      </c>
      <c r="C655" s="3">
        <v>225.67</v>
      </c>
      <c r="D655" s="3">
        <v>109.92</v>
      </c>
      <c r="E655" s="3">
        <v>1.0882000000000001</v>
      </c>
      <c r="F655" s="3">
        <v>241.65</v>
      </c>
      <c r="G655" s="3">
        <v>231.55</v>
      </c>
      <c r="H655" s="3">
        <v>174.08</v>
      </c>
      <c r="I655" s="3">
        <v>202.05</v>
      </c>
      <c r="J655" s="3">
        <v>112.61</v>
      </c>
      <c r="K655" s="3">
        <v>204.64</v>
      </c>
      <c r="L655" s="3"/>
      <c r="N655" s="4"/>
    </row>
    <row r="656" spans="1:14" ht="17.5" thickBot="1" x14ac:dyDescent="0.45">
      <c r="A656" s="4">
        <v>43513</v>
      </c>
      <c r="B656" s="3">
        <v>169.26</v>
      </c>
      <c r="C656" s="3">
        <v>225.67</v>
      </c>
      <c r="D656" s="3">
        <v>109.92</v>
      </c>
      <c r="E656" s="3">
        <v>1.0882000000000001</v>
      </c>
      <c r="F656" s="3">
        <v>241.65</v>
      </c>
      <c r="G656" s="3">
        <v>231.55</v>
      </c>
      <c r="H656" s="3">
        <v>174.08</v>
      </c>
      <c r="I656" s="3">
        <v>202.05</v>
      </c>
      <c r="J656" s="3">
        <v>112.61</v>
      </c>
      <c r="K656" s="3">
        <v>204.64</v>
      </c>
      <c r="L656" s="3"/>
      <c r="N656" s="4"/>
    </row>
    <row r="657" spans="1:14" ht="17.5" thickBot="1" x14ac:dyDescent="0.45">
      <c r="A657" s="4">
        <v>43514</v>
      </c>
      <c r="B657" s="3">
        <v>172.28</v>
      </c>
      <c r="C657" s="3">
        <v>227.15</v>
      </c>
      <c r="D657" s="3">
        <v>110</v>
      </c>
      <c r="E657" s="3">
        <v>1.0905</v>
      </c>
      <c r="F657" s="3">
        <v>243.67</v>
      </c>
      <c r="G657" s="3">
        <v>231.51</v>
      </c>
      <c r="H657" s="3">
        <v>175.33</v>
      </c>
      <c r="I657" s="3">
        <v>202.03</v>
      </c>
      <c r="J657" s="3">
        <v>112.61</v>
      </c>
      <c r="K657" s="3">
        <v>205.75</v>
      </c>
      <c r="L657" s="3"/>
      <c r="N657" s="4"/>
    </row>
    <row r="658" spans="1:14" ht="17.5" thickBot="1" x14ac:dyDescent="0.45">
      <c r="A658" s="4">
        <v>43515</v>
      </c>
      <c r="B658" s="3">
        <v>171.68</v>
      </c>
      <c r="C658" s="3">
        <v>226.53</v>
      </c>
      <c r="D658" s="3">
        <v>110.09</v>
      </c>
      <c r="E658" s="3">
        <v>1.0916999999999999</v>
      </c>
      <c r="F658" s="3">
        <v>243.51</v>
      </c>
      <c r="G658" s="3">
        <v>231.71</v>
      </c>
      <c r="H658" s="3">
        <v>175.28</v>
      </c>
      <c r="I658" s="3">
        <v>202.2</v>
      </c>
      <c r="J658" s="3">
        <v>112.61</v>
      </c>
      <c r="K658" s="3">
        <v>205.8</v>
      </c>
      <c r="L658" s="3"/>
      <c r="N658" s="4"/>
    </row>
    <row r="659" spans="1:14" ht="17.5" thickBot="1" x14ac:dyDescent="0.45">
      <c r="A659" s="4">
        <v>43516</v>
      </c>
      <c r="B659" s="3">
        <v>173.25</v>
      </c>
      <c r="C659" s="3">
        <v>229.49</v>
      </c>
      <c r="D659" s="3">
        <v>110.45</v>
      </c>
      <c r="E659" s="3">
        <v>1.0948</v>
      </c>
      <c r="F659" s="3">
        <v>245.28</v>
      </c>
      <c r="G659" s="3">
        <v>232.45</v>
      </c>
      <c r="H659" s="3">
        <v>176.37</v>
      </c>
      <c r="I659" s="3">
        <v>202.34</v>
      </c>
      <c r="J659" s="3">
        <v>112.61</v>
      </c>
      <c r="K659" s="3">
        <v>206.74</v>
      </c>
      <c r="L659" s="3"/>
      <c r="N659" s="4"/>
    </row>
    <row r="660" spans="1:14" ht="17.5" thickBot="1" x14ac:dyDescent="0.45">
      <c r="A660" s="4">
        <v>43517</v>
      </c>
      <c r="B660" s="3">
        <v>174.18</v>
      </c>
      <c r="C660" s="3">
        <v>229.41</v>
      </c>
      <c r="D660" s="3">
        <v>110.09</v>
      </c>
      <c r="E660" s="3">
        <v>1.0926</v>
      </c>
      <c r="F660" s="3">
        <v>245.5</v>
      </c>
      <c r="G660" s="3">
        <v>231.32</v>
      </c>
      <c r="H660" s="3">
        <v>176.46</v>
      </c>
      <c r="I660" s="3">
        <v>201.79</v>
      </c>
      <c r="J660" s="3">
        <v>112.61</v>
      </c>
      <c r="K660" s="3">
        <v>206.72</v>
      </c>
      <c r="L660" s="3"/>
      <c r="N660" s="4"/>
    </row>
    <row r="661" spans="1:14" ht="17.5" thickBot="1" x14ac:dyDescent="0.45">
      <c r="A661" s="4">
        <v>43518</v>
      </c>
      <c r="B661" s="3">
        <v>175.45</v>
      </c>
      <c r="C661" s="3">
        <v>229.87</v>
      </c>
      <c r="D661" s="3">
        <v>110.18</v>
      </c>
      <c r="E661" s="3">
        <v>1.0964</v>
      </c>
      <c r="F661" s="3">
        <v>246.52</v>
      </c>
      <c r="G661" s="3">
        <v>232.81</v>
      </c>
      <c r="H661" s="3">
        <v>177.11</v>
      </c>
      <c r="I661" s="3">
        <v>203.18</v>
      </c>
      <c r="J661" s="3">
        <v>112.61</v>
      </c>
      <c r="K661" s="3">
        <v>207.35</v>
      </c>
      <c r="L661" s="3"/>
      <c r="N661" s="4"/>
    </row>
    <row r="662" spans="1:14" ht="17.5" thickBot="1" x14ac:dyDescent="0.45">
      <c r="A662" s="4">
        <v>43519</v>
      </c>
      <c r="B662" s="3">
        <v>175.45</v>
      </c>
      <c r="C662" s="3">
        <v>229.87</v>
      </c>
      <c r="D662" s="3">
        <v>110.18</v>
      </c>
      <c r="E662" s="3">
        <v>1.0964</v>
      </c>
      <c r="F662" s="3">
        <v>246.52</v>
      </c>
      <c r="G662" s="3">
        <v>232.81</v>
      </c>
      <c r="H662" s="3">
        <v>177.11</v>
      </c>
      <c r="I662" s="3">
        <v>203.18</v>
      </c>
      <c r="J662" s="3">
        <v>112.61</v>
      </c>
      <c r="K662" s="3">
        <v>207.35</v>
      </c>
      <c r="L662" s="3"/>
      <c r="N662" s="4"/>
    </row>
    <row r="663" spans="1:14" ht="17.5" thickBot="1" x14ac:dyDescent="0.45">
      <c r="A663" s="4">
        <v>43520</v>
      </c>
      <c r="B663" s="3">
        <v>175.45</v>
      </c>
      <c r="C663" s="3">
        <v>229.87</v>
      </c>
      <c r="D663" s="3">
        <v>110.18</v>
      </c>
      <c r="E663" s="3">
        <v>1.0964</v>
      </c>
      <c r="F663" s="3">
        <v>246.52</v>
      </c>
      <c r="G663" s="3">
        <v>232.81</v>
      </c>
      <c r="H663" s="3">
        <v>177.11</v>
      </c>
      <c r="I663" s="3">
        <v>203.18</v>
      </c>
      <c r="J663" s="3">
        <v>112.61</v>
      </c>
      <c r="K663" s="3">
        <v>207.35</v>
      </c>
      <c r="L663" s="3"/>
      <c r="N663" s="4"/>
    </row>
    <row r="664" spans="1:14" ht="17.5" thickBot="1" x14ac:dyDescent="0.45">
      <c r="A664" s="4">
        <v>43521</v>
      </c>
      <c r="B664" s="3">
        <v>176.83</v>
      </c>
      <c r="C664" s="3">
        <v>231.95</v>
      </c>
      <c r="D664" s="3">
        <v>110.44</v>
      </c>
      <c r="E664" s="3">
        <v>1.0981000000000001</v>
      </c>
      <c r="F664" s="3">
        <v>247.59</v>
      </c>
      <c r="G664" s="3">
        <v>232.77</v>
      </c>
      <c r="H664" s="3">
        <v>177.77</v>
      </c>
      <c r="I664" s="3">
        <v>203.16</v>
      </c>
      <c r="J664" s="3">
        <v>112.68</v>
      </c>
      <c r="K664" s="3">
        <v>207.91</v>
      </c>
      <c r="L664" s="3"/>
      <c r="N664" s="4"/>
    </row>
    <row r="665" spans="1:14" ht="17.5" thickBot="1" x14ac:dyDescent="0.45">
      <c r="A665" s="4">
        <v>43522</v>
      </c>
      <c r="B665" s="3">
        <v>175.68</v>
      </c>
      <c r="C665" s="3">
        <v>230.72</v>
      </c>
      <c r="D665" s="3">
        <v>110.44</v>
      </c>
      <c r="E665" s="3">
        <v>1.0982000000000001</v>
      </c>
      <c r="F665" s="3">
        <v>247.1</v>
      </c>
      <c r="G665" s="3">
        <v>232.58</v>
      </c>
      <c r="H665" s="3">
        <v>177.54</v>
      </c>
      <c r="I665" s="3">
        <v>203.06</v>
      </c>
      <c r="J665" s="3">
        <v>112.68</v>
      </c>
      <c r="K665" s="3">
        <v>207.78</v>
      </c>
      <c r="L665" s="3"/>
      <c r="N665" s="4"/>
    </row>
    <row r="666" spans="1:14" ht="17.5" thickBot="1" x14ac:dyDescent="0.45">
      <c r="A666" s="4">
        <v>43523</v>
      </c>
      <c r="B666" s="3">
        <v>175.35</v>
      </c>
      <c r="C666" s="3">
        <v>230.58</v>
      </c>
      <c r="D666" s="3">
        <v>110.35</v>
      </c>
      <c r="E666" s="3">
        <v>1.0971</v>
      </c>
      <c r="F666" s="3">
        <v>246.76</v>
      </c>
      <c r="G666" s="3">
        <v>232.72</v>
      </c>
      <c r="H666" s="3">
        <v>177.26</v>
      </c>
      <c r="I666" s="3">
        <v>202.79</v>
      </c>
      <c r="J666" s="3">
        <v>112.68</v>
      </c>
      <c r="K666" s="3">
        <v>207.47</v>
      </c>
      <c r="L666" s="3"/>
      <c r="N666" s="4"/>
    </row>
    <row r="667" spans="1:14" ht="17.5" thickBot="1" x14ac:dyDescent="0.45">
      <c r="A667" s="4">
        <v>43524</v>
      </c>
      <c r="B667" s="3">
        <v>174.44</v>
      </c>
      <c r="C667" s="3">
        <v>228.49</v>
      </c>
      <c r="D667" s="3">
        <v>110.07</v>
      </c>
      <c r="E667" s="3">
        <v>1.0944</v>
      </c>
      <c r="F667" s="3">
        <v>245.57</v>
      </c>
      <c r="G667" s="3">
        <v>231.73</v>
      </c>
      <c r="H667" s="3">
        <v>176.53</v>
      </c>
      <c r="I667" s="3">
        <v>201.47</v>
      </c>
      <c r="J667" s="3">
        <v>112.68</v>
      </c>
      <c r="K667" s="3">
        <v>206.8</v>
      </c>
      <c r="L667" s="3"/>
      <c r="N667" s="4"/>
    </row>
    <row r="668" spans="1:14" ht="17.5" thickBot="1" x14ac:dyDescent="0.45">
      <c r="A668" s="4">
        <v>43525</v>
      </c>
      <c r="B668" s="3">
        <v>175.71</v>
      </c>
      <c r="C668" s="3">
        <v>228.74</v>
      </c>
      <c r="D668" s="3">
        <v>109.7</v>
      </c>
      <c r="E668" s="3">
        <v>1.0968</v>
      </c>
      <c r="F668" s="3">
        <v>246.87</v>
      </c>
      <c r="G668" s="3">
        <v>233.22</v>
      </c>
      <c r="H668" s="3">
        <v>177.23</v>
      </c>
      <c r="I668" s="3">
        <v>202.08</v>
      </c>
      <c r="J668" s="3">
        <v>112.68</v>
      </c>
      <c r="K668" s="3">
        <v>207.29</v>
      </c>
      <c r="L668" s="3"/>
      <c r="N668" s="4"/>
    </row>
    <row r="669" spans="1:14" ht="17.5" thickBot="1" x14ac:dyDescent="0.45">
      <c r="A669" s="4">
        <v>43526</v>
      </c>
      <c r="B669" s="3">
        <v>175.71</v>
      </c>
      <c r="C669" s="3">
        <v>228.74</v>
      </c>
      <c r="D669" s="3">
        <v>109.7</v>
      </c>
      <c r="E669" s="3">
        <v>1.0968</v>
      </c>
      <c r="F669" s="3">
        <v>246.87</v>
      </c>
      <c r="G669" s="3">
        <v>233.22</v>
      </c>
      <c r="H669" s="3">
        <v>177.23</v>
      </c>
      <c r="I669" s="3">
        <v>202.08</v>
      </c>
      <c r="J669" s="3">
        <v>112.68</v>
      </c>
      <c r="K669" s="3">
        <v>207.29</v>
      </c>
      <c r="L669" s="3"/>
      <c r="N669" s="4"/>
    </row>
    <row r="670" spans="1:14" ht="17.5" thickBot="1" x14ac:dyDescent="0.45">
      <c r="A670" s="4">
        <v>43527</v>
      </c>
      <c r="B670" s="3">
        <v>175.71</v>
      </c>
      <c r="C670" s="3">
        <v>228.74</v>
      </c>
      <c r="D670" s="3">
        <v>109.7</v>
      </c>
      <c r="E670" s="3">
        <v>1.0968</v>
      </c>
      <c r="F670" s="3">
        <v>246.87</v>
      </c>
      <c r="G670" s="3">
        <v>233.22</v>
      </c>
      <c r="H670" s="3">
        <v>177.23</v>
      </c>
      <c r="I670" s="3">
        <v>202.08</v>
      </c>
      <c r="J670" s="3">
        <v>112.68</v>
      </c>
      <c r="K670" s="3">
        <v>207.29</v>
      </c>
      <c r="L670" s="3"/>
      <c r="N670" s="4"/>
    </row>
    <row r="671" spans="1:14" ht="17.5" thickBot="1" x14ac:dyDescent="0.45">
      <c r="A671" s="4">
        <v>43528</v>
      </c>
      <c r="B671" s="3">
        <v>176.42</v>
      </c>
      <c r="C671" s="3">
        <v>228.34</v>
      </c>
      <c r="D671" s="3">
        <v>109.61</v>
      </c>
      <c r="E671" s="3">
        <v>1.0959000000000001</v>
      </c>
      <c r="F671" s="3">
        <v>247.36</v>
      </c>
      <c r="G671" s="3">
        <v>231.81</v>
      </c>
      <c r="H671" s="3">
        <v>177.55</v>
      </c>
      <c r="I671" s="3">
        <v>201.31</v>
      </c>
      <c r="J671" s="3">
        <v>112.68</v>
      </c>
      <c r="K671" s="3">
        <v>207.53</v>
      </c>
      <c r="L671" s="3"/>
      <c r="N671" s="4"/>
    </row>
    <row r="672" spans="1:14" ht="17.5" thickBot="1" x14ac:dyDescent="0.45">
      <c r="A672" s="4">
        <v>43529</v>
      </c>
      <c r="B672" s="3">
        <v>176.63</v>
      </c>
      <c r="C672" s="3">
        <v>227.67</v>
      </c>
      <c r="D672" s="3">
        <v>109.6</v>
      </c>
      <c r="E672" s="3">
        <v>1.0952999999999999</v>
      </c>
      <c r="F672" s="3">
        <v>247.14</v>
      </c>
      <c r="G672" s="3">
        <v>231.79</v>
      </c>
      <c r="H672" s="3">
        <v>177.41</v>
      </c>
      <c r="I672" s="3">
        <v>201.38</v>
      </c>
      <c r="J672" s="3">
        <v>112.68</v>
      </c>
      <c r="K672" s="3">
        <v>207.39</v>
      </c>
      <c r="L672" s="3"/>
      <c r="N672" s="4"/>
    </row>
    <row r="673" spans="1:14" ht="17.5" thickBot="1" x14ac:dyDescent="0.45">
      <c r="A673" s="4">
        <v>43530</v>
      </c>
      <c r="B673" s="3">
        <v>177.02</v>
      </c>
      <c r="C673" s="3">
        <v>227.93</v>
      </c>
      <c r="D673" s="3">
        <v>109.6</v>
      </c>
      <c r="E673" s="3">
        <v>1.0941000000000001</v>
      </c>
      <c r="F673" s="3">
        <v>247.16</v>
      </c>
      <c r="G673" s="3">
        <v>230.37</v>
      </c>
      <c r="H673" s="3">
        <v>177.5</v>
      </c>
      <c r="I673" s="3">
        <v>199.47</v>
      </c>
      <c r="J673" s="3">
        <v>112.69</v>
      </c>
      <c r="K673" s="3">
        <v>207.56</v>
      </c>
      <c r="L673" s="3"/>
      <c r="N673" s="4"/>
    </row>
    <row r="674" spans="1:14" ht="17.5" thickBot="1" x14ac:dyDescent="0.45">
      <c r="A674" s="4">
        <v>43531</v>
      </c>
      <c r="B674" s="3">
        <v>175.08</v>
      </c>
      <c r="C674" s="3">
        <v>228.31</v>
      </c>
      <c r="D674" s="3">
        <v>109.69</v>
      </c>
      <c r="E674" s="3">
        <v>1.0902000000000001</v>
      </c>
      <c r="F674" s="3">
        <v>245.15</v>
      </c>
      <c r="G674" s="3">
        <v>228.05</v>
      </c>
      <c r="H674" s="3">
        <v>176.36</v>
      </c>
      <c r="I674" s="3">
        <v>197.81</v>
      </c>
      <c r="J674" s="3">
        <v>112.69</v>
      </c>
      <c r="K674" s="3">
        <v>206.64</v>
      </c>
      <c r="L674" s="3"/>
      <c r="N674" s="4"/>
    </row>
    <row r="675" spans="1:14" ht="17.5" thickBot="1" x14ac:dyDescent="0.45">
      <c r="A675" s="4">
        <v>43532</v>
      </c>
      <c r="B675" s="3">
        <v>171.85</v>
      </c>
      <c r="C675" s="3">
        <v>225.86</v>
      </c>
      <c r="D675" s="3">
        <v>109.78</v>
      </c>
      <c r="E675" s="3">
        <v>1.0865</v>
      </c>
      <c r="F675" s="3">
        <v>242.03</v>
      </c>
      <c r="G675" s="3">
        <v>227.21</v>
      </c>
      <c r="H675" s="3">
        <v>174.5</v>
      </c>
      <c r="I675" s="3">
        <v>197.79</v>
      </c>
      <c r="J675" s="3">
        <v>112.69</v>
      </c>
      <c r="K675" s="3">
        <v>205.08</v>
      </c>
      <c r="L675" s="3"/>
      <c r="N675" s="4"/>
    </row>
    <row r="676" spans="1:14" ht="17.5" thickBot="1" x14ac:dyDescent="0.45">
      <c r="A676" s="4">
        <v>43533</v>
      </c>
      <c r="B676" s="3">
        <v>171.85</v>
      </c>
      <c r="C676" s="3">
        <v>225.86</v>
      </c>
      <c r="D676" s="3">
        <v>109.78</v>
      </c>
      <c r="E676" s="3">
        <v>1.0865</v>
      </c>
      <c r="F676" s="3">
        <v>242.03</v>
      </c>
      <c r="G676" s="3">
        <v>227.21</v>
      </c>
      <c r="H676" s="3">
        <v>174.5</v>
      </c>
      <c r="I676" s="3">
        <v>197.79</v>
      </c>
      <c r="J676" s="3">
        <v>112.69</v>
      </c>
      <c r="K676" s="3">
        <v>205.08</v>
      </c>
      <c r="L676" s="3"/>
      <c r="N676" s="4"/>
    </row>
    <row r="677" spans="1:14" ht="17.5" thickBot="1" x14ac:dyDescent="0.45">
      <c r="A677" s="4">
        <v>43534</v>
      </c>
      <c r="B677" s="3">
        <v>171.85</v>
      </c>
      <c r="C677" s="3">
        <v>225.86</v>
      </c>
      <c r="D677" s="3">
        <v>109.78</v>
      </c>
      <c r="E677" s="3">
        <v>1.0865</v>
      </c>
      <c r="F677" s="3">
        <v>242.03</v>
      </c>
      <c r="G677" s="3">
        <v>227.21</v>
      </c>
      <c r="H677" s="3">
        <v>174.5</v>
      </c>
      <c r="I677" s="3">
        <v>197.79</v>
      </c>
      <c r="J677" s="3">
        <v>112.69</v>
      </c>
      <c r="K677" s="3">
        <v>205.08</v>
      </c>
      <c r="L677" s="3"/>
      <c r="N677" s="4"/>
    </row>
    <row r="678" spans="1:14" ht="17.5" thickBot="1" x14ac:dyDescent="0.45">
      <c r="A678" s="4">
        <v>43535</v>
      </c>
      <c r="B678" s="3">
        <v>173.65</v>
      </c>
      <c r="C678" s="3">
        <v>226.34</v>
      </c>
      <c r="D678" s="3">
        <v>109.87</v>
      </c>
      <c r="E678" s="3">
        <v>1.0932999999999999</v>
      </c>
      <c r="F678" s="3">
        <v>243.81</v>
      </c>
      <c r="G678" s="3">
        <v>230.04</v>
      </c>
      <c r="H678" s="3">
        <v>175.56</v>
      </c>
      <c r="I678" s="3">
        <v>201.36</v>
      </c>
      <c r="J678" s="3">
        <v>112.69</v>
      </c>
      <c r="K678" s="3">
        <v>205.96</v>
      </c>
      <c r="L678" s="3"/>
      <c r="N678" s="4"/>
    </row>
    <row r="679" spans="1:14" ht="17.5" thickBot="1" x14ac:dyDescent="0.45">
      <c r="A679" s="4">
        <v>43536</v>
      </c>
      <c r="B679" s="3">
        <v>176.54</v>
      </c>
      <c r="C679" s="3">
        <v>228.68</v>
      </c>
      <c r="D679" s="3">
        <v>110.05</v>
      </c>
      <c r="E679" s="3">
        <v>1.097</v>
      </c>
      <c r="F679" s="3">
        <v>245.8</v>
      </c>
      <c r="G679" s="3">
        <v>230.62</v>
      </c>
      <c r="H679" s="3">
        <v>176.84</v>
      </c>
      <c r="I679" s="3">
        <v>202.05</v>
      </c>
      <c r="J679" s="3">
        <v>112.69</v>
      </c>
      <c r="K679" s="3">
        <v>207.18</v>
      </c>
      <c r="L679" s="3"/>
      <c r="N679" s="4"/>
    </row>
    <row r="680" spans="1:14" ht="17.5" thickBot="1" x14ac:dyDescent="0.45">
      <c r="A680" s="4">
        <v>43537</v>
      </c>
      <c r="B680" s="3">
        <v>175.42</v>
      </c>
      <c r="C680" s="3">
        <v>228.46</v>
      </c>
      <c r="D680" s="3">
        <v>110.14</v>
      </c>
      <c r="E680" s="3">
        <v>1.1000000000000001</v>
      </c>
      <c r="F680" s="3">
        <v>246.09</v>
      </c>
      <c r="G680" s="3">
        <v>231.97</v>
      </c>
      <c r="H680" s="3">
        <v>177.06</v>
      </c>
      <c r="I680" s="3">
        <v>203.63</v>
      </c>
      <c r="J680" s="3">
        <v>112.69</v>
      </c>
      <c r="K680" s="3">
        <v>207.44</v>
      </c>
      <c r="L680" s="3"/>
      <c r="N680" s="4"/>
    </row>
    <row r="681" spans="1:14" ht="17.5" thickBot="1" x14ac:dyDescent="0.45">
      <c r="A681" s="4">
        <v>43538</v>
      </c>
      <c r="B681" s="3">
        <v>175.96</v>
      </c>
      <c r="C681" s="3">
        <v>228.37</v>
      </c>
      <c r="D681" s="3">
        <v>109.95</v>
      </c>
      <c r="E681" s="3">
        <v>1.0999000000000001</v>
      </c>
      <c r="F681" s="3">
        <v>245.95</v>
      </c>
      <c r="G681" s="3">
        <v>231.87</v>
      </c>
      <c r="H681" s="3">
        <v>176.94</v>
      </c>
      <c r="I681" s="3">
        <v>203.06</v>
      </c>
      <c r="J681" s="3">
        <v>112.69</v>
      </c>
      <c r="K681" s="3">
        <v>207.3</v>
      </c>
      <c r="L681" s="3"/>
      <c r="N681" s="4"/>
    </row>
    <row r="682" spans="1:14" ht="17.5" thickBot="1" x14ac:dyDescent="0.45">
      <c r="A682" s="4">
        <v>43539</v>
      </c>
      <c r="B682" s="3">
        <v>177.25</v>
      </c>
      <c r="C682" s="3">
        <v>229.28</v>
      </c>
      <c r="D682" s="3">
        <v>110.04</v>
      </c>
      <c r="E682" s="3">
        <v>1.1044</v>
      </c>
      <c r="F682" s="3">
        <v>247.44</v>
      </c>
      <c r="G682" s="3">
        <v>232.99</v>
      </c>
      <c r="H682" s="3">
        <v>177.88</v>
      </c>
      <c r="I682" s="3">
        <v>204.33</v>
      </c>
      <c r="J682" s="3">
        <v>112.69</v>
      </c>
      <c r="K682" s="3">
        <v>208.19</v>
      </c>
      <c r="L682" s="3"/>
      <c r="N682" s="4"/>
    </row>
    <row r="683" spans="1:14" ht="17.5" thickBot="1" x14ac:dyDescent="0.45">
      <c r="A683" s="4">
        <v>43540</v>
      </c>
      <c r="B683" s="3">
        <v>177.25</v>
      </c>
      <c r="C683" s="3">
        <v>229.28</v>
      </c>
      <c r="D683" s="3">
        <v>110.04</v>
      </c>
      <c r="E683" s="3">
        <v>1.1044</v>
      </c>
      <c r="F683" s="3">
        <v>247.44</v>
      </c>
      <c r="G683" s="3">
        <v>232.99</v>
      </c>
      <c r="H683" s="3">
        <v>177.88</v>
      </c>
      <c r="I683" s="3">
        <v>204.33</v>
      </c>
      <c r="J683" s="3">
        <v>112.69</v>
      </c>
      <c r="K683" s="3">
        <v>208.19</v>
      </c>
      <c r="L683" s="3"/>
      <c r="N683" s="4"/>
    </row>
    <row r="684" spans="1:14" ht="17.5" thickBot="1" x14ac:dyDescent="0.45">
      <c r="A684" s="4">
        <v>43541</v>
      </c>
      <c r="B684" s="3">
        <v>177.25</v>
      </c>
      <c r="C684" s="3">
        <v>229.28</v>
      </c>
      <c r="D684" s="3">
        <v>110.04</v>
      </c>
      <c r="E684" s="3">
        <v>1.1044</v>
      </c>
      <c r="F684" s="3">
        <v>247.44</v>
      </c>
      <c r="G684" s="3">
        <v>232.99</v>
      </c>
      <c r="H684" s="3">
        <v>177.88</v>
      </c>
      <c r="I684" s="3">
        <v>204.33</v>
      </c>
      <c r="J684" s="3">
        <v>112.69</v>
      </c>
      <c r="K684" s="3">
        <v>208.19</v>
      </c>
      <c r="L684" s="3"/>
      <c r="N684" s="4"/>
    </row>
    <row r="685" spans="1:14" ht="17.5" thickBot="1" x14ac:dyDescent="0.45">
      <c r="A685" s="4">
        <v>43542</v>
      </c>
      <c r="B685" s="3">
        <v>179.12</v>
      </c>
      <c r="C685" s="3">
        <v>230.77</v>
      </c>
      <c r="D685" s="3">
        <v>110.31</v>
      </c>
      <c r="E685" s="3">
        <v>1.1081000000000001</v>
      </c>
      <c r="F685" s="3">
        <v>249.57</v>
      </c>
      <c r="G685" s="3">
        <v>234</v>
      </c>
      <c r="H685" s="3">
        <v>179.18</v>
      </c>
      <c r="I685" s="3">
        <v>205.73</v>
      </c>
      <c r="J685" s="3">
        <v>112.69</v>
      </c>
      <c r="K685" s="3">
        <v>209.33</v>
      </c>
      <c r="L685" s="3"/>
      <c r="N685" s="4"/>
    </row>
    <row r="686" spans="1:14" ht="17.5" thickBot="1" x14ac:dyDescent="0.45">
      <c r="A686" s="4">
        <v>43543</v>
      </c>
      <c r="B686" s="3">
        <v>179.57</v>
      </c>
      <c r="C686" s="3">
        <v>231.41</v>
      </c>
      <c r="D686" s="3">
        <v>110.4</v>
      </c>
      <c r="E686" s="3">
        <v>1.1089</v>
      </c>
      <c r="F686" s="3">
        <v>249.91</v>
      </c>
      <c r="G686" s="3">
        <v>233.68</v>
      </c>
      <c r="H686" s="3">
        <v>179.39</v>
      </c>
      <c r="I686" s="3">
        <v>205.71</v>
      </c>
      <c r="J686" s="3">
        <v>112.69</v>
      </c>
      <c r="K686" s="3">
        <v>209.52</v>
      </c>
      <c r="L686" s="3"/>
      <c r="N686" s="4"/>
    </row>
    <row r="687" spans="1:14" ht="17.5" thickBot="1" x14ac:dyDescent="0.45">
      <c r="A687" s="4">
        <v>43544</v>
      </c>
      <c r="B687" s="3">
        <v>178.72</v>
      </c>
      <c r="C687" s="3">
        <v>231.14</v>
      </c>
      <c r="D687" s="3">
        <v>110.4</v>
      </c>
      <c r="E687" s="3">
        <v>1.1071</v>
      </c>
      <c r="F687" s="3">
        <v>248.92</v>
      </c>
      <c r="G687" s="3">
        <v>232.38</v>
      </c>
      <c r="H687" s="3">
        <v>178.91</v>
      </c>
      <c r="I687" s="3">
        <v>204.99</v>
      </c>
      <c r="J687" s="3">
        <v>112.69</v>
      </c>
      <c r="K687" s="3">
        <v>209.22</v>
      </c>
      <c r="L687" s="3"/>
      <c r="N687" s="4"/>
    </row>
    <row r="688" spans="1:14" ht="17.5" thickBot="1" x14ac:dyDescent="0.45">
      <c r="A688" s="4">
        <v>43545</v>
      </c>
      <c r="B688" s="3">
        <v>177.23</v>
      </c>
      <c r="C688" s="3">
        <v>232.86</v>
      </c>
      <c r="D688" s="3">
        <v>110.85</v>
      </c>
      <c r="E688" s="3">
        <v>1.1120000000000001</v>
      </c>
      <c r="F688" s="3">
        <v>248.99</v>
      </c>
      <c r="G688" s="3">
        <v>234.12</v>
      </c>
      <c r="H688" s="3">
        <v>179.03</v>
      </c>
      <c r="I688" s="3">
        <v>205.97</v>
      </c>
      <c r="J688" s="3">
        <v>112.75</v>
      </c>
      <c r="K688" s="3">
        <v>209.39</v>
      </c>
      <c r="L688" s="3"/>
      <c r="N688" s="4"/>
    </row>
    <row r="689" spans="1:14" ht="17.5" thickBot="1" x14ac:dyDescent="0.45">
      <c r="A689" s="4">
        <v>43546</v>
      </c>
      <c r="B689" s="3">
        <v>177.14</v>
      </c>
      <c r="C689" s="3">
        <v>232.79</v>
      </c>
      <c r="D689" s="3">
        <v>110.85</v>
      </c>
      <c r="E689" s="3">
        <v>1.1042000000000001</v>
      </c>
      <c r="F689" s="3">
        <v>247.73</v>
      </c>
      <c r="G689" s="3">
        <v>229.05</v>
      </c>
      <c r="H689" s="3">
        <v>178.48</v>
      </c>
      <c r="I689" s="3">
        <v>200.55</v>
      </c>
      <c r="J689" s="3">
        <v>112.75</v>
      </c>
      <c r="K689" s="3">
        <v>209.11</v>
      </c>
      <c r="L689" s="3"/>
      <c r="N689" s="4"/>
    </row>
    <row r="690" spans="1:14" ht="17.5" thickBot="1" x14ac:dyDescent="0.45">
      <c r="A690" s="4">
        <v>43547</v>
      </c>
      <c r="B690" s="3">
        <v>177.14</v>
      </c>
      <c r="C690" s="3">
        <v>232.79</v>
      </c>
      <c r="D690" s="3">
        <v>110.85</v>
      </c>
      <c r="E690" s="3">
        <v>1.1042000000000001</v>
      </c>
      <c r="F690" s="3">
        <v>247.73</v>
      </c>
      <c r="G690" s="3">
        <v>229.05</v>
      </c>
      <c r="H690" s="3">
        <v>178.48</v>
      </c>
      <c r="I690" s="3">
        <v>200.55</v>
      </c>
      <c r="J690" s="3">
        <v>112.75</v>
      </c>
      <c r="K690" s="3">
        <v>209.11</v>
      </c>
      <c r="L690" s="3"/>
      <c r="N690" s="4"/>
    </row>
    <row r="691" spans="1:14" ht="17.5" thickBot="1" x14ac:dyDescent="0.45">
      <c r="A691" s="4">
        <v>43548</v>
      </c>
      <c r="B691" s="3">
        <v>177.14</v>
      </c>
      <c r="C691" s="3">
        <v>232.79</v>
      </c>
      <c r="D691" s="3">
        <v>110.85</v>
      </c>
      <c r="E691" s="3">
        <v>1.1042000000000001</v>
      </c>
      <c r="F691" s="3">
        <v>247.73</v>
      </c>
      <c r="G691" s="3">
        <v>229.05</v>
      </c>
      <c r="H691" s="3">
        <v>178.48</v>
      </c>
      <c r="I691" s="3">
        <v>200.55</v>
      </c>
      <c r="J691" s="3">
        <v>112.75</v>
      </c>
      <c r="K691" s="3">
        <v>209.11</v>
      </c>
      <c r="L691" s="3"/>
      <c r="N691" s="4"/>
    </row>
    <row r="692" spans="1:14" ht="17.5" thickBot="1" x14ac:dyDescent="0.45">
      <c r="A692" s="4">
        <v>43549</v>
      </c>
      <c r="B692" s="3">
        <v>173.61</v>
      </c>
      <c r="C692" s="3">
        <v>229.48</v>
      </c>
      <c r="D692" s="3">
        <v>111.21</v>
      </c>
      <c r="E692" s="3">
        <v>1.1013999999999999</v>
      </c>
      <c r="F692" s="3">
        <v>244.83</v>
      </c>
      <c r="G692" s="3">
        <v>228.7</v>
      </c>
      <c r="H692" s="3">
        <v>176.82</v>
      </c>
      <c r="I692" s="3">
        <v>200.85</v>
      </c>
      <c r="J692" s="3">
        <v>112.75</v>
      </c>
      <c r="K692" s="3">
        <v>207.78</v>
      </c>
      <c r="L692" s="3"/>
      <c r="N692" s="4"/>
    </row>
    <row r="693" spans="1:14" ht="17.5" thickBot="1" x14ac:dyDescent="0.45">
      <c r="A693" s="4">
        <v>43550</v>
      </c>
      <c r="B693" s="3">
        <v>173.58</v>
      </c>
      <c r="C693" s="3">
        <v>230.41</v>
      </c>
      <c r="D693" s="3">
        <v>111.39</v>
      </c>
      <c r="E693" s="3">
        <v>1.1060000000000001</v>
      </c>
      <c r="F693" s="3">
        <v>246.16</v>
      </c>
      <c r="G693" s="3">
        <v>230.34</v>
      </c>
      <c r="H693" s="3">
        <v>177.55</v>
      </c>
      <c r="I693" s="3">
        <v>202.59</v>
      </c>
      <c r="J693" s="3">
        <v>112.75</v>
      </c>
      <c r="K693" s="3">
        <v>208.35</v>
      </c>
      <c r="L693" s="3"/>
      <c r="N693" s="4"/>
    </row>
    <row r="694" spans="1:14" ht="17.5" thickBot="1" x14ac:dyDescent="0.45">
      <c r="A694" s="4">
        <v>43551</v>
      </c>
      <c r="B694" s="3">
        <v>175.08</v>
      </c>
      <c r="C694" s="3">
        <v>229.46</v>
      </c>
      <c r="D694" s="3">
        <v>111.3</v>
      </c>
      <c r="E694" s="3">
        <v>1.1046</v>
      </c>
      <c r="F694" s="3">
        <v>246.65</v>
      </c>
      <c r="G694" s="3">
        <v>229.48</v>
      </c>
      <c r="H694" s="3">
        <v>177.91</v>
      </c>
      <c r="I694" s="3">
        <v>200.13</v>
      </c>
      <c r="J694" s="3">
        <v>112.75</v>
      </c>
      <c r="K694" s="3">
        <v>208.73</v>
      </c>
      <c r="L694" s="3"/>
      <c r="N694" s="4"/>
    </row>
    <row r="695" spans="1:14" ht="17.5" thickBot="1" x14ac:dyDescent="0.45">
      <c r="A695" s="4">
        <v>43552</v>
      </c>
      <c r="B695" s="3">
        <v>174.74</v>
      </c>
      <c r="C695" s="3">
        <v>230.03</v>
      </c>
      <c r="D695" s="3">
        <v>111.29</v>
      </c>
      <c r="E695" s="3">
        <v>1.1049</v>
      </c>
      <c r="F695" s="3">
        <v>246.33</v>
      </c>
      <c r="G695" s="3">
        <v>230.83</v>
      </c>
      <c r="H695" s="3">
        <v>177.69</v>
      </c>
      <c r="I695" s="3">
        <v>201.58</v>
      </c>
      <c r="J695" s="3">
        <v>112.75</v>
      </c>
      <c r="K695" s="3">
        <v>208.49</v>
      </c>
      <c r="L695" s="3"/>
      <c r="N695" s="4"/>
    </row>
    <row r="696" spans="1:14" ht="17.5" thickBot="1" x14ac:dyDescent="0.45">
      <c r="A696" s="4">
        <v>43553</v>
      </c>
      <c r="B696" s="3">
        <v>176.71</v>
      </c>
      <c r="C696" s="3">
        <v>231.63</v>
      </c>
      <c r="D696" s="3">
        <v>111.29</v>
      </c>
      <c r="E696" s="3">
        <v>1.109</v>
      </c>
      <c r="F696" s="3">
        <v>248.16</v>
      </c>
      <c r="G696" s="3">
        <v>232.41</v>
      </c>
      <c r="H696" s="3">
        <v>178.73</v>
      </c>
      <c r="I696" s="3">
        <v>203.07</v>
      </c>
      <c r="J696" s="3">
        <v>112.75</v>
      </c>
      <c r="K696" s="3">
        <v>209.33</v>
      </c>
      <c r="L696" s="3"/>
      <c r="N696" s="4"/>
    </row>
    <row r="697" spans="1:14" ht="17.5" thickBot="1" x14ac:dyDescent="0.45">
      <c r="A697" s="4">
        <v>43554</v>
      </c>
      <c r="B697" s="3">
        <v>176.71</v>
      </c>
      <c r="C697" s="3">
        <v>231.63</v>
      </c>
      <c r="D697" s="3">
        <v>111.29</v>
      </c>
      <c r="E697" s="3">
        <v>1.109</v>
      </c>
      <c r="F697" s="3">
        <v>248.16</v>
      </c>
      <c r="G697" s="3">
        <v>232.41</v>
      </c>
      <c r="H697" s="3">
        <v>178.73</v>
      </c>
      <c r="I697" s="3">
        <v>203.07</v>
      </c>
      <c r="J697" s="3">
        <v>112.75</v>
      </c>
      <c r="K697" s="3">
        <v>209.33</v>
      </c>
      <c r="L697" s="3"/>
      <c r="N697" s="4"/>
    </row>
    <row r="698" spans="1:14" ht="17.5" thickBot="1" x14ac:dyDescent="0.45">
      <c r="A698" s="4">
        <v>43555</v>
      </c>
      <c r="B698" s="3">
        <v>176.71</v>
      </c>
      <c r="C698" s="3">
        <v>231.63</v>
      </c>
      <c r="D698" s="3">
        <v>111.29</v>
      </c>
      <c r="E698" s="3">
        <v>1.109</v>
      </c>
      <c r="F698" s="3">
        <v>248.16</v>
      </c>
      <c r="G698" s="3">
        <v>232.41</v>
      </c>
      <c r="H698" s="3">
        <v>178.73</v>
      </c>
      <c r="I698" s="3">
        <v>203.07</v>
      </c>
      <c r="J698" s="3">
        <v>112.75</v>
      </c>
      <c r="K698" s="3">
        <v>209.33</v>
      </c>
      <c r="L698" s="3"/>
      <c r="N698" s="4"/>
    </row>
    <row r="699" spans="1:14" ht="17.5" thickBot="1" x14ac:dyDescent="0.45">
      <c r="A699" s="4">
        <v>43556</v>
      </c>
      <c r="B699" s="3">
        <v>179.66</v>
      </c>
      <c r="C699" s="3">
        <v>233.48</v>
      </c>
      <c r="D699" s="3">
        <v>111.1</v>
      </c>
      <c r="E699" s="3">
        <v>1.1151</v>
      </c>
      <c r="F699" s="3">
        <v>251.12</v>
      </c>
      <c r="G699" s="3">
        <v>235.16</v>
      </c>
      <c r="H699" s="3">
        <v>180.33</v>
      </c>
      <c r="I699" s="3">
        <v>205.62</v>
      </c>
      <c r="J699" s="3">
        <v>112.75</v>
      </c>
      <c r="K699" s="3">
        <v>210.53</v>
      </c>
      <c r="L699" s="3"/>
      <c r="N699" s="4"/>
    </row>
    <row r="700" spans="1:14" ht="17.5" thickBot="1" x14ac:dyDescent="0.45">
      <c r="A700" s="4">
        <v>43557</v>
      </c>
      <c r="B700" s="3">
        <v>179.9</v>
      </c>
      <c r="C700" s="3">
        <v>234.93</v>
      </c>
      <c r="D700" s="3">
        <v>110.92</v>
      </c>
      <c r="E700" s="3">
        <v>1.1153999999999999</v>
      </c>
      <c r="F700" s="3">
        <v>251.33</v>
      </c>
      <c r="G700" s="3">
        <v>234.91</v>
      </c>
      <c r="H700" s="3">
        <v>180.45</v>
      </c>
      <c r="I700" s="3">
        <v>205.42</v>
      </c>
      <c r="J700" s="3">
        <v>112.75</v>
      </c>
      <c r="K700" s="3">
        <v>210.6</v>
      </c>
      <c r="L700" s="3"/>
      <c r="N700" s="4"/>
    </row>
    <row r="701" spans="1:14" ht="17.5" thickBot="1" x14ac:dyDescent="0.45">
      <c r="A701" s="4">
        <v>43558</v>
      </c>
      <c r="B701" s="3">
        <v>181.79</v>
      </c>
      <c r="C701" s="3">
        <v>236.97</v>
      </c>
      <c r="D701" s="3">
        <v>111.01</v>
      </c>
      <c r="E701" s="3">
        <v>1.1182000000000001</v>
      </c>
      <c r="F701" s="3">
        <v>253.35</v>
      </c>
      <c r="G701" s="3">
        <v>235.35</v>
      </c>
      <c r="H701" s="3">
        <v>181.6</v>
      </c>
      <c r="I701" s="3">
        <v>205.39</v>
      </c>
      <c r="J701" s="3">
        <v>112.75</v>
      </c>
      <c r="K701" s="3">
        <v>211.53</v>
      </c>
      <c r="L701" s="3"/>
      <c r="N701" s="4"/>
    </row>
    <row r="702" spans="1:14" ht="17.5" thickBot="1" x14ac:dyDescent="0.45">
      <c r="A702" s="4">
        <v>43559</v>
      </c>
      <c r="B702" s="3">
        <v>181.97</v>
      </c>
      <c r="C702" s="3">
        <v>235.62</v>
      </c>
      <c r="D702" s="3">
        <v>110.91</v>
      </c>
      <c r="E702" s="3">
        <v>1.1185</v>
      </c>
      <c r="F702" s="3">
        <v>253.13</v>
      </c>
      <c r="G702" s="3">
        <v>236.33</v>
      </c>
      <c r="H702" s="3">
        <v>181.45</v>
      </c>
      <c r="I702" s="3">
        <v>206.7</v>
      </c>
      <c r="J702" s="3">
        <v>112.75</v>
      </c>
      <c r="K702" s="3">
        <v>211.39</v>
      </c>
      <c r="L702" s="3"/>
      <c r="N702" s="4"/>
    </row>
    <row r="703" spans="1:14" ht="17.5" thickBot="1" x14ac:dyDescent="0.45">
      <c r="A703" s="4">
        <v>43560</v>
      </c>
      <c r="B703" s="3">
        <v>181.97</v>
      </c>
      <c r="C703" s="3">
        <v>235.62</v>
      </c>
      <c r="D703" s="3">
        <v>110.91</v>
      </c>
      <c r="E703" s="3">
        <v>1.1185</v>
      </c>
      <c r="F703" s="3">
        <v>253.13</v>
      </c>
      <c r="G703" s="3">
        <v>236.33</v>
      </c>
      <c r="H703" s="3">
        <v>181.45</v>
      </c>
      <c r="I703" s="3">
        <v>206.7</v>
      </c>
      <c r="J703" s="3">
        <v>112.75</v>
      </c>
      <c r="K703" s="3">
        <v>211.39</v>
      </c>
      <c r="L703" s="3"/>
      <c r="N703" s="4"/>
    </row>
    <row r="704" spans="1:14" ht="17.5" thickBot="1" x14ac:dyDescent="0.45">
      <c r="A704" s="4">
        <v>43561</v>
      </c>
      <c r="B704" s="3">
        <v>181.97</v>
      </c>
      <c r="C704" s="3">
        <v>235.62</v>
      </c>
      <c r="D704" s="3">
        <v>110.91</v>
      </c>
      <c r="E704" s="3">
        <v>1.1185</v>
      </c>
      <c r="F704" s="3">
        <v>253.13</v>
      </c>
      <c r="G704" s="3">
        <v>236.33</v>
      </c>
      <c r="H704" s="3">
        <v>181.45</v>
      </c>
      <c r="I704" s="3">
        <v>206.7</v>
      </c>
      <c r="J704" s="3">
        <v>112.75</v>
      </c>
      <c r="K704" s="3">
        <v>211.39</v>
      </c>
      <c r="L704" s="3"/>
      <c r="N704" s="4"/>
    </row>
    <row r="705" spans="1:14" ht="17.5" thickBot="1" x14ac:dyDescent="0.45">
      <c r="A705" s="4">
        <v>43562</v>
      </c>
      <c r="B705" s="3">
        <v>181.97</v>
      </c>
      <c r="C705" s="3">
        <v>235.62</v>
      </c>
      <c r="D705" s="3">
        <v>110.91</v>
      </c>
      <c r="E705" s="3">
        <v>1.1185</v>
      </c>
      <c r="F705" s="3">
        <v>253.13</v>
      </c>
      <c r="G705" s="3">
        <v>236.33</v>
      </c>
      <c r="H705" s="3">
        <v>181.45</v>
      </c>
      <c r="I705" s="3">
        <v>206.7</v>
      </c>
      <c r="J705" s="3">
        <v>112.75</v>
      </c>
      <c r="K705" s="3">
        <v>211.39</v>
      </c>
      <c r="L705" s="3"/>
      <c r="N705" s="4"/>
    </row>
    <row r="706" spans="1:14" ht="17.5" thickBot="1" x14ac:dyDescent="0.45">
      <c r="A706" s="4">
        <v>43563</v>
      </c>
      <c r="B706" s="3">
        <v>182.74</v>
      </c>
      <c r="C706" s="3">
        <v>235.65</v>
      </c>
      <c r="D706" s="3">
        <v>110.72</v>
      </c>
      <c r="E706" s="3">
        <v>1.1214999999999999</v>
      </c>
      <c r="F706" s="3">
        <v>254.03</v>
      </c>
      <c r="G706" s="3">
        <v>237.47</v>
      </c>
      <c r="H706" s="3">
        <v>181.98</v>
      </c>
      <c r="I706" s="3">
        <v>208.63</v>
      </c>
      <c r="J706" s="3">
        <v>112.75</v>
      </c>
      <c r="K706" s="3">
        <v>211.86</v>
      </c>
      <c r="L706" s="3"/>
      <c r="N706" s="4"/>
    </row>
    <row r="707" spans="1:14" ht="17.5" thickBot="1" x14ac:dyDescent="0.45">
      <c r="A707" s="4">
        <v>43564</v>
      </c>
      <c r="B707" s="3">
        <v>183.31</v>
      </c>
      <c r="C707" s="3">
        <v>236.46</v>
      </c>
      <c r="D707" s="3">
        <v>110.72</v>
      </c>
      <c r="E707" s="3">
        <v>1.1193</v>
      </c>
      <c r="F707" s="3">
        <v>253.96</v>
      </c>
      <c r="G707" s="3">
        <v>235.64</v>
      </c>
      <c r="H707" s="3">
        <v>182.02</v>
      </c>
      <c r="I707" s="3">
        <v>207.24</v>
      </c>
      <c r="J707" s="3">
        <v>112.75</v>
      </c>
      <c r="K707" s="3">
        <v>211.95</v>
      </c>
      <c r="L707" s="3"/>
      <c r="N707" s="4"/>
    </row>
    <row r="708" spans="1:14" ht="17.5" thickBot="1" x14ac:dyDescent="0.45">
      <c r="A708" s="4">
        <v>43565</v>
      </c>
      <c r="B708" s="3">
        <v>182.94</v>
      </c>
      <c r="C708" s="3">
        <v>236.25</v>
      </c>
      <c r="D708" s="3">
        <v>110.54</v>
      </c>
      <c r="E708" s="3">
        <v>1.1208</v>
      </c>
      <c r="F708" s="3">
        <v>254</v>
      </c>
      <c r="G708" s="3">
        <v>236.45</v>
      </c>
      <c r="H708" s="3">
        <v>182.07</v>
      </c>
      <c r="I708" s="3">
        <v>207.87</v>
      </c>
      <c r="J708" s="3">
        <v>112.75</v>
      </c>
      <c r="K708" s="3">
        <v>212.03</v>
      </c>
      <c r="L708" s="3"/>
      <c r="N708" s="4"/>
    </row>
    <row r="709" spans="1:14" ht="17.5" thickBot="1" x14ac:dyDescent="0.45">
      <c r="A709" s="4">
        <v>43566</v>
      </c>
      <c r="B709" s="3">
        <v>181.01</v>
      </c>
      <c r="C709" s="3">
        <v>235.6</v>
      </c>
      <c r="D709" s="3">
        <v>110.63</v>
      </c>
      <c r="E709" s="3">
        <v>1.1204000000000001</v>
      </c>
      <c r="F709" s="3">
        <v>253.02</v>
      </c>
      <c r="G709" s="3">
        <v>236.72</v>
      </c>
      <c r="H709" s="3">
        <v>181.48</v>
      </c>
      <c r="I709" s="3">
        <v>207.15</v>
      </c>
      <c r="J709" s="3">
        <v>112.75</v>
      </c>
      <c r="K709" s="3">
        <v>211.53</v>
      </c>
      <c r="L709" s="3"/>
      <c r="N709" s="4"/>
    </row>
    <row r="710" spans="1:14" ht="17.5" thickBot="1" x14ac:dyDescent="0.45">
      <c r="A710" s="4">
        <v>43567</v>
      </c>
      <c r="B710" s="3">
        <v>181.39</v>
      </c>
      <c r="C710" s="3">
        <v>236.65</v>
      </c>
      <c r="D710" s="3">
        <v>110.71</v>
      </c>
      <c r="E710" s="3">
        <v>1.1224000000000001</v>
      </c>
      <c r="F710" s="3">
        <v>253.69</v>
      </c>
      <c r="G710" s="3">
        <v>237.93</v>
      </c>
      <c r="H710" s="3">
        <v>181.81</v>
      </c>
      <c r="I710" s="3">
        <v>207.33</v>
      </c>
      <c r="J710" s="3">
        <v>112.75</v>
      </c>
      <c r="K710" s="3">
        <v>211.71</v>
      </c>
      <c r="L710" s="3"/>
      <c r="N710" s="4"/>
    </row>
    <row r="711" spans="1:14" ht="17.5" thickBot="1" x14ac:dyDescent="0.45">
      <c r="A711" s="4">
        <v>43568</v>
      </c>
      <c r="B711" s="3">
        <v>181.39</v>
      </c>
      <c r="C711" s="3">
        <v>236.65</v>
      </c>
      <c r="D711" s="3">
        <v>110.71</v>
      </c>
      <c r="E711" s="3">
        <v>1.1224000000000001</v>
      </c>
      <c r="F711" s="3">
        <v>253.69</v>
      </c>
      <c r="G711" s="3">
        <v>237.93</v>
      </c>
      <c r="H711" s="3">
        <v>181.81</v>
      </c>
      <c r="I711" s="3">
        <v>207.33</v>
      </c>
      <c r="J711" s="3">
        <v>112.75</v>
      </c>
      <c r="K711" s="3">
        <v>211.71</v>
      </c>
      <c r="L711" s="3"/>
      <c r="N711" s="4"/>
    </row>
    <row r="712" spans="1:14" ht="17.5" thickBot="1" x14ac:dyDescent="0.45">
      <c r="A712" s="4">
        <v>43569</v>
      </c>
      <c r="B712" s="3">
        <v>181.39</v>
      </c>
      <c r="C712" s="3">
        <v>236.65</v>
      </c>
      <c r="D712" s="3">
        <v>110.71</v>
      </c>
      <c r="E712" s="3">
        <v>1.1224000000000001</v>
      </c>
      <c r="F712" s="3">
        <v>253.69</v>
      </c>
      <c r="G712" s="3">
        <v>237.93</v>
      </c>
      <c r="H712" s="3">
        <v>181.81</v>
      </c>
      <c r="I712" s="3">
        <v>207.33</v>
      </c>
      <c r="J712" s="3">
        <v>112.75</v>
      </c>
      <c r="K712" s="3">
        <v>211.71</v>
      </c>
      <c r="L712" s="3"/>
      <c r="N712" s="4"/>
    </row>
    <row r="713" spans="1:14" ht="17.5" thickBot="1" x14ac:dyDescent="0.45">
      <c r="A713" s="4">
        <v>43570</v>
      </c>
      <c r="B713" s="3">
        <v>180.87</v>
      </c>
      <c r="C713" s="3">
        <v>237.74</v>
      </c>
      <c r="D713" s="3">
        <v>110.62</v>
      </c>
      <c r="E713" s="3">
        <v>1.1226</v>
      </c>
      <c r="F713" s="3">
        <v>253.86</v>
      </c>
      <c r="G713" s="3">
        <v>237.57</v>
      </c>
      <c r="H713" s="3">
        <v>181.91</v>
      </c>
      <c r="I713" s="3">
        <v>207.18</v>
      </c>
      <c r="J713" s="3">
        <v>112.76</v>
      </c>
      <c r="K713" s="3">
        <v>211.76</v>
      </c>
      <c r="L713" s="3"/>
      <c r="N713" s="4"/>
    </row>
    <row r="714" spans="1:14" ht="17.5" thickBot="1" x14ac:dyDescent="0.45">
      <c r="A714" s="4">
        <v>43571</v>
      </c>
      <c r="B714" s="3">
        <v>182.97</v>
      </c>
      <c r="C714" s="3">
        <v>238.53</v>
      </c>
      <c r="D714" s="3">
        <v>110.52</v>
      </c>
      <c r="E714" s="3">
        <v>1.1235999999999999</v>
      </c>
      <c r="F714" s="3">
        <v>254.72</v>
      </c>
      <c r="G714" s="3">
        <v>237.74</v>
      </c>
      <c r="H714" s="3">
        <v>182.4</v>
      </c>
      <c r="I714" s="3">
        <v>207.54</v>
      </c>
      <c r="J714" s="3">
        <v>112.8</v>
      </c>
      <c r="K714" s="3">
        <v>212.15</v>
      </c>
      <c r="L714" s="3"/>
      <c r="N714" s="4"/>
    </row>
    <row r="715" spans="1:14" ht="17.5" thickBot="1" x14ac:dyDescent="0.45">
      <c r="A715" s="4">
        <v>43572</v>
      </c>
      <c r="B715" s="3">
        <v>183.09</v>
      </c>
      <c r="C715" s="3">
        <v>238.79</v>
      </c>
      <c r="D715" s="3">
        <v>110.43</v>
      </c>
      <c r="E715" s="3">
        <v>1.1233</v>
      </c>
      <c r="F715" s="3">
        <v>254.75</v>
      </c>
      <c r="G715" s="3">
        <v>237.45</v>
      </c>
      <c r="H715" s="3">
        <v>182.39</v>
      </c>
      <c r="I715" s="3">
        <v>206.89</v>
      </c>
      <c r="J715" s="3">
        <v>112.8</v>
      </c>
      <c r="K715" s="3">
        <v>212.11</v>
      </c>
      <c r="L715" s="3"/>
      <c r="N715" s="4"/>
    </row>
    <row r="716" spans="1:14" ht="17.5" thickBot="1" x14ac:dyDescent="0.45">
      <c r="A716" s="4">
        <v>43573</v>
      </c>
      <c r="B716" s="3">
        <v>181.88</v>
      </c>
      <c r="C716" s="3">
        <v>237.63</v>
      </c>
      <c r="D716" s="3">
        <v>110.34</v>
      </c>
      <c r="E716" s="3">
        <v>1.1236999999999999</v>
      </c>
      <c r="F716" s="3">
        <v>253.91</v>
      </c>
      <c r="G716" s="3">
        <v>237.66</v>
      </c>
      <c r="H716" s="3">
        <v>181.93</v>
      </c>
      <c r="I716" s="3">
        <v>207.61</v>
      </c>
      <c r="J716" s="3">
        <v>112.8</v>
      </c>
      <c r="K716" s="3">
        <v>211.78</v>
      </c>
      <c r="L716" s="3"/>
      <c r="N716" s="4"/>
    </row>
    <row r="717" spans="1:14" ht="17.5" thickBot="1" x14ac:dyDescent="0.45">
      <c r="A717" s="4">
        <v>43574</v>
      </c>
      <c r="B717" s="3">
        <v>181.88</v>
      </c>
      <c r="C717" s="3">
        <v>237.63</v>
      </c>
      <c r="D717" s="3">
        <v>110.34</v>
      </c>
      <c r="E717" s="3">
        <v>1.1236999999999999</v>
      </c>
      <c r="F717" s="3">
        <v>253.91</v>
      </c>
      <c r="G717" s="3">
        <v>237.66</v>
      </c>
      <c r="H717" s="3">
        <v>181.93</v>
      </c>
      <c r="I717" s="3">
        <v>207.61</v>
      </c>
      <c r="J717" s="3">
        <v>112.8</v>
      </c>
      <c r="K717" s="3">
        <v>211.78</v>
      </c>
      <c r="L717" s="3"/>
      <c r="N717" s="4"/>
    </row>
    <row r="718" spans="1:14" ht="17.5" thickBot="1" x14ac:dyDescent="0.45">
      <c r="A718" s="4">
        <v>43575</v>
      </c>
      <c r="B718" s="3">
        <v>181.88</v>
      </c>
      <c r="C718" s="3">
        <v>237.63</v>
      </c>
      <c r="D718" s="3">
        <v>110.34</v>
      </c>
      <c r="E718" s="3">
        <v>1.1236999999999999</v>
      </c>
      <c r="F718" s="3">
        <v>253.91</v>
      </c>
      <c r="G718" s="3">
        <v>237.66</v>
      </c>
      <c r="H718" s="3">
        <v>181.93</v>
      </c>
      <c r="I718" s="3">
        <v>207.61</v>
      </c>
      <c r="J718" s="3">
        <v>112.8</v>
      </c>
      <c r="K718" s="3">
        <v>211.78</v>
      </c>
      <c r="L718" s="3"/>
      <c r="N718" s="4"/>
    </row>
    <row r="719" spans="1:14" ht="17.5" thickBot="1" x14ac:dyDescent="0.45">
      <c r="A719" s="4">
        <v>43576</v>
      </c>
      <c r="B719" s="3">
        <v>181.88</v>
      </c>
      <c r="C719" s="3">
        <v>237.63</v>
      </c>
      <c r="D719" s="3">
        <v>110.34</v>
      </c>
      <c r="E719" s="3">
        <v>1.1236999999999999</v>
      </c>
      <c r="F719" s="3">
        <v>253.91</v>
      </c>
      <c r="G719" s="3">
        <v>237.66</v>
      </c>
      <c r="H719" s="3">
        <v>181.93</v>
      </c>
      <c r="I719" s="3">
        <v>207.61</v>
      </c>
      <c r="J719" s="3">
        <v>112.8</v>
      </c>
      <c r="K719" s="3">
        <v>211.78</v>
      </c>
      <c r="L719" s="3"/>
      <c r="N719" s="4"/>
    </row>
    <row r="720" spans="1:14" ht="17.5" thickBot="1" x14ac:dyDescent="0.45">
      <c r="A720" s="4">
        <v>43577</v>
      </c>
      <c r="B720" s="3">
        <v>181.88</v>
      </c>
      <c r="C720" s="3">
        <v>237.63</v>
      </c>
      <c r="D720" s="3">
        <v>110.34</v>
      </c>
      <c r="E720" s="3">
        <v>1.1236999999999999</v>
      </c>
      <c r="F720" s="3">
        <v>253.91</v>
      </c>
      <c r="G720" s="3">
        <v>237.66</v>
      </c>
      <c r="H720" s="3">
        <v>181.93</v>
      </c>
      <c r="I720" s="3">
        <v>207.61</v>
      </c>
      <c r="J720" s="3">
        <v>112.8</v>
      </c>
      <c r="K720" s="3">
        <v>211.78</v>
      </c>
      <c r="L720" s="3"/>
      <c r="N720" s="4"/>
    </row>
    <row r="721" spans="1:14" ht="17.5" thickBot="1" x14ac:dyDescent="0.45">
      <c r="A721" s="4">
        <v>43578</v>
      </c>
      <c r="B721" s="3">
        <v>181.74</v>
      </c>
      <c r="C721" s="3">
        <v>236.36</v>
      </c>
      <c r="D721" s="3">
        <v>110.05</v>
      </c>
      <c r="E721" s="3">
        <v>1.1269</v>
      </c>
      <c r="F721" s="3">
        <v>254.09</v>
      </c>
      <c r="G721" s="3">
        <v>239.56</v>
      </c>
      <c r="H721" s="3">
        <v>181.95</v>
      </c>
      <c r="I721" s="3">
        <v>209.37</v>
      </c>
      <c r="J721" s="3">
        <v>112.8</v>
      </c>
      <c r="K721" s="3">
        <v>211.69</v>
      </c>
      <c r="L721" s="3"/>
      <c r="N721" s="4"/>
    </row>
    <row r="722" spans="1:14" ht="17.5" thickBot="1" x14ac:dyDescent="0.45">
      <c r="A722" s="4">
        <v>43579</v>
      </c>
      <c r="B722" s="3">
        <v>180.83</v>
      </c>
      <c r="C722" s="3">
        <v>236.02</v>
      </c>
      <c r="D722" s="3">
        <v>109.87</v>
      </c>
      <c r="E722" s="3">
        <v>1.1258999999999999</v>
      </c>
      <c r="F722" s="3">
        <v>253.37</v>
      </c>
      <c r="G722" s="3">
        <v>238.44</v>
      </c>
      <c r="H722" s="3">
        <v>181.63</v>
      </c>
      <c r="I722" s="3">
        <v>208.05</v>
      </c>
      <c r="J722" s="3">
        <v>112.8</v>
      </c>
      <c r="K722" s="3">
        <v>211.56</v>
      </c>
      <c r="L722" s="3"/>
      <c r="N722" s="4"/>
    </row>
    <row r="723" spans="1:14" ht="17.5" thickBot="1" x14ac:dyDescent="0.45">
      <c r="A723" s="4">
        <v>43580</v>
      </c>
      <c r="B723" s="3">
        <v>179.38</v>
      </c>
      <c r="C723" s="3">
        <v>234.77</v>
      </c>
      <c r="D723" s="3">
        <v>109.77</v>
      </c>
      <c r="E723" s="3">
        <v>1.1245000000000001</v>
      </c>
      <c r="F723" s="3">
        <v>252.14</v>
      </c>
      <c r="G723" s="3">
        <v>238.02</v>
      </c>
      <c r="H723" s="3">
        <v>180.87</v>
      </c>
      <c r="I723" s="3">
        <v>208.46</v>
      </c>
      <c r="J723" s="3">
        <v>112.8</v>
      </c>
      <c r="K723" s="3">
        <v>210.83</v>
      </c>
      <c r="L723" s="3"/>
      <c r="N723" s="4"/>
    </row>
    <row r="724" spans="1:14" ht="17.5" thickBot="1" x14ac:dyDescent="0.45">
      <c r="A724" s="4">
        <v>43581</v>
      </c>
      <c r="B724" s="3">
        <v>179.34</v>
      </c>
      <c r="C724" s="3">
        <v>234.52</v>
      </c>
      <c r="D724" s="3">
        <v>109.95</v>
      </c>
      <c r="E724" s="3">
        <v>1.1275999999999999</v>
      </c>
      <c r="F724" s="3">
        <v>252.42</v>
      </c>
      <c r="G724" s="3">
        <v>238.45</v>
      </c>
      <c r="H724" s="3">
        <v>181.09</v>
      </c>
      <c r="I724" s="3">
        <v>209.46</v>
      </c>
      <c r="J724" s="3">
        <v>112.8</v>
      </c>
      <c r="K724" s="3">
        <v>211.11</v>
      </c>
      <c r="L724" s="3"/>
      <c r="N724" s="4"/>
    </row>
    <row r="725" spans="1:14" ht="17.5" thickBot="1" x14ac:dyDescent="0.45">
      <c r="A725" s="4">
        <v>43582</v>
      </c>
      <c r="B725" s="3">
        <v>179.34</v>
      </c>
      <c r="C725" s="3">
        <v>234.52</v>
      </c>
      <c r="D725" s="3">
        <v>109.95</v>
      </c>
      <c r="E725" s="3">
        <v>1.1275999999999999</v>
      </c>
      <c r="F725" s="3">
        <v>252.42</v>
      </c>
      <c r="G725" s="3">
        <v>238.45</v>
      </c>
      <c r="H725" s="3">
        <v>181.09</v>
      </c>
      <c r="I725" s="3">
        <v>209.46</v>
      </c>
      <c r="J725" s="3">
        <v>112.8</v>
      </c>
      <c r="K725" s="3">
        <v>211.11</v>
      </c>
      <c r="L725" s="3"/>
      <c r="N725" s="4"/>
    </row>
    <row r="726" spans="1:14" ht="17.5" thickBot="1" x14ac:dyDescent="0.45">
      <c r="A726" s="4">
        <v>43583</v>
      </c>
      <c r="B726" s="3">
        <v>179.34</v>
      </c>
      <c r="C726" s="3">
        <v>234.52</v>
      </c>
      <c r="D726" s="3">
        <v>109.95</v>
      </c>
      <c r="E726" s="3">
        <v>1.1275999999999999</v>
      </c>
      <c r="F726" s="3">
        <v>252.42</v>
      </c>
      <c r="G726" s="3">
        <v>238.45</v>
      </c>
      <c r="H726" s="3">
        <v>181.09</v>
      </c>
      <c r="I726" s="3">
        <v>209.46</v>
      </c>
      <c r="J726" s="3">
        <v>112.8</v>
      </c>
      <c r="K726" s="3">
        <v>211.11</v>
      </c>
      <c r="L726" s="3"/>
      <c r="N726" s="4"/>
    </row>
    <row r="727" spans="1:14" ht="17.5" thickBot="1" x14ac:dyDescent="0.45">
      <c r="A727" s="4">
        <v>43584</v>
      </c>
      <c r="B727" s="3">
        <v>181.41</v>
      </c>
      <c r="C727" s="3">
        <v>236.06</v>
      </c>
      <c r="D727" s="3">
        <v>110.04</v>
      </c>
      <c r="E727" s="3">
        <v>1.1282000000000001</v>
      </c>
      <c r="F727" s="3">
        <v>253.44</v>
      </c>
      <c r="G727" s="3">
        <v>238.56</v>
      </c>
      <c r="H727" s="3">
        <v>181.67</v>
      </c>
      <c r="I727" s="3">
        <v>209.43</v>
      </c>
      <c r="J727" s="3">
        <v>112.8</v>
      </c>
      <c r="K727" s="3">
        <v>211.54</v>
      </c>
      <c r="L727" s="3"/>
      <c r="N727" s="4"/>
    </row>
    <row r="728" spans="1:14" ht="17.5" thickBot="1" x14ac:dyDescent="0.45">
      <c r="A728" s="4">
        <v>43585</v>
      </c>
      <c r="B728" s="3">
        <v>180.02</v>
      </c>
      <c r="C728" s="3">
        <v>234.58</v>
      </c>
      <c r="D728" s="3">
        <v>110.04</v>
      </c>
      <c r="E728" s="3">
        <v>1.1294</v>
      </c>
      <c r="F728" s="3">
        <v>253.05</v>
      </c>
      <c r="G728" s="3">
        <v>238.61</v>
      </c>
      <c r="H728" s="3">
        <v>181.53</v>
      </c>
      <c r="I728" s="3">
        <v>209.57</v>
      </c>
      <c r="J728" s="3">
        <v>112.88</v>
      </c>
      <c r="K728" s="3">
        <v>211.56</v>
      </c>
      <c r="L728" s="3"/>
      <c r="N728" s="4"/>
    </row>
    <row r="729" spans="1:14" ht="17.5" thickBot="1" x14ac:dyDescent="0.45">
      <c r="A729" s="4">
        <v>43586</v>
      </c>
      <c r="B729" s="3">
        <v>180.02</v>
      </c>
      <c r="C729" s="3">
        <v>234.58</v>
      </c>
      <c r="D729" s="3">
        <v>110.04</v>
      </c>
      <c r="E729" s="3">
        <v>1.1294</v>
      </c>
      <c r="F729" s="3">
        <v>253.05</v>
      </c>
      <c r="G729" s="3">
        <v>238.61</v>
      </c>
      <c r="H729" s="3">
        <v>181.53</v>
      </c>
      <c r="I729" s="3">
        <v>209.57</v>
      </c>
      <c r="J729" s="3">
        <v>112.88</v>
      </c>
      <c r="K729" s="3">
        <v>211.56</v>
      </c>
      <c r="L729" s="3"/>
      <c r="N729" s="4"/>
    </row>
    <row r="730" spans="1:14" ht="17.5" thickBot="1" x14ac:dyDescent="0.45">
      <c r="A730" s="4">
        <v>43587</v>
      </c>
      <c r="B730" s="3">
        <v>181.16</v>
      </c>
      <c r="C730" s="3">
        <v>234.9</v>
      </c>
      <c r="D730" s="3">
        <v>109.76</v>
      </c>
      <c r="E730" s="3">
        <v>1.1237999999999999</v>
      </c>
      <c r="F730" s="3">
        <v>252.87</v>
      </c>
      <c r="G730" s="3">
        <v>236.73</v>
      </c>
      <c r="H730" s="3">
        <v>181.37</v>
      </c>
      <c r="I730" s="3">
        <v>207.25</v>
      </c>
      <c r="J730" s="3">
        <v>112.88</v>
      </c>
      <c r="K730" s="3">
        <v>211.33</v>
      </c>
      <c r="L730" s="3"/>
      <c r="N730" s="4"/>
    </row>
    <row r="731" spans="1:14" ht="17.5" thickBot="1" x14ac:dyDescent="0.45">
      <c r="A731" s="4">
        <v>43588</v>
      </c>
      <c r="B731" s="3">
        <v>181.97</v>
      </c>
      <c r="C731" s="3">
        <v>234.6</v>
      </c>
      <c r="D731" s="3">
        <v>109.67</v>
      </c>
      <c r="E731" s="3">
        <v>1.1291</v>
      </c>
      <c r="F731" s="3">
        <v>254</v>
      </c>
      <c r="G731" s="3">
        <v>238.81</v>
      </c>
      <c r="H731" s="3">
        <v>182.04</v>
      </c>
      <c r="I731" s="3">
        <v>209.28</v>
      </c>
      <c r="J731" s="3">
        <v>112.88</v>
      </c>
      <c r="K731" s="3">
        <v>211.94</v>
      </c>
      <c r="L731" s="3"/>
      <c r="N731" s="4"/>
    </row>
    <row r="732" spans="1:14" ht="17.5" thickBot="1" x14ac:dyDescent="0.45">
      <c r="A732" s="4">
        <v>43589</v>
      </c>
      <c r="B732" s="3">
        <v>181.97</v>
      </c>
      <c r="C732" s="3">
        <v>234.6</v>
      </c>
      <c r="D732" s="3">
        <v>109.67</v>
      </c>
      <c r="E732" s="3">
        <v>1.1291</v>
      </c>
      <c r="F732" s="3">
        <v>254</v>
      </c>
      <c r="G732" s="3">
        <v>238.81</v>
      </c>
      <c r="H732" s="3">
        <v>182.04</v>
      </c>
      <c r="I732" s="3">
        <v>209.28</v>
      </c>
      <c r="J732" s="3">
        <v>112.88</v>
      </c>
      <c r="K732" s="3">
        <v>211.94</v>
      </c>
      <c r="L732" s="3"/>
      <c r="N732" s="4"/>
    </row>
    <row r="733" spans="1:14" ht="17.5" thickBot="1" x14ac:dyDescent="0.45">
      <c r="A733" s="4">
        <v>43590</v>
      </c>
      <c r="B733" s="3">
        <v>181.97</v>
      </c>
      <c r="C733" s="3">
        <v>234.6</v>
      </c>
      <c r="D733" s="3">
        <v>109.67</v>
      </c>
      <c r="E733" s="3">
        <v>1.1291</v>
      </c>
      <c r="F733" s="3">
        <v>254</v>
      </c>
      <c r="G733" s="3">
        <v>238.81</v>
      </c>
      <c r="H733" s="3">
        <v>182.04</v>
      </c>
      <c r="I733" s="3">
        <v>209.28</v>
      </c>
      <c r="J733" s="3">
        <v>112.88</v>
      </c>
      <c r="K733" s="3">
        <v>211.94</v>
      </c>
      <c r="L733" s="3"/>
      <c r="N733" s="4"/>
    </row>
    <row r="734" spans="1:14" ht="17.5" thickBot="1" x14ac:dyDescent="0.45">
      <c r="A734" s="4">
        <v>43591</v>
      </c>
      <c r="B734" s="3">
        <v>176.82</v>
      </c>
      <c r="C734" s="3">
        <v>232</v>
      </c>
      <c r="D734" s="3">
        <v>109.75</v>
      </c>
      <c r="E734" s="3">
        <v>1.1254</v>
      </c>
      <c r="F734" s="3">
        <v>250.45</v>
      </c>
      <c r="G734" s="3">
        <v>238.03</v>
      </c>
      <c r="H734" s="3">
        <v>180.04</v>
      </c>
      <c r="I734" s="3">
        <v>207.96</v>
      </c>
      <c r="J734" s="3">
        <v>112.88</v>
      </c>
      <c r="K734" s="3">
        <v>210.33</v>
      </c>
      <c r="L734" s="3"/>
      <c r="N734" s="4"/>
    </row>
    <row r="735" spans="1:14" ht="17.5" thickBot="1" x14ac:dyDescent="0.45">
      <c r="A735" s="4">
        <v>43592</v>
      </c>
      <c r="B735" s="3">
        <v>177.36</v>
      </c>
      <c r="C735" s="3">
        <v>232.64</v>
      </c>
      <c r="D735" s="3">
        <v>109.93</v>
      </c>
      <c r="E735" s="3">
        <v>1.1180000000000001</v>
      </c>
      <c r="F735" s="3">
        <v>249.8</v>
      </c>
      <c r="G735" s="3">
        <v>234.61</v>
      </c>
      <c r="H735" s="3">
        <v>179.75</v>
      </c>
      <c r="I735" s="3">
        <v>204.62</v>
      </c>
      <c r="J735" s="3">
        <v>112.88</v>
      </c>
      <c r="K735" s="3">
        <v>210.2</v>
      </c>
      <c r="L735" s="3"/>
      <c r="N735" s="4"/>
    </row>
    <row r="736" spans="1:14" ht="17.5" thickBot="1" x14ac:dyDescent="0.45">
      <c r="A736" s="4">
        <v>43593</v>
      </c>
      <c r="B736" s="3">
        <v>175.18</v>
      </c>
      <c r="C736" s="3">
        <v>230.98</v>
      </c>
      <c r="D736" s="3">
        <v>110.02</v>
      </c>
      <c r="E736" s="3">
        <v>1.1166</v>
      </c>
      <c r="F736" s="3">
        <v>248.16</v>
      </c>
      <c r="G736" s="3">
        <v>234.37</v>
      </c>
      <c r="H736" s="3">
        <v>178.74</v>
      </c>
      <c r="I736" s="3">
        <v>204.95</v>
      </c>
      <c r="J736" s="3">
        <v>112.88</v>
      </c>
      <c r="K736" s="3">
        <v>209.31</v>
      </c>
      <c r="L736" s="3"/>
      <c r="N736" s="4"/>
    </row>
    <row r="737" spans="1:14" ht="17.5" thickBot="1" x14ac:dyDescent="0.45">
      <c r="A737" s="4">
        <v>43594</v>
      </c>
      <c r="B737" s="3">
        <v>171.29</v>
      </c>
      <c r="C737" s="3">
        <v>227.28</v>
      </c>
      <c r="D737" s="3">
        <v>109.84</v>
      </c>
      <c r="E737" s="3">
        <v>1.1114999999999999</v>
      </c>
      <c r="F737" s="3">
        <v>244.84</v>
      </c>
      <c r="G737" s="3">
        <v>233.54</v>
      </c>
      <c r="H737" s="3">
        <v>176.81</v>
      </c>
      <c r="I737" s="3">
        <v>203.87</v>
      </c>
      <c r="J737" s="3">
        <v>112.89</v>
      </c>
      <c r="K737" s="3">
        <v>207.72</v>
      </c>
      <c r="L737" s="3"/>
      <c r="N737" s="4"/>
    </row>
    <row r="738" spans="1:14" ht="17.5" thickBot="1" x14ac:dyDescent="0.45">
      <c r="A738" s="4">
        <v>43595</v>
      </c>
      <c r="B738" s="3">
        <v>172.49</v>
      </c>
      <c r="C738" s="3">
        <v>227.39</v>
      </c>
      <c r="D738" s="3">
        <v>110.02</v>
      </c>
      <c r="E738" s="3">
        <v>1.1138999999999999</v>
      </c>
      <c r="F738" s="3">
        <v>246.17</v>
      </c>
      <c r="G738" s="3">
        <v>234.13</v>
      </c>
      <c r="H738" s="3">
        <v>177.6</v>
      </c>
      <c r="I738" s="3">
        <v>204.79</v>
      </c>
      <c r="J738" s="3">
        <v>112.89</v>
      </c>
      <c r="K738" s="3">
        <v>208.39</v>
      </c>
      <c r="L738" s="3"/>
      <c r="N738" s="4"/>
    </row>
    <row r="739" spans="1:14" ht="17.5" thickBot="1" x14ac:dyDescent="0.45">
      <c r="A739" s="4">
        <v>43596</v>
      </c>
      <c r="B739" s="3">
        <v>172.49</v>
      </c>
      <c r="C739" s="3">
        <v>227.39</v>
      </c>
      <c r="D739" s="3">
        <v>110.02</v>
      </c>
      <c r="E739" s="3">
        <v>1.1138999999999999</v>
      </c>
      <c r="F739" s="3">
        <v>246.17</v>
      </c>
      <c r="G739" s="3">
        <v>234.13</v>
      </c>
      <c r="H739" s="3">
        <v>177.6</v>
      </c>
      <c r="I739" s="3">
        <v>204.79</v>
      </c>
      <c r="J739" s="3">
        <v>112.89</v>
      </c>
      <c r="K739" s="3">
        <v>208.39</v>
      </c>
      <c r="L739" s="3"/>
      <c r="N739" s="4"/>
    </row>
    <row r="740" spans="1:14" ht="17.5" thickBot="1" x14ac:dyDescent="0.45">
      <c r="A740" s="4">
        <v>43597</v>
      </c>
      <c r="B740" s="3">
        <v>172.49</v>
      </c>
      <c r="C740" s="3">
        <v>227.39</v>
      </c>
      <c r="D740" s="3">
        <v>110.02</v>
      </c>
      <c r="E740" s="3">
        <v>1.1138999999999999</v>
      </c>
      <c r="F740" s="3">
        <v>246.17</v>
      </c>
      <c r="G740" s="3">
        <v>234.13</v>
      </c>
      <c r="H740" s="3">
        <v>177.6</v>
      </c>
      <c r="I740" s="3">
        <v>204.79</v>
      </c>
      <c r="J740" s="3">
        <v>112.89</v>
      </c>
      <c r="K740" s="3">
        <v>208.39</v>
      </c>
      <c r="L740" s="3"/>
      <c r="N740" s="4"/>
    </row>
    <row r="741" spans="1:14" ht="17.5" thickBot="1" x14ac:dyDescent="0.45">
      <c r="A741" s="4">
        <v>43598</v>
      </c>
      <c r="B741" s="3">
        <v>172.49</v>
      </c>
      <c r="C741" s="3">
        <v>227.39</v>
      </c>
      <c r="D741" s="3">
        <v>110.02</v>
      </c>
      <c r="E741" s="3">
        <v>1.1138999999999999</v>
      </c>
      <c r="F741" s="3">
        <v>246.17</v>
      </c>
      <c r="G741" s="3">
        <v>234.13</v>
      </c>
      <c r="H741" s="3">
        <v>177.6</v>
      </c>
      <c r="I741" s="3">
        <v>204.79</v>
      </c>
      <c r="J741" s="3">
        <v>112.89</v>
      </c>
      <c r="K741" s="3">
        <v>208.39</v>
      </c>
      <c r="L741" s="3"/>
      <c r="N741" s="4"/>
    </row>
    <row r="742" spans="1:14" ht="17.5" thickBot="1" x14ac:dyDescent="0.45">
      <c r="A742" s="4">
        <v>43599</v>
      </c>
      <c r="B742" s="3">
        <v>170.12</v>
      </c>
      <c r="C742" s="3">
        <v>222.6</v>
      </c>
      <c r="D742" s="3">
        <v>109.83</v>
      </c>
      <c r="E742" s="3">
        <v>1.1055999999999999</v>
      </c>
      <c r="F742" s="3">
        <v>242.93</v>
      </c>
      <c r="G742" s="3">
        <v>230.15</v>
      </c>
      <c r="H742" s="3">
        <v>175.68</v>
      </c>
      <c r="I742" s="3">
        <v>201.05</v>
      </c>
      <c r="J742" s="3">
        <v>112.89</v>
      </c>
      <c r="K742" s="3">
        <v>206.76</v>
      </c>
      <c r="L742" s="3"/>
      <c r="N742" s="4"/>
    </row>
    <row r="743" spans="1:14" ht="17.5" thickBot="1" x14ac:dyDescent="0.45">
      <c r="A743" s="4">
        <v>43600</v>
      </c>
      <c r="B743" s="3">
        <v>170.75</v>
      </c>
      <c r="C743" s="3">
        <v>223.41</v>
      </c>
      <c r="D743" s="3">
        <v>109.82</v>
      </c>
      <c r="E743" s="3">
        <v>1.1097999999999999</v>
      </c>
      <c r="F743" s="3">
        <v>244.25</v>
      </c>
      <c r="G743" s="3">
        <v>231.25</v>
      </c>
      <c r="H743" s="3">
        <v>176.5</v>
      </c>
      <c r="I743" s="3">
        <v>201.65</v>
      </c>
      <c r="J743" s="3">
        <v>112.89</v>
      </c>
      <c r="K743" s="3">
        <v>207.5</v>
      </c>
      <c r="L743" s="3"/>
      <c r="N743" s="4"/>
    </row>
    <row r="744" spans="1:14" ht="17.5" thickBot="1" x14ac:dyDescent="0.45">
      <c r="A744" s="4">
        <v>43601</v>
      </c>
      <c r="B744" s="3">
        <v>171.02</v>
      </c>
      <c r="C744" s="3">
        <v>222.46</v>
      </c>
      <c r="D744" s="3">
        <v>109.91</v>
      </c>
      <c r="E744" s="3">
        <v>1.1138999999999999</v>
      </c>
      <c r="F744" s="3">
        <v>244.78</v>
      </c>
      <c r="G744" s="3">
        <v>233.04</v>
      </c>
      <c r="H744" s="3">
        <v>176.72</v>
      </c>
      <c r="I744" s="3">
        <v>202.44</v>
      </c>
      <c r="J744" s="3">
        <v>112.89</v>
      </c>
      <c r="K744" s="3">
        <v>207.61</v>
      </c>
      <c r="L744" s="3"/>
      <c r="N744" s="4"/>
    </row>
    <row r="745" spans="1:14" ht="17.5" thickBot="1" x14ac:dyDescent="0.45">
      <c r="A745" s="4">
        <v>43602</v>
      </c>
      <c r="B745" s="3">
        <v>169.39</v>
      </c>
      <c r="C745" s="3">
        <v>220.87</v>
      </c>
      <c r="D745" s="3">
        <v>109.73</v>
      </c>
      <c r="E745" s="3">
        <v>1.1108</v>
      </c>
      <c r="F745" s="3">
        <v>243.33</v>
      </c>
      <c r="G745" s="3">
        <v>231.9</v>
      </c>
      <c r="H745" s="3">
        <v>175.85</v>
      </c>
      <c r="I745" s="3">
        <v>200.9</v>
      </c>
      <c r="J745" s="3">
        <v>112.89</v>
      </c>
      <c r="K745" s="3">
        <v>206.86</v>
      </c>
      <c r="L745" s="3"/>
      <c r="N745" s="4"/>
    </row>
    <row r="746" spans="1:14" ht="17.5" thickBot="1" x14ac:dyDescent="0.45">
      <c r="A746" s="4">
        <v>43603</v>
      </c>
      <c r="B746" s="3">
        <v>169.39</v>
      </c>
      <c r="C746" s="3">
        <v>220.87</v>
      </c>
      <c r="D746" s="3">
        <v>109.73</v>
      </c>
      <c r="E746" s="3">
        <v>1.1108</v>
      </c>
      <c r="F746" s="3">
        <v>243.33</v>
      </c>
      <c r="G746" s="3">
        <v>231.9</v>
      </c>
      <c r="H746" s="3">
        <v>175.85</v>
      </c>
      <c r="I746" s="3">
        <v>200.9</v>
      </c>
      <c r="J746" s="3">
        <v>112.89</v>
      </c>
      <c r="K746" s="3">
        <v>206.86</v>
      </c>
      <c r="L746" s="3"/>
      <c r="N746" s="4"/>
    </row>
    <row r="747" spans="1:14" ht="17.5" thickBot="1" x14ac:dyDescent="0.45">
      <c r="A747" s="4">
        <v>43604</v>
      </c>
      <c r="B747" s="3">
        <v>169.39</v>
      </c>
      <c r="C747" s="3">
        <v>220.87</v>
      </c>
      <c r="D747" s="3">
        <v>109.73</v>
      </c>
      <c r="E747" s="3">
        <v>1.1108</v>
      </c>
      <c r="F747" s="3">
        <v>243.33</v>
      </c>
      <c r="G747" s="3">
        <v>231.9</v>
      </c>
      <c r="H747" s="3">
        <v>175.85</v>
      </c>
      <c r="I747" s="3">
        <v>200.9</v>
      </c>
      <c r="J747" s="3">
        <v>112.89</v>
      </c>
      <c r="K747" s="3">
        <v>206.86</v>
      </c>
      <c r="L747" s="3"/>
      <c r="N747" s="4"/>
    </row>
    <row r="748" spans="1:14" ht="17.5" thickBot="1" x14ac:dyDescent="0.45">
      <c r="A748" s="4">
        <v>43605</v>
      </c>
      <c r="B748" s="3">
        <v>168.44</v>
      </c>
      <c r="C748" s="3">
        <v>224.56</v>
      </c>
      <c r="D748" s="3">
        <v>109.72</v>
      </c>
      <c r="E748" s="3">
        <v>1.1073</v>
      </c>
      <c r="F748" s="3">
        <v>242.22</v>
      </c>
      <c r="G748" s="3">
        <v>230.97</v>
      </c>
      <c r="H748" s="3">
        <v>175.19</v>
      </c>
      <c r="I748" s="3">
        <v>200.31</v>
      </c>
      <c r="J748" s="3">
        <v>112.89</v>
      </c>
      <c r="K748" s="3">
        <v>206.26</v>
      </c>
      <c r="L748" s="3"/>
      <c r="N748" s="4"/>
    </row>
    <row r="749" spans="1:14" ht="17.5" thickBot="1" x14ac:dyDescent="0.45">
      <c r="A749" s="4">
        <v>43606</v>
      </c>
      <c r="B749" s="3">
        <v>168.2</v>
      </c>
      <c r="C749" s="3">
        <v>224.43</v>
      </c>
      <c r="D749" s="3">
        <v>109.54</v>
      </c>
      <c r="E749" s="3">
        <v>1.1109</v>
      </c>
      <c r="F749" s="3">
        <v>242.45</v>
      </c>
      <c r="G749" s="3">
        <v>233.05</v>
      </c>
      <c r="H749" s="3">
        <v>175.28</v>
      </c>
      <c r="I749" s="3">
        <v>202.79</v>
      </c>
      <c r="J749" s="3">
        <v>112.89</v>
      </c>
      <c r="K749" s="3">
        <v>206.29</v>
      </c>
      <c r="L749" s="3"/>
      <c r="N749" s="4"/>
    </row>
    <row r="750" spans="1:14" ht="17.5" thickBot="1" x14ac:dyDescent="0.45">
      <c r="A750" s="4">
        <v>43607</v>
      </c>
      <c r="B750" s="3">
        <v>167.83</v>
      </c>
      <c r="C750" s="3">
        <v>224.52</v>
      </c>
      <c r="D750" s="3">
        <v>109.44</v>
      </c>
      <c r="E750" s="3">
        <v>1.1100000000000001</v>
      </c>
      <c r="F750" s="3">
        <v>242.22</v>
      </c>
      <c r="G750" s="3">
        <v>232.06</v>
      </c>
      <c r="H750" s="3">
        <v>175.14</v>
      </c>
      <c r="I750" s="3">
        <v>202.29</v>
      </c>
      <c r="J750" s="3">
        <v>112.89</v>
      </c>
      <c r="K750" s="3">
        <v>206.17</v>
      </c>
      <c r="L750" s="3"/>
      <c r="N750" s="4"/>
    </row>
    <row r="751" spans="1:14" ht="17.5" thickBot="1" x14ac:dyDescent="0.45">
      <c r="A751" s="4">
        <v>43608</v>
      </c>
      <c r="B751" s="3">
        <v>166</v>
      </c>
      <c r="C751" s="3">
        <v>222.95</v>
      </c>
      <c r="D751" s="3">
        <v>109.62</v>
      </c>
      <c r="E751" s="3">
        <v>1.1037999999999999</v>
      </c>
      <c r="F751" s="3">
        <v>239.84</v>
      </c>
      <c r="G751" s="3">
        <v>229.2</v>
      </c>
      <c r="H751" s="3">
        <v>173.85</v>
      </c>
      <c r="I751" s="3">
        <v>199.96</v>
      </c>
      <c r="J751" s="3">
        <v>112.94</v>
      </c>
      <c r="K751" s="3">
        <v>205.21</v>
      </c>
      <c r="L751" s="3"/>
      <c r="N751" s="4"/>
    </row>
    <row r="752" spans="1:14" ht="17.5" thickBot="1" x14ac:dyDescent="0.45">
      <c r="A752" s="4">
        <v>43609</v>
      </c>
      <c r="B752" s="3">
        <v>166.57</v>
      </c>
      <c r="C752" s="3">
        <v>223.73</v>
      </c>
      <c r="D752" s="3">
        <v>109.99</v>
      </c>
      <c r="E752" s="3">
        <v>1.1060000000000001</v>
      </c>
      <c r="F752" s="3">
        <v>240.78</v>
      </c>
      <c r="G752" s="3">
        <v>229.64</v>
      </c>
      <c r="H752" s="3">
        <v>174.46</v>
      </c>
      <c r="I752" s="3">
        <v>200.49</v>
      </c>
      <c r="J752" s="3">
        <v>112.94</v>
      </c>
      <c r="K752" s="3">
        <v>205.8</v>
      </c>
      <c r="L752" s="3"/>
      <c r="N752" s="4"/>
    </row>
    <row r="753" spans="1:14" ht="17.5" thickBot="1" x14ac:dyDescent="0.45">
      <c r="A753" s="4">
        <v>43610</v>
      </c>
      <c r="B753" s="3">
        <v>166.57</v>
      </c>
      <c r="C753" s="3">
        <v>223.73</v>
      </c>
      <c r="D753" s="3">
        <v>109.99</v>
      </c>
      <c r="E753" s="3">
        <v>1.1060000000000001</v>
      </c>
      <c r="F753" s="3">
        <v>240.78</v>
      </c>
      <c r="G753" s="3">
        <v>229.64</v>
      </c>
      <c r="H753" s="3">
        <v>174.46</v>
      </c>
      <c r="I753" s="3">
        <v>200.49</v>
      </c>
      <c r="J753" s="3">
        <v>112.94</v>
      </c>
      <c r="K753" s="3">
        <v>205.8</v>
      </c>
      <c r="L753" s="3"/>
      <c r="N753" s="4"/>
    </row>
    <row r="754" spans="1:14" ht="17.5" thickBot="1" x14ac:dyDescent="0.45">
      <c r="A754" s="4">
        <v>43611</v>
      </c>
      <c r="B754" s="3">
        <v>166.57</v>
      </c>
      <c r="C754" s="3">
        <v>223.73</v>
      </c>
      <c r="D754" s="3">
        <v>109.99</v>
      </c>
      <c r="E754" s="3">
        <v>1.1060000000000001</v>
      </c>
      <c r="F754" s="3">
        <v>240.78</v>
      </c>
      <c r="G754" s="3">
        <v>229.64</v>
      </c>
      <c r="H754" s="3">
        <v>174.46</v>
      </c>
      <c r="I754" s="3">
        <v>200.49</v>
      </c>
      <c r="J754" s="3">
        <v>112.94</v>
      </c>
      <c r="K754" s="3">
        <v>205.8</v>
      </c>
      <c r="L754" s="3"/>
      <c r="N754" s="4"/>
    </row>
    <row r="755" spans="1:14" ht="17.5" thickBot="1" x14ac:dyDescent="0.45">
      <c r="A755" s="4">
        <v>43612</v>
      </c>
      <c r="B755" s="3">
        <v>166.01</v>
      </c>
      <c r="C755" s="3">
        <v>224.04</v>
      </c>
      <c r="D755" s="3">
        <v>109.98</v>
      </c>
      <c r="E755" s="3">
        <v>1.1068</v>
      </c>
      <c r="F755" s="3">
        <v>240.88</v>
      </c>
      <c r="G755" s="3">
        <v>229.55</v>
      </c>
      <c r="H755" s="3">
        <v>174.52</v>
      </c>
      <c r="I755" s="3">
        <v>200.46</v>
      </c>
      <c r="J755" s="3">
        <v>112.94</v>
      </c>
      <c r="K755" s="3">
        <v>205.87</v>
      </c>
      <c r="L755" s="3"/>
      <c r="N755" s="4"/>
    </row>
    <row r="756" spans="1:14" ht="17.5" thickBot="1" x14ac:dyDescent="0.45">
      <c r="A756" s="4">
        <v>43613</v>
      </c>
      <c r="B756" s="3">
        <v>166.58</v>
      </c>
      <c r="C756" s="3">
        <v>224.15</v>
      </c>
      <c r="D756" s="3">
        <v>110.07</v>
      </c>
      <c r="E756" s="3">
        <v>1.1042000000000001</v>
      </c>
      <c r="F756" s="3">
        <v>241.09</v>
      </c>
      <c r="G756" s="3">
        <v>227.51</v>
      </c>
      <c r="H756" s="3">
        <v>174.67</v>
      </c>
      <c r="I756" s="3">
        <v>199.4</v>
      </c>
      <c r="J756" s="3">
        <v>112.94</v>
      </c>
      <c r="K756" s="3">
        <v>206.02</v>
      </c>
      <c r="L756" s="3"/>
      <c r="N756" s="4"/>
    </row>
    <row r="757" spans="1:14" ht="17.5" thickBot="1" x14ac:dyDescent="0.45">
      <c r="A757" s="4">
        <v>43614</v>
      </c>
      <c r="B757" s="3">
        <v>166.01</v>
      </c>
      <c r="C757" s="3">
        <v>221.52</v>
      </c>
      <c r="D757" s="3">
        <v>110.25</v>
      </c>
      <c r="E757" s="3">
        <v>1.0992</v>
      </c>
      <c r="F757" s="3">
        <v>239.15</v>
      </c>
      <c r="G757" s="3">
        <v>225.88</v>
      </c>
      <c r="H757" s="3">
        <v>173.57</v>
      </c>
      <c r="I757" s="3">
        <v>198.95</v>
      </c>
      <c r="J757" s="3">
        <v>112.94</v>
      </c>
      <c r="K757" s="3">
        <v>205.1</v>
      </c>
      <c r="L757" s="3"/>
      <c r="N757" s="4"/>
    </row>
    <row r="758" spans="1:14" ht="17.5" thickBot="1" x14ac:dyDescent="0.45">
      <c r="A758" s="4">
        <v>43615</v>
      </c>
      <c r="B758" s="3">
        <v>165.67</v>
      </c>
      <c r="C758" s="3">
        <v>222.13</v>
      </c>
      <c r="D758" s="3">
        <v>110.07</v>
      </c>
      <c r="E758" s="3">
        <v>1.1001000000000001</v>
      </c>
      <c r="F758" s="3">
        <v>239</v>
      </c>
      <c r="G758" s="3">
        <v>226.08</v>
      </c>
      <c r="H758" s="3">
        <v>173.46</v>
      </c>
      <c r="I758" s="3">
        <v>199.63</v>
      </c>
      <c r="J758" s="3">
        <v>112.94</v>
      </c>
      <c r="K758" s="3">
        <v>204.98</v>
      </c>
      <c r="L758" s="3"/>
      <c r="N758" s="4"/>
    </row>
    <row r="759" spans="1:14" ht="17.5" thickBot="1" x14ac:dyDescent="0.45">
      <c r="A759" s="4">
        <v>43616</v>
      </c>
      <c r="B759" s="3">
        <v>164.52</v>
      </c>
      <c r="C759" s="3">
        <v>223.2</v>
      </c>
      <c r="D759" s="3">
        <v>110.43</v>
      </c>
      <c r="E759" s="3">
        <v>1.0952</v>
      </c>
      <c r="F759" s="3">
        <v>237.77</v>
      </c>
      <c r="G759" s="3">
        <v>222.8</v>
      </c>
      <c r="H759" s="3">
        <v>172.93</v>
      </c>
      <c r="I759" s="3">
        <v>197.38</v>
      </c>
      <c r="J759" s="3">
        <v>112.94</v>
      </c>
      <c r="K759" s="3">
        <v>204.73</v>
      </c>
      <c r="L759" s="3"/>
      <c r="N759" s="4"/>
    </row>
    <row r="760" spans="1:14" ht="17.5" thickBot="1" x14ac:dyDescent="0.45">
      <c r="A760" s="4">
        <v>43617</v>
      </c>
      <c r="B760" s="3">
        <v>164.52</v>
      </c>
      <c r="C760" s="3">
        <v>223.2</v>
      </c>
      <c r="D760" s="3">
        <v>110.43</v>
      </c>
      <c r="E760" s="3">
        <v>1.0952</v>
      </c>
      <c r="F760" s="3">
        <v>237.77</v>
      </c>
      <c r="G760" s="3">
        <v>222.8</v>
      </c>
      <c r="H760" s="3">
        <v>172.93</v>
      </c>
      <c r="I760" s="3">
        <v>197.38</v>
      </c>
      <c r="J760" s="3">
        <v>112.94</v>
      </c>
      <c r="K760" s="3">
        <v>204.73</v>
      </c>
      <c r="L760" s="3"/>
      <c r="N760" s="4"/>
    </row>
    <row r="761" spans="1:14" ht="17.5" thickBot="1" x14ac:dyDescent="0.45">
      <c r="A761" s="4">
        <v>43618</v>
      </c>
      <c r="B761" s="3">
        <v>164.52</v>
      </c>
      <c r="C761" s="3">
        <v>223.2</v>
      </c>
      <c r="D761" s="3">
        <v>110.43</v>
      </c>
      <c r="E761" s="3">
        <v>1.0952</v>
      </c>
      <c r="F761" s="3">
        <v>237.77</v>
      </c>
      <c r="G761" s="3">
        <v>222.8</v>
      </c>
      <c r="H761" s="3">
        <v>172.93</v>
      </c>
      <c r="I761" s="3">
        <v>197.38</v>
      </c>
      <c r="J761" s="3">
        <v>112.94</v>
      </c>
      <c r="K761" s="3">
        <v>204.73</v>
      </c>
      <c r="L761" s="3"/>
      <c r="N761" s="4"/>
    </row>
    <row r="762" spans="1:14" ht="17.5" thickBot="1" x14ac:dyDescent="0.45">
      <c r="A762" s="4">
        <v>43619</v>
      </c>
      <c r="B762" s="3">
        <v>164.39</v>
      </c>
      <c r="C762" s="3">
        <v>224.78</v>
      </c>
      <c r="D762" s="3">
        <v>110.79</v>
      </c>
      <c r="E762" s="3">
        <v>1.0962000000000001</v>
      </c>
      <c r="F762" s="3">
        <v>238.02</v>
      </c>
      <c r="G762" s="3">
        <v>222.71</v>
      </c>
      <c r="H762" s="3">
        <v>173.18</v>
      </c>
      <c r="I762" s="3">
        <v>196.96</v>
      </c>
      <c r="J762" s="3">
        <v>112.94</v>
      </c>
      <c r="K762" s="3">
        <v>205.07</v>
      </c>
      <c r="L762" s="3"/>
      <c r="N762" s="4"/>
    </row>
    <row r="763" spans="1:14" ht="17.5" thickBot="1" x14ac:dyDescent="0.45">
      <c r="A763" s="4">
        <v>43620</v>
      </c>
      <c r="B763" s="3">
        <v>163.76</v>
      </c>
      <c r="C763" s="3">
        <v>224.62</v>
      </c>
      <c r="D763" s="3">
        <v>111.06</v>
      </c>
      <c r="E763" s="3">
        <v>1.1054999999999999</v>
      </c>
      <c r="F763" s="3">
        <v>238.82</v>
      </c>
      <c r="G763" s="3">
        <v>227.77</v>
      </c>
      <c r="H763" s="3">
        <v>173.65</v>
      </c>
      <c r="I763" s="3">
        <v>201.09</v>
      </c>
      <c r="J763" s="3">
        <v>112.94</v>
      </c>
      <c r="K763" s="3">
        <v>205.54</v>
      </c>
      <c r="L763" s="3"/>
      <c r="N763" s="4"/>
    </row>
    <row r="764" spans="1:14" ht="17.5" thickBot="1" x14ac:dyDescent="0.45">
      <c r="A764" s="4">
        <v>43621</v>
      </c>
      <c r="B764" s="3">
        <v>164.72</v>
      </c>
      <c r="C764" s="3">
        <v>225.47</v>
      </c>
      <c r="D764" s="3">
        <v>111.15</v>
      </c>
      <c r="E764" s="3">
        <v>1.1111</v>
      </c>
      <c r="F764" s="3">
        <v>240.58</v>
      </c>
      <c r="G764" s="3">
        <v>229.02</v>
      </c>
      <c r="H764" s="3">
        <v>174.8</v>
      </c>
      <c r="I764" s="3">
        <v>201.78</v>
      </c>
      <c r="J764" s="3">
        <v>112.94</v>
      </c>
      <c r="K764" s="3">
        <v>206.64</v>
      </c>
      <c r="L764" s="3"/>
      <c r="N764" s="4"/>
    </row>
    <row r="765" spans="1:14" ht="17.5" thickBot="1" x14ac:dyDescent="0.45">
      <c r="A765" s="4">
        <v>43622</v>
      </c>
      <c r="B765" s="3">
        <v>164.65</v>
      </c>
      <c r="C765" s="3">
        <v>224.08</v>
      </c>
      <c r="D765" s="3">
        <v>111.15</v>
      </c>
      <c r="E765" s="3">
        <v>1.1136999999999999</v>
      </c>
      <c r="F765" s="3">
        <v>240.95</v>
      </c>
      <c r="G765" s="3">
        <v>230.28</v>
      </c>
      <c r="H765" s="3">
        <v>175.03</v>
      </c>
      <c r="I765" s="3">
        <v>203.27</v>
      </c>
      <c r="J765" s="3">
        <v>112.94</v>
      </c>
      <c r="K765" s="3">
        <v>206.88</v>
      </c>
      <c r="L765" s="3"/>
      <c r="N765" s="4"/>
    </row>
    <row r="766" spans="1:14" ht="17.5" thickBot="1" x14ac:dyDescent="0.45">
      <c r="A766" s="4">
        <v>43623</v>
      </c>
      <c r="B766" s="3">
        <v>164.65</v>
      </c>
      <c r="C766" s="3">
        <v>224.08</v>
      </c>
      <c r="D766" s="3">
        <v>111.15</v>
      </c>
      <c r="E766" s="3">
        <v>1.1136999999999999</v>
      </c>
      <c r="F766" s="3">
        <v>240.95</v>
      </c>
      <c r="G766" s="3">
        <v>230.28</v>
      </c>
      <c r="H766" s="3">
        <v>175.03</v>
      </c>
      <c r="I766" s="3">
        <v>203.27</v>
      </c>
      <c r="J766" s="3">
        <v>112.94</v>
      </c>
      <c r="K766" s="3">
        <v>206.88</v>
      </c>
      <c r="L766" s="3"/>
      <c r="N766" s="4"/>
    </row>
    <row r="767" spans="1:14" ht="17.5" thickBot="1" x14ac:dyDescent="0.45">
      <c r="A767" s="4">
        <v>43624</v>
      </c>
      <c r="B767" s="3">
        <v>164.65</v>
      </c>
      <c r="C767" s="3">
        <v>224.08</v>
      </c>
      <c r="D767" s="3">
        <v>111.15</v>
      </c>
      <c r="E767" s="3">
        <v>1.1136999999999999</v>
      </c>
      <c r="F767" s="3">
        <v>240.95</v>
      </c>
      <c r="G767" s="3">
        <v>230.28</v>
      </c>
      <c r="H767" s="3">
        <v>175.03</v>
      </c>
      <c r="I767" s="3">
        <v>203.27</v>
      </c>
      <c r="J767" s="3">
        <v>112.94</v>
      </c>
      <c r="K767" s="3">
        <v>206.88</v>
      </c>
      <c r="L767" s="3"/>
      <c r="N767" s="4"/>
    </row>
    <row r="768" spans="1:14" ht="17.5" thickBot="1" x14ac:dyDescent="0.45">
      <c r="A768" s="4">
        <v>43625</v>
      </c>
      <c r="B768" s="3">
        <v>164.65</v>
      </c>
      <c r="C768" s="3">
        <v>224.08</v>
      </c>
      <c r="D768" s="3">
        <v>111.15</v>
      </c>
      <c r="E768" s="3">
        <v>1.1136999999999999</v>
      </c>
      <c r="F768" s="3">
        <v>240.95</v>
      </c>
      <c r="G768" s="3">
        <v>230.28</v>
      </c>
      <c r="H768" s="3">
        <v>175.03</v>
      </c>
      <c r="I768" s="3">
        <v>203.27</v>
      </c>
      <c r="J768" s="3">
        <v>112.94</v>
      </c>
      <c r="K768" s="3">
        <v>206.88</v>
      </c>
      <c r="L768" s="3"/>
      <c r="N768" s="4"/>
    </row>
    <row r="769" spans="1:14" ht="17.5" thickBot="1" x14ac:dyDescent="0.45">
      <c r="A769" s="4">
        <v>43626</v>
      </c>
      <c r="B769" s="3">
        <v>168.4</v>
      </c>
      <c r="C769" s="3">
        <v>226.75</v>
      </c>
      <c r="D769" s="3">
        <v>111.05</v>
      </c>
      <c r="E769" s="3">
        <v>1.1240000000000001</v>
      </c>
      <c r="F769" s="3">
        <v>244.8</v>
      </c>
      <c r="G769" s="3">
        <v>233.74</v>
      </c>
      <c r="H769" s="3">
        <v>177.35</v>
      </c>
      <c r="I769" s="3">
        <v>206.02</v>
      </c>
      <c r="J769" s="3">
        <v>112.94</v>
      </c>
      <c r="K769" s="3">
        <v>208.91</v>
      </c>
      <c r="L769" s="3"/>
      <c r="N769" s="4"/>
    </row>
    <row r="770" spans="1:14" ht="17.5" thickBot="1" x14ac:dyDescent="0.45">
      <c r="A770" s="4">
        <v>43627</v>
      </c>
      <c r="B770" s="3">
        <v>169.65</v>
      </c>
      <c r="C770" s="3">
        <v>229.08</v>
      </c>
      <c r="D770" s="3">
        <v>111.05</v>
      </c>
      <c r="E770" s="3">
        <v>1.1254</v>
      </c>
      <c r="F770" s="3">
        <v>245.97</v>
      </c>
      <c r="G770" s="3">
        <v>233.85</v>
      </c>
      <c r="H770" s="3">
        <v>178.07</v>
      </c>
      <c r="I770" s="3">
        <v>206.71</v>
      </c>
      <c r="J770" s="3">
        <v>112.95</v>
      </c>
      <c r="K770" s="3">
        <v>209.52</v>
      </c>
      <c r="L770" s="3"/>
      <c r="N770" s="4"/>
    </row>
    <row r="771" spans="1:14" ht="17.5" thickBot="1" x14ac:dyDescent="0.45">
      <c r="A771" s="4">
        <v>43628</v>
      </c>
      <c r="B771" s="3">
        <v>167.13</v>
      </c>
      <c r="C771" s="3">
        <v>228.59</v>
      </c>
      <c r="D771" s="3">
        <v>111.05</v>
      </c>
      <c r="E771" s="3">
        <v>1.1220000000000001</v>
      </c>
      <c r="F771" s="3">
        <v>244.16</v>
      </c>
      <c r="G771" s="3">
        <v>233.24</v>
      </c>
      <c r="H771" s="3">
        <v>176.97</v>
      </c>
      <c r="I771" s="3">
        <v>205.6</v>
      </c>
      <c r="J771" s="3">
        <v>112.95</v>
      </c>
      <c r="K771" s="3">
        <v>208.51</v>
      </c>
      <c r="L771" s="3"/>
      <c r="N771" s="4"/>
    </row>
    <row r="772" spans="1:14" ht="17.5" thickBot="1" x14ac:dyDescent="0.45">
      <c r="A772" s="4">
        <v>43629</v>
      </c>
      <c r="B772" s="3">
        <v>167.03</v>
      </c>
      <c r="C772" s="3">
        <v>226.9</v>
      </c>
      <c r="D772" s="3">
        <v>111.23</v>
      </c>
      <c r="E772" s="3">
        <v>1.1238999999999999</v>
      </c>
      <c r="F772" s="3">
        <v>244.04</v>
      </c>
      <c r="G772" s="3">
        <v>234.46</v>
      </c>
      <c r="H772" s="3">
        <v>176.89</v>
      </c>
      <c r="I772" s="3">
        <v>206.61</v>
      </c>
      <c r="J772" s="3">
        <v>112.95</v>
      </c>
      <c r="K772" s="3">
        <v>208.48</v>
      </c>
      <c r="L772" s="3"/>
      <c r="N772" s="4"/>
    </row>
    <row r="773" spans="1:14" ht="17.5" thickBot="1" x14ac:dyDescent="0.45">
      <c r="A773" s="4">
        <v>43630</v>
      </c>
      <c r="B773" s="3">
        <v>165.94</v>
      </c>
      <c r="C773" s="3">
        <v>226.09</v>
      </c>
      <c r="D773" s="3">
        <v>111.32</v>
      </c>
      <c r="E773" s="3">
        <v>1.1220000000000001</v>
      </c>
      <c r="F773" s="3">
        <v>243.1</v>
      </c>
      <c r="G773" s="3">
        <v>233.81</v>
      </c>
      <c r="H773" s="3">
        <v>176.29</v>
      </c>
      <c r="I773" s="3">
        <v>205.6</v>
      </c>
      <c r="J773" s="3">
        <v>112.95</v>
      </c>
      <c r="K773" s="3">
        <v>207.91</v>
      </c>
      <c r="L773" s="3"/>
      <c r="N773" s="4"/>
    </row>
    <row r="774" spans="1:14" ht="17.5" thickBot="1" x14ac:dyDescent="0.45">
      <c r="A774" s="4">
        <v>43631</v>
      </c>
      <c r="B774" s="3">
        <v>165.94</v>
      </c>
      <c r="C774" s="3">
        <v>226.09</v>
      </c>
      <c r="D774" s="3">
        <v>111.32</v>
      </c>
      <c r="E774" s="3">
        <v>1.1220000000000001</v>
      </c>
      <c r="F774" s="3">
        <v>243.1</v>
      </c>
      <c r="G774" s="3">
        <v>233.81</v>
      </c>
      <c r="H774" s="3">
        <v>176.29</v>
      </c>
      <c r="I774" s="3">
        <v>205.6</v>
      </c>
      <c r="J774" s="3">
        <v>112.95</v>
      </c>
      <c r="K774" s="3">
        <v>207.91</v>
      </c>
      <c r="L774" s="3"/>
      <c r="N774" s="4"/>
    </row>
    <row r="775" spans="1:14" ht="17.5" thickBot="1" x14ac:dyDescent="0.45">
      <c r="A775" s="4">
        <v>43632</v>
      </c>
      <c r="B775" s="3">
        <v>165.94</v>
      </c>
      <c r="C775" s="3">
        <v>226.09</v>
      </c>
      <c r="D775" s="3">
        <v>111.32</v>
      </c>
      <c r="E775" s="3">
        <v>1.1220000000000001</v>
      </c>
      <c r="F775" s="3">
        <v>243.1</v>
      </c>
      <c r="G775" s="3">
        <v>233.81</v>
      </c>
      <c r="H775" s="3">
        <v>176.29</v>
      </c>
      <c r="I775" s="3">
        <v>205.6</v>
      </c>
      <c r="J775" s="3">
        <v>112.95</v>
      </c>
      <c r="K775" s="3">
        <v>207.91</v>
      </c>
      <c r="L775" s="3"/>
      <c r="N775" s="4"/>
    </row>
    <row r="776" spans="1:14" ht="17.5" thickBot="1" x14ac:dyDescent="0.45">
      <c r="A776" s="4">
        <v>43633</v>
      </c>
      <c r="B776" s="3">
        <v>166.74</v>
      </c>
      <c r="C776" s="3">
        <v>224.83</v>
      </c>
      <c r="D776" s="3">
        <v>111.13</v>
      </c>
      <c r="E776" s="3">
        <v>1.1220000000000001</v>
      </c>
      <c r="F776" s="3">
        <v>243.1</v>
      </c>
      <c r="G776" s="3">
        <v>234.33</v>
      </c>
      <c r="H776" s="3">
        <v>176.28</v>
      </c>
      <c r="I776" s="3">
        <v>205.24</v>
      </c>
      <c r="J776" s="3">
        <v>113</v>
      </c>
      <c r="K776" s="3">
        <v>207.92</v>
      </c>
      <c r="L776" s="3"/>
      <c r="N776" s="4"/>
    </row>
    <row r="777" spans="1:14" ht="17.5" thickBot="1" x14ac:dyDescent="0.45">
      <c r="A777" s="4">
        <v>43634</v>
      </c>
      <c r="B777" s="3">
        <v>167.86</v>
      </c>
      <c r="C777" s="3">
        <v>226.13</v>
      </c>
      <c r="D777" s="3">
        <v>111.22</v>
      </c>
      <c r="E777" s="3">
        <v>1.1299999999999999</v>
      </c>
      <c r="F777" s="3">
        <v>244.85</v>
      </c>
      <c r="G777" s="3">
        <v>236.75</v>
      </c>
      <c r="H777" s="3">
        <v>177.4</v>
      </c>
      <c r="I777" s="3">
        <v>207.73</v>
      </c>
      <c r="J777" s="3">
        <v>113</v>
      </c>
      <c r="K777" s="3">
        <v>209.03</v>
      </c>
      <c r="L777" s="3"/>
      <c r="N777" s="4"/>
    </row>
    <row r="778" spans="1:14" ht="17.5" thickBot="1" x14ac:dyDescent="0.45">
      <c r="A778" s="4">
        <v>43635</v>
      </c>
      <c r="B778" s="3">
        <v>172</v>
      </c>
      <c r="C778" s="3">
        <v>229.62</v>
      </c>
      <c r="D778" s="3">
        <v>111.4</v>
      </c>
      <c r="E778" s="3">
        <v>1.1333</v>
      </c>
      <c r="F778" s="3">
        <v>247.7</v>
      </c>
      <c r="G778" s="3">
        <v>236.94</v>
      </c>
      <c r="H778" s="3">
        <v>179.2</v>
      </c>
      <c r="I778" s="3">
        <v>208.45</v>
      </c>
      <c r="J778" s="3">
        <v>113</v>
      </c>
      <c r="K778" s="3">
        <v>210.62</v>
      </c>
      <c r="L778" s="3"/>
      <c r="N778" s="4"/>
    </row>
    <row r="779" spans="1:14" ht="17.5" thickBot="1" x14ac:dyDescent="0.45">
      <c r="A779" s="4">
        <v>43636</v>
      </c>
      <c r="B779" s="3">
        <v>174.72</v>
      </c>
      <c r="C779" s="3">
        <v>231.72</v>
      </c>
      <c r="D779" s="3">
        <v>112.31</v>
      </c>
      <c r="E779" s="3">
        <v>1.1406000000000001</v>
      </c>
      <c r="F779" s="3">
        <v>250.25</v>
      </c>
      <c r="G779" s="3">
        <v>238.64</v>
      </c>
      <c r="H779" s="3">
        <v>180.94</v>
      </c>
      <c r="I779" s="3">
        <v>210.53</v>
      </c>
      <c r="J779" s="3">
        <v>113</v>
      </c>
      <c r="K779" s="3">
        <v>212.38</v>
      </c>
      <c r="L779" s="3"/>
      <c r="N779" s="4"/>
    </row>
    <row r="780" spans="1:14" ht="17.5" thickBot="1" x14ac:dyDescent="0.45">
      <c r="A780" s="4">
        <v>43637</v>
      </c>
      <c r="B780" s="3">
        <v>174.26</v>
      </c>
      <c r="C780" s="3">
        <v>230.75</v>
      </c>
      <c r="D780" s="3">
        <v>112.12</v>
      </c>
      <c r="E780" s="3">
        <v>1.1375999999999999</v>
      </c>
      <c r="F780" s="3">
        <v>249.27</v>
      </c>
      <c r="G780" s="3">
        <v>237.92</v>
      </c>
      <c r="H780" s="3">
        <v>180.29</v>
      </c>
      <c r="I780" s="3">
        <v>210.28</v>
      </c>
      <c r="J780" s="3">
        <v>113</v>
      </c>
      <c r="K780" s="3">
        <v>211.71</v>
      </c>
      <c r="L780" s="3"/>
      <c r="N780" s="4"/>
    </row>
    <row r="781" spans="1:14" ht="17.5" thickBot="1" x14ac:dyDescent="0.45">
      <c r="A781" s="4">
        <v>43638</v>
      </c>
      <c r="B781" s="3">
        <v>174.26</v>
      </c>
      <c r="C781" s="3">
        <v>230.75</v>
      </c>
      <c r="D781" s="3">
        <v>112.12</v>
      </c>
      <c r="E781" s="3">
        <v>1.1375999999999999</v>
      </c>
      <c r="F781" s="3">
        <v>249.27</v>
      </c>
      <c r="G781" s="3">
        <v>237.92</v>
      </c>
      <c r="H781" s="3">
        <v>180.29</v>
      </c>
      <c r="I781" s="3">
        <v>210.28</v>
      </c>
      <c r="J781" s="3">
        <v>113</v>
      </c>
      <c r="K781" s="3">
        <v>211.71</v>
      </c>
      <c r="L781" s="3"/>
      <c r="N781" s="4"/>
    </row>
    <row r="782" spans="1:14" ht="17.5" thickBot="1" x14ac:dyDescent="0.45">
      <c r="A782" s="4">
        <v>43639</v>
      </c>
      <c r="B782" s="3">
        <v>174.26</v>
      </c>
      <c r="C782" s="3">
        <v>230.75</v>
      </c>
      <c r="D782" s="3">
        <v>112.12</v>
      </c>
      <c r="E782" s="3">
        <v>1.1375999999999999</v>
      </c>
      <c r="F782" s="3">
        <v>249.27</v>
      </c>
      <c r="G782" s="3">
        <v>237.92</v>
      </c>
      <c r="H782" s="3">
        <v>180.29</v>
      </c>
      <c r="I782" s="3">
        <v>210.28</v>
      </c>
      <c r="J782" s="3">
        <v>113</v>
      </c>
      <c r="K782" s="3">
        <v>211.71</v>
      </c>
      <c r="L782" s="3"/>
      <c r="N782" s="4"/>
    </row>
    <row r="783" spans="1:14" ht="17.5" thickBot="1" x14ac:dyDescent="0.45">
      <c r="A783" s="4">
        <v>43640</v>
      </c>
      <c r="B783" s="3">
        <v>174.31</v>
      </c>
      <c r="C783" s="3">
        <v>232.02</v>
      </c>
      <c r="D783" s="3">
        <v>112.39</v>
      </c>
      <c r="E783" s="3">
        <v>1.1386000000000001</v>
      </c>
      <c r="F783" s="3">
        <v>249.73</v>
      </c>
      <c r="G783" s="3">
        <v>237.33</v>
      </c>
      <c r="H783" s="3">
        <v>180.71</v>
      </c>
      <c r="I783" s="3">
        <v>210.29</v>
      </c>
      <c r="J783" s="3">
        <v>113</v>
      </c>
      <c r="K783" s="3">
        <v>212.26</v>
      </c>
      <c r="L783" s="3"/>
      <c r="N783" s="4"/>
    </row>
    <row r="784" spans="1:14" ht="17.5" thickBot="1" x14ac:dyDescent="0.45">
      <c r="A784" s="4">
        <v>43641</v>
      </c>
      <c r="B784" s="3">
        <v>172.4</v>
      </c>
      <c r="C784" s="3">
        <v>231.72</v>
      </c>
      <c r="D784" s="3">
        <v>112.57</v>
      </c>
      <c r="E784" s="3">
        <v>1.1348</v>
      </c>
      <c r="F784" s="3">
        <v>248.31</v>
      </c>
      <c r="G784" s="3">
        <v>235.13</v>
      </c>
      <c r="H784" s="3">
        <v>179.9</v>
      </c>
      <c r="I784" s="3">
        <v>207.83</v>
      </c>
      <c r="J784" s="3">
        <v>113</v>
      </c>
      <c r="K784" s="3">
        <v>211.64</v>
      </c>
      <c r="L784" s="3"/>
      <c r="N784" s="4"/>
    </row>
    <row r="785" spans="1:14" ht="17.5" thickBot="1" x14ac:dyDescent="0.45">
      <c r="A785" s="4">
        <v>43642</v>
      </c>
      <c r="B785" s="3">
        <v>172.67</v>
      </c>
      <c r="C785" s="3">
        <v>231.79</v>
      </c>
      <c r="D785" s="3">
        <v>112.48</v>
      </c>
      <c r="E785" s="3">
        <v>1.1325000000000001</v>
      </c>
      <c r="F785" s="3">
        <v>247.69</v>
      </c>
      <c r="G785" s="3">
        <v>234.84</v>
      </c>
      <c r="H785" s="3">
        <v>179.46</v>
      </c>
      <c r="I785" s="3">
        <v>208.05</v>
      </c>
      <c r="J785" s="3">
        <v>113</v>
      </c>
      <c r="K785" s="3">
        <v>211.08</v>
      </c>
      <c r="L785" s="3"/>
      <c r="N785" s="4"/>
    </row>
    <row r="786" spans="1:14" ht="17.5" thickBot="1" x14ac:dyDescent="0.45">
      <c r="A786" s="4">
        <v>43643</v>
      </c>
      <c r="B786" s="3">
        <v>175.32</v>
      </c>
      <c r="C786" s="3">
        <v>234.23</v>
      </c>
      <c r="D786" s="3">
        <v>112.48</v>
      </c>
      <c r="E786" s="3">
        <v>1.1364000000000001</v>
      </c>
      <c r="F786" s="3">
        <v>249.55</v>
      </c>
      <c r="G786" s="3">
        <v>235.69</v>
      </c>
      <c r="H786" s="3">
        <v>180.62</v>
      </c>
      <c r="I786" s="3">
        <v>208.49</v>
      </c>
      <c r="J786" s="3">
        <v>113</v>
      </c>
      <c r="K786" s="3">
        <v>212.11</v>
      </c>
      <c r="L786" s="3"/>
      <c r="N786" s="4"/>
    </row>
    <row r="787" spans="1:14" ht="17.5" thickBot="1" x14ac:dyDescent="0.45">
      <c r="A787" s="4">
        <v>43644</v>
      </c>
      <c r="B787" s="3">
        <v>174.78</v>
      </c>
      <c r="C787" s="3">
        <v>233.4</v>
      </c>
      <c r="D787" s="3">
        <v>112.66</v>
      </c>
      <c r="E787" s="3">
        <v>1.1398999999999999</v>
      </c>
      <c r="F787" s="3">
        <v>250.06</v>
      </c>
      <c r="G787" s="3">
        <v>237.08</v>
      </c>
      <c r="H787" s="3">
        <v>180.95</v>
      </c>
      <c r="I787" s="3">
        <v>209.18</v>
      </c>
      <c r="J787" s="3">
        <v>113.09</v>
      </c>
      <c r="K787" s="3">
        <v>212.46</v>
      </c>
      <c r="L787" s="3"/>
      <c r="N787" s="4"/>
    </row>
    <row r="788" spans="1:14" ht="17.5" thickBot="1" x14ac:dyDescent="0.45">
      <c r="A788" s="4">
        <v>43645</v>
      </c>
      <c r="B788" s="3">
        <v>174.78</v>
      </c>
      <c r="C788" s="3">
        <v>233.4</v>
      </c>
      <c r="D788" s="3">
        <v>112.66</v>
      </c>
      <c r="E788" s="3">
        <v>1.1398999999999999</v>
      </c>
      <c r="F788" s="3">
        <v>250.06</v>
      </c>
      <c r="G788" s="3">
        <v>237.08</v>
      </c>
      <c r="H788" s="3">
        <v>180.95</v>
      </c>
      <c r="I788" s="3">
        <v>209.18</v>
      </c>
      <c r="J788" s="3">
        <v>113.09</v>
      </c>
      <c r="K788" s="3">
        <v>212.46</v>
      </c>
      <c r="L788" s="3"/>
      <c r="N788" s="4"/>
    </row>
    <row r="789" spans="1:14" ht="17.5" thickBot="1" x14ac:dyDescent="0.45">
      <c r="A789" s="4">
        <v>43646</v>
      </c>
      <c r="B789" s="3">
        <v>174.78</v>
      </c>
      <c r="C789" s="3">
        <v>233.4</v>
      </c>
      <c r="D789" s="3">
        <v>112.66</v>
      </c>
      <c r="E789" s="3">
        <v>1.1398999999999999</v>
      </c>
      <c r="F789" s="3">
        <v>250.06</v>
      </c>
      <c r="G789" s="3">
        <v>237.08</v>
      </c>
      <c r="H789" s="3">
        <v>180.95</v>
      </c>
      <c r="I789" s="3">
        <v>209.18</v>
      </c>
      <c r="J789" s="3">
        <v>113.09</v>
      </c>
      <c r="K789" s="3">
        <v>212.46</v>
      </c>
      <c r="L789" s="3"/>
      <c r="N789" s="4"/>
    </row>
    <row r="790" spans="1:14" ht="17.5" thickBot="1" x14ac:dyDescent="0.45">
      <c r="A790" s="4">
        <v>43647</v>
      </c>
      <c r="B790" s="3">
        <v>174.78</v>
      </c>
      <c r="C790" s="3">
        <v>233.4</v>
      </c>
      <c r="D790" s="3">
        <v>112.66</v>
      </c>
      <c r="E790" s="3">
        <v>1.1398999999999999</v>
      </c>
      <c r="F790" s="3">
        <v>250.06</v>
      </c>
      <c r="G790" s="3">
        <v>237.08</v>
      </c>
      <c r="H790" s="3">
        <v>180.95</v>
      </c>
      <c r="I790" s="3">
        <v>209.18</v>
      </c>
      <c r="J790" s="3">
        <v>113.09</v>
      </c>
      <c r="K790" s="3">
        <v>212.46</v>
      </c>
      <c r="L790" s="3"/>
      <c r="N790" s="4"/>
    </row>
    <row r="791" spans="1:14" ht="17.5" thickBot="1" x14ac:dyDescent="0.45">
      <c r="A791" s="4">
        <v>43648</v>
      </c>
      <c r="B791" s="3">
        <v>177.67</v>
      </c>
      <c r="C791" s="3">
        <v>235.14</v>
      </c>
      <c r="D791" s="3">
        <v>112.37</v>
      </c>
      <c r="E791" s="3">
        <v>1.1463000000000001</v>
      </c>
      <c r="F791" s="3">
        <v>252.58</v>
      </c>
      <c r="G791" s="3">
        <v>238.99</v>
      </c>
      <c r="H791" s="3">
        <v>182.4</v>
      </c>
      <c r="I791" s="3">
        <v>210.94</v>
      </c>
      <c r="J791" s="3">
        <v>113.09</v>
      </c>
      <c r="K791" s="3">
        <v>213.59</v>
      </c>
      <c r="L791" s="3"/>
      <c r="N791" s="4"/>
    </row>
    <row r="792" spans="1:14" ht="17.5" thickBot="1" x14ac:dyDescent="0.45">
      <c r="A792" s="4">
        <v>43649</v>
      </c>
      <c r="B792" s="3">
        <v>177.24</v>
      </c>
      <c r="C792" s="3">
        <v>233.64</v>
      </c>
      <c r="D792" s="3">
        <v>112.74</v>
      </c>
      <c r="E792" s="3">
        <v>1.1511</v>
      </c>
      <c r="F792" s="3">
        <v>252.74</v>
      </c>
      <c r="G792" s="3">
        <v>240.86</v>
      </c>
      <c r="H792" s="3">
        <v>182.49</v>
      </c>
      <c r="I792" s="3">
        <v>212.37</v>
      </c>
      <c r="J792" s="3">
        <v>113.09</v>
      </c>
      <c r="K792" s="3">
        <v>213.74</v>
      </c>
      <c r="L792" s="3"/>
      <c r="N792" s="4"/>
    </row>
    <row r="793" spans="1:14" ht="17.5" thickBot="1" x14ac:dyDescent="0.45">
      <c r="A793" s="4">
        <v>43650</v>
      </c>
      <c r="B793" s="3">
        <v>177.23</v>
      </c>
      <c r="C793" s="3">
        <v>235.08</v>
      </c>
      <c r="D793" s="3">
        <v>112.64</v>
      </c>
      <c r="E793" s="3">
        <v>1.1512</v>
      </c>
      <c r="F793" s="3">
        <v>252.83</v>
      </c>
      <c r="G793" s="3">
        <v>240.65</v>
      </c>
      <c r="H793" s="3">
        <v>182.56</v>
      </c>
      <c r="I793" s="3">
        <v>212.15</v>
      </c>
      <c r="J793" s="3">
        <v>113.09</v>
      </c>
      <c r="K793" s="3">
        <v>213.79</v>
      </c>
      <c r="L793" s="3"/>
      <c r="N793" s="4"/>
    </row>
    <row r="794" spans="1:14" ht="17.5" thickBot="1" x14ac:dyDescent="0.45">
      <c r="A794" s="4">
        <v>43651</v>
      </c>
      <c r="B794" s="3">
        <v>176.9</v>
      </c>
      <c r="C794" s="3">
        <v>233.66</v>
      </c>
      <c r="D794" s="3">
        <v>112.64</v>
      </c>
      <c r="E794" s="3">
        <v>1.1471</v>
      </c>
      <c r="F794" s="3">
        <v>252.01</v>
      </c>
      <c r="G794" s="3">
        <v>240.74</v>
      </c>
      <c r="H794" s="3">
        <v>181.92</v>
      </c>
      <c r="I794" s="3">
        <v>212.82</v>
      </c>
      <c r="J794" s="3">
        <v>113.09</v>
      </c>
      <c r="K794" s="3">
        <v>213.02</v>
      </c>
      <c r="L794" s="3"/>
      <c r="N794" s="4"/>
    </row>
    <row r="795" spans="1:14" ht="17.5" thickBot="1" x14ac:dyDescent="0.45">
      <c r="A795" s="4">
        <v>43652</v>
      </c>
      <c r="B795" s="3">
        <v>176.9</v>
      </c>
      <c r="C795" s="3">
        <v>233.66</v>
      </c>
      <c r="D795" s="3">
        <v>112.64</v>
      </c>
      <c r="E795" s="3">
        <v>1.1471</v>
      </c>
      <c r="F795" s="3">
        <v>252.01</v>
      </c>
      <c r="G795" s="3">
        <v>240.74</v>
      </c>
      <c r="H795" s="3">
        <v>181.92</v>
      </c>
      <c r="I795" s="3">
        <v>212.82</v>
      </c>
      <c r="J795" s="3">
        <v>113.09</v>
      </c>
      <c r="K795" s="3">
        <v>213.02</v>
      </c>
      <c r="L795" s="3"/>
      <c r="N795" s="4"/>
    </row>
    <row r="796" spans="1:14" ht="17.5" thickBot="1" x14ac:dyDescent="0.45">
      <c r="A796" s="4">
        <v>43653</v>
      </c>
      <c r="B796" s="3">
        <v>176.9</v>
      </c>
      <c r="C796" s="3">
        <v>233.66</v>
      </c>
      <c r="D796" s="3">
        <v>112.64</v>
      </c>
      <c r="E796" s="3">
        <v>1.1471</v>
      </c>
      <c r="F796" s="3">
        <v>252.01</v>
      </c>
      <c r="G796" s="3">
        <v>240.74</v>
      </c>
      <c r="H796" s="3">
        <v>181.92</v>
      </c>
      <c r="I796" s="3">
        <v>212.82</v>
      </c>
      <c r="J796" s="3">
        <v>113.09</v>
      </c>
      <c r="K796" s="3">
        <v>213.02</v>
      </c>
      <c r="L796" s="3"/>
      <c r="N796" s="4"/>
    </row>
    <row r="797" spans="1:14" ht="17.5" thickBot="1" x14ac:dyDescent="0.45">
      <c r="A797" s="4">
        <v>43654</v>
      </c>
      <c r="B797" s="3">
        <v>174.01</v>
      </c>
      <c r="C797" s="3">
        <v>230.5</v>
      </c>
      <c r="D797" s="3">
        <v>112.45</v>
      </c>
      <c r="E797" s="3">
        <v>1.1434</v>
      </c>
      <c r="F797" s="3">
        <v>249.79</v>
      </c>
      <c r="G797" s="3">
        <v>239.59</v>
      </c>
      <c r="H797" s="3">
        <v>180.58</v>
      </c>
      <c r="I797" s="3">
        <v>212.28</v>
      </c>
      <c r="J797" s="3">
        <v>113.09</v>
      </c>
      <c r="K797" s="3">
        <v>211.89</v>
      </c>
      <c r="L797" s="3"/>
      <c r="N797" s="4"/>
    </row>
    <row r="798" spans="1:14" ht="17.5" thickBot="1" x14ac:dyDescent="0.45">
      <c r="A798" s="4">
        <v>43655</v>
      </c>
      <c r="B798" s="3">
        <v>172.76</v>
      </c>
      <c r="C798" s="3">
        <v>230.16</v>
      </c>
      <c r="D798" s="3">
        <v>112.27</v>
      </c>
      <c r="E798" s="3">
        <v>1.1435</v>
      </c>
      <c r="F798" s="3">
        <v>248.93</v>
      </c>
      <c r="G798" s="3">
        <v>239.96</v>
      </c>
      <c r="H798" s="3">
        <v>180.02</v>
      </c>
      <c r="I798" s="3">
        <v>212.69</v>
      </c>
      <c r="J798" s="3">
        <v>113.09</v>
      </c>
      <c r="K798" s="3">
        <v>211.37</v>
      </c>
      <c r="L798" s="3"/>
      <c r="N798" s="4"/>
    </row>
    <row r="799" spans="1:14" ht="17.5" thickBot="1" x14ac:dyDescent="0.45">
      <c r="A799" s="4">
        <v>43656</v>
      </c>
      <c r="B799" s="3">
        <v>173.37</v>
      </c>
      <c r="C799" s="3">
        <v>231.63</v>
      </c>
      <c r="D799" s="3">
        <v>112.36</v>
      </c>
      <c r="E799" s="3">
        <v>1.1459999999999999</v>
      </c>
      <c r="F799" s="3">
        <v>249.76</v>
      </c>
      <c r="G799" s="3">
        <v>241</v>
      </c>
      <c r="H799" s="3">
        <v>180.57</v>
      </c>
      <c r="I799" s="3">
        <v>214.03</v>
      </c>
      <c r="J799" s="3">
        <v>113.09</v>
      </c>
      <c r="K799" s="3">
        <v>211.9</v>
      </c>
      <c r="L799" s="3"/>
      <c r="N799" s="4"/>
    </row>
    <row r="800" spans="1:14" ht="17.5" thickBot="1" x14ac:dyDescent="0.45">
      <c r="A800" s="4">
        <v>43657</v>
      </c>
      <c r="B800" s="3">
        <v>174.57</v>
      </c>
      <c r="C800" s="3">
        <v>234.11</v>
      </c>
      <c r="D800" s="3">
        <v>112.9</v>
      </c>
      <c r="E800" s="3">
        <v>1.1473</v>
      </c>
      <c r="F800" s="3">
        <v>250.96</v>
      </c>
      <c r="G800" s="3">
        <v>241.47</v>
      </c>
      <c r="H800" s="3">
        <v>181.29</v>
      </c>
      <c r="I800" s="3">
        <v>214.43</v>
      </c>
      <c r="J800" s="3">
        <v>113.09</v>
      </c>
      <c r="K800" s="3">
        <v>212.47</v>
      </c>
      <c r="L800" s="3"/>
      <c r="N800" s="4"/>
    </row>
    <row r="801" spans="1:14" ht="17.5" thickBot="1" x14ac:dyDescent="0.45">
      <c r="A801" s="4">
        <v>43658</v>
      </c>
      <c r="B801" s="3">
        <v>175.14</v>
      </c>
      <c r="C801" s="3">
        <v>233.66</v>
      </c>
      <c r="D801" s="3">
        <v>112.54</v>
      </c>
      <c r="E801" s="3">
        <v>1.149</v>
      </c>
      <c r="F801" s="3">
        <v>251.28</v>
      </c>
      <c r="G801" s="3">
        <v>243.21</v>
      </c>
      <c r="H801" s="3">
        <v>181.46</v>
      </c>
      <c r="I801" s="3">
        <v>215.2</v>
      </c>
      <c r="J801" s="3">
        <v>113.09</v>
      </c>
      <c r="K801" s="3">
        <v>212.63</v>
      </c>
      <c r="L801" s="3"/>
      <c r="N801" s="4"/>
    </row>
    <row r="802" spans="1:14" ht="17.5" thickBot="1" x14ac:dyDescent="0.45">
      <c r="A802" s="4">
        <v>43659</v>
      </c>
      <c r="B802" s="3">
        <v>175.14</v>
      </c>
      <c r="C802" s="3">
        <v>233.66</v>
      </c>
      <c r="D802" s="3">
        <v>112.54</v>
      </c>
      <c r="E802" s="3">
        <v>1.149</v>
      </c>
      <c r="F802" s="3">
        <v>251.28</v>
      </c>
      <c r="G802" s="3">
        <v>243.21</v>
      </c>
      <c r="H802" s="3">
        <v>181.46</v>
      </c>
      <c r="I802" s="3">
        <v>215.2</v>
      </c>
      <c r="J802" s="3">
        <v>113.09</v>
      </c>
      <c r="K802" s="3">
        <v>212.63</v>
      </c>
      <c r="L802" s="3"/>
      <c r="N802" s="4"/>
    </row>
    <row r="803" spans="1:14" ht="17.5" thickBot="1" x14ac:dyDescent="0.45">
      <c r="A803" s="4">
        <v>43660</v>
      </c>
      <c r="B803" s="3">
        <v>175.14</v>
      </c>
      <c r="C803" s="3">
        <v>233.66</v>
      </c>
      <c r="D803" s="3">
        <v>112.54</v>
      </c>
      <c r="E803" s="3">
        <v>1.149</v>
      </c>
      <c r="F803" s="3">
        <v>251.28</v>
      </c>
      <c r="G803" s="3">
        <v>243.21</v>
      </c>
      <c r="H803" s="3">
        <v>181.46</v>
      </c>
      <c r="I803" s="3">
        <v>215.2</v>
      </c>
      <c r="J803" s="3">
        <v>113.09</v>
      </c>
      <c r="K803" s="3">
        <v>212.63</v>
      </c>
      <c r="L803" s="3"/>
      <c r="N803" s="4"/>
    </row>
    <row r="804" spans="1:14" ht="17.5" thickBot="1" x14ac:dyDescent="0.45">
      <c r="A804" s="4">
        <v>43661</v>
      </c>
      <c r="B804" s="3">
        <v>175.46</v>
      </c>
      <c r="C804" s="3">
        <v>234.78</v>
      </c>
      <c r="D804" s="3">
        <v>112.71</v>
      </c>
      <c r="E804" s="3">
        <v>1.1511</v>
      </c>
      <c r="F804" s="3">
        <v>251.89</v>
      </c>
      <c r="G804" s="3">
        <v>243.36</v>
      </c>
      <c r="H804" s="3">
        <v>181.91</v>
      </c>
      <c r="I804" s="3">
        <v>215.14</v>
      </c>
      <c r="J804" s="3">
        <v>113.09</v>
      </c>
      <c r="K804" s="3">
        <v>213.14</v>
      </c>
      <c r="L804" s="3"/>
      <c r="N804" s="4"/>
    </row>
    <row r="805" spans="1:14" ht="17.5" thickBot="1" x14ac:dyDescent="0.45">
      <c r="A805" s="4">
        <v>43662</v>
      </c>
      <c r="B805" s="3">
        <v>175.79</v>
      </c>
      <c r="C805" s="3">
        <v>235.02</v>
      </c>
      <c r="D805" s="3">
        <v>112.8</v>
      </c>
      <c r="E805" s="3">
        <v>1.1487000000000001</v>
      </c>
      <c r="F805" s="3">
        <v>251.63</v>
      </c>
      <c r="G805" s="3">
        <v>242.51</v>
      </c>
      <c r="H805" s="3">
        <v>181.69</v>
      </c>
      <c r="I805" s="3">
        <v>214.11</v>
      </c>
      <c r="J805" s="3">
        <v>113.09</v>
      </c>
      <c r="K805" s="3">
        <v>212.81</v>
      </c>
      <c r="L805" s="3"/>
      <c r="N805" s="4"/>
    </row>
    <row r="806" spans="1:14" ht="17.5" thickBot="1" x14ac:dyDescent="0.45">
      <c r="A806" s="4">
        <v>43663</v>
      </c>
      <c r="B806" s="3">
        <v>175.73</v>
      </c>
      <c r="C806" s="3">
        <v>234.44</v>
      </c>
      <c r="D806" s="3">
        <v>112.62</v>
      </c>
      <c r="E806" s="3">
        <v>1.1462000000000001</v>
      </c>
      <c r="F806" s="3">
        <v>251.06</v>
      </c>
      <c r="G806" s="3">
        <v>240.43</v>
      </c>
      <c r="H806" s="3">
        <v>181.41</v>
      </c>
      <c r="I806" s="3">
        <v>212.93</v>
      </c>
      <c r="J806" s="3">
        <v>113.09</v>
      </c>
      <c r="K806" s="3">
        <v>212.67</v>
      </c>
      <c r="L806" s="3"/>
      <c r="N806" s="4"/>
    </row>
    <row r="807" spans="1:14" ht="17.5" thickBot="1" x14ac:dyDescent="0.45">
      <c r="A807" s="4">
        <v>43664</v>
      </c>
      <c r="B807" s="3">
        <v>174.91</v>
      </c>
      <c r="C807" s="3">
        <v>234</v>
      </c>
      <c r="D807" s="3">
        <v>112.98</v>
      </c>
      <c r="E807" s="3">
        <v>1.1469</v>
      </c>
      <c r="F807" s="3">
        <v>250.36</v>
      </c>
      <c r="G807" s="3">
        <v>241.45</v>
      </c>
      <c r="H807" s="3">
        <v>181.04</v>
      </c>
      <c r="I807" s="3">
        <v>213.89</v>
      </c>
      <c r="J807" s="3">
        <v>113.09</v>
      </c>
      <c r="K807" s="3">
        <v>212.46</v>
      </c>
      <c r="L807" s="3"/>
      <c r="N807" s="4"/>
    </row>
    <row r="808" spans="1:14" ht="17.5" thickBot="1" x14ac:dyDescent="0.45">
      <c r="A808" s="4">
        <v>43665</v>
      </c>
      <c r="B808" s="3">
        <v>176.69</v>
      </c>
      <c r="C808" s="3">
        <v>235.45</v>
      </c>
      <c r="D808" s="3">
        <v>113.07</v>
      </c>
      <c r="E808" s="3">
        <v>1.1455</v>
      </c>
      <c r="F808" s="3">
        <v>251.44</v>
      </c>
      <c r="G808" s="3">
        <v>240.18</v>
      </c>
      <c r="H808" s="3">
        <v>181.7</v>
      </c>
      <c r="I808" s="3">
        <v>212.19</v>
      </c>
      <c r="J808" s="3">
        <v>113.09</v>
      </c>
      <c r="K808" s="3">
        <v>212.97</v>
      </c>
      <c r="L808" s="3"/>
      <c r="N808" s="4"/>
    </row>
    <row r="809" spans="1:14" ht="17.5" thickBot="1" x14ac:dyDescent="0.45">
      <c r="A809" s="4">
        <v>43666</v>
      </c>
      <c r="B809" s="3">
        <v>176.69</v>
      </c>
      <c r="C809" s="3">
        <v>235.45</v>
      </c>
      <c r="D809" s="3">
        <v>113.07</v>
      </c>
      <c r="E809" s="3">
        <v>1.1455</v>
      </c>
      <c r="F809" s="3">
        <v>251.44</v>
      </c>
      <c r="G809" s="3">
        <v>240.18</v>
      </c>
      <c r="H809" s="3">
        <v>181.7</v>
      </c>
      <c r="I809" s="3">
        <v>212.19</v>
      </c>
      <c r="J809" s="3">
        <v>113.09</v>
      </c>
      <c r="K809" s="3">
        <v>212.97</v>
      </c>
      <c r="L809" s="3"/>
      <c r="N809" s="4"/>
    </row>
    <row r="810" spans="1:14" ht="17.5" thickBot="1" x14ac:dyDescent="0.45">
      <c r="A810" s="4">
        <v>43667</v>
      </c>
      <c r="B810" s="3">
        <v>176.69</v>
      </c>
      <c r="C810" s="3">
        <v>235.45</v>
      </c>
      <c r="D810" s="3">
        <v>113.07</v>
      </c>
      <c r="E810" s="3">
        <v>1.1455</v>
      </c>
      <c r="F810" s="3">
        <v>251.44</v>
      </c>
      <c r="G810" s="3">
        <v>240.18</v>
      </c>
      <c r="H810" s="3">
        <v>181.7</v>
      </c>
      <c r="I810" s="3">
        <v>212.19</v>
      </c>
      <c r="J810" s="3">
        <v>113.09</v>
      </c>
      <c r="K810" s="3">
        <v>212.97</v>
      </c>
      <c r="L810" s="3"/>
      <c r="N810" s="4"/>
    </row>
    <row r="811" spans="1:14" ht="17.5" thickBot="1" x14ac:dyDescent="0.45">
      <c r="A811" s="4">
        <v>43668</v>
      </c>
      <c r="B811" s="3">
        <v>174.17</v>
      </c>
      <c r="C811" s="3">
        <v>235.53</v>
      </c>
      <c r="D811" s="3">
        <v>112.97</v>
      </c>
      <c r="E811" s="3">
        <v>1.1467000000000001</v>
      </c>
      <c r="F811" s="3">
        <v>250.54</v>
      </c>
      <c r="G811" s="3">
        <v>240.49</v>
      </c>
      <c r="H811" s="3">
        <v>181.17</v>
      </c>
      <c r="I811" s="3">
        <v>212.7</v>
      </c>
      <c r="J811" s="3">
        <v>113.13</v>
      </c>
      <c r="K811" s="3">
        <v>212.56</v>
      </c>
      <c r="L811" s="3"/>
      <c r="N811" s="4"/>
    </row>
    <row r="812" spans="1:14" ht="17.5" thickBot="1" x14ac:dyDescent="0.45">
      <c r="A812" s="4">
        <v>43669</v>
      </c>
      <c r="B812" s="3">
        <v>174.92</v>
      </c>
      <c r="C812" s="3">
        <v>235.55</v>
      </c>
      <c r="D812" s="3">
        <v>112.79</v>
      </c>
      <c r="E812" s="3">
        <v>1.1499999999999999</v>
      </c>
      <c r="F812" s="3">
        <v>251.34</v>
      </c>
      <c r="G812" s="3">
        <v>241.96</v>
      </c>
      <c r="H812" s="3">
        <v>181.57</v>
      </c>
      <c r="I812" s="3">
        <v>213.52</v>
      </c>
      <c r="J812" s="3">
        <v>113.13</v>
      </c>
      <c r="K812" s="3">
        <v>212.81</v>
      </c>
      <c r="L812" s="3"/>
      <c r="N812" s="4"/>
    </row>
    <row r="813" spans="1:14" ht="17.5" thickBot="1" x14ac:dyDescent="0.45">
      <c r="A813" s="4">
        <v>43670</v>
      </c>
      <c r="B813" s="3">
        <v>175.28</v>
      </c>
      <c r="C813" s="3">
        <v>234.6</v>
      </c>
      <c r="D813" s="3">
        <v>112.78</v>
      </c>
      <c r="E813" s="3">
        <v>1.1534</v>
      </c>
      <c r="F813" s="3">
        <v>251.97</v>
      </c>
      <c r="G813" s="3">
        <v>243.26</v>
      </c>
      <c r="H813" s="3">
        <v>182</v>
      </c>
      <c r="I813" s="3">
        <v>214.6</v>
      </c>
      <c r="J813" s="3">
        <v>113.13</v>
      </c>
      <c r="K813" s="3">
        <v>213.28</v>
      </c>
      <c r="L813" s="3"/>
      <c r="N813" s="4"/>
    </row>
    <row r="814" spans="1:14" ht="17.5" thickBot="1" x14ac:dyDescent="0.45">
      <c r="A814" s="4">
        <v>43671</v>
      </c>
      <c r="B814" s="3">
        <v>175.97</v>
      </c>
      <c r="C814" s="3">
        <v>234.92</v>
      </c>
      <c r="D814" s="3">
        <v>112.87</v>
      </c>
      <c r="E814" s="3">
        <v>1.1498999999999999</v>
      </c>
      <c r="F814" s="3">
        <v>251.77</v>
      </c>
      <c r="G814" s="3">
        <v>241.51</v>
      </c>
      <c r="H814" s="3">
        <v>181.9</v>
      </c>
      <c r="I814" s="3">
        <v>213.11</v>
      </c>
      <c r="J814" s="3">
        <v>113.13</v>
      </c>
      <c r="K814" s="3">
        <v>213.19</v>
      </c>
      <c r="L814" s="3"/>
      <c r="N814" s="4"/>
    </row>
    <row r="815" spans="1:14" ht="17.5" thickBot="1" x14ac:dyDescent="0.45">
      <c r="A815" s="4">
        <v>43672</v>
      </c>
      <c r="B815" s="3">
        <v>174.55</v>
      </c>
      <c r="C815" s="3">
        <v>233.05</v>
      </c>
      <c r="D815" s="3">
        <v>112.69</v>
      </c>
      <c r="E815" s="3">
        <v>1.1521999999999999</v>
      </c>
      <c r="F815" s="3">
        <v>251.38</v>
      </c>
      <c r="G815" s="3">
        <v>243.43</v>
      </c>
      <c r="H815" s="3">
        <v>181.62</v>
      </c>
      <c r="I815" s="3">
        <v>214.33</v>
      </c>
      <c r="J815" s="3">
        <v>113.13</v>
      </c>
      <c r="K815" s="3">
        <v>212.95</v>
      </c>
      <c r="L815" s="3"/>
      <c r="N815" s="4"/>
    </row>
    <row r="816" spans="1:14" ht="17.5" thickBot="1" x14ac:dyDescent="0.45">
      <c r="A816" s="4">
        <v>43673</v>
      </c>
      <c r="B816" s="3">
        <v>174.55</v>
      </c>
      <c r="C816" s="3">
        <v>233.05</v>
      </c>
      <c r="D816" s="3">
        <v>112.69</v>
      </c>
      <c r="E816" s="3">
        <v>1.1521999999999999</v>
      </c>
      <c r="F816" s="3">
        <v>251.38</v>
      </c>
      <c r="G816" s="3">
        <v>243.43</v>
      </c>
      <c r="H816" s="3">
        <v>181.62</v>
      </c>
      <c r="I816" s="3">
        <v>214.33</v>
      </c>
      <c r="J816" s="3">
        <v>113.13</v>
      </c>
      <c r="K816" s="3">
        <v>212.95</v>
      </c>
      <c r="L816" s="3"/>
      <c r="N816" s="4"/>
    </row>
    <row r="817" spans="1:14" ht="17.5" thickBot="1" x14ac:dyDescent="0.45">
      <c r="A817" s="4">
        <v>43674</v>
      </c>
      <c r="B817" s="3">
        <v>174.55</v>
      </c>
      <c r="C817" s="3">
        <v>233.05</v>
      </c>
      <c r="D817" s="3">
        <v>112.69</v>
      </c>
      <c r="E817" s="3">
        <v>1.1521999999999999</v>
      </c>
      <c r="F817" s="3">
        <v>251.38</v>
      </c>
      <c r="G817" s="3">
        <v>243.43</v>
      </c>
      <c r="H817" s="3">
        <v>181.62</v>
      </c>
      <c r="I817" s="3">
        <v>214.33</v>
      </c>
      <c r="J817" s="3">
        <v>113.13</v>
      </c>
      <c r="K817" s="3">
        <v>212.95</v>
      </c>
      <c r="L817" s="3"/>
      <c r="N817" s="4"/>
    </row>
    <row r="818" spans="1:14" ht="17.5" thickBot="1" x14ac:dyDescent="0.45">
      <c r="A818" s="4">
        <v>43675</v>
      </c>
      <c r="B818" s="3">
        <v>173.12</v>
      </c>
      <c r="C818" s="3">
        <v>232.03</v>
      </c>
      <c r="D818" s="3">
        <v>112.5</v>
      </c>
      <c r="E818" s="3">
        <v>1.1515</v>
      </c>
      <c r="F818" s="3">
        <v>250.37</v>
      </c>
      <c r="G818" s="3">
        <v>242.77</v>
      </c>
      <c r="H818" s="3">
        <v>181.04</v>
      </c>
      <c r="I818" s="3">
        <v>214.15</v>
      </c>
      <c r="J818" s="3">
        <v>113.13</v>
      </c>
      <c r="K818" s="3">
        <v>212.45</v>
      </c>
      <c r="L818" s="3"/>
      <c r="N818" s="4"/>
    </row>
    <row r="819" spans="1:14" ht="17.5" thickBot="1" x14ac:dyDescent="0.45">
      <c r="A819" s="4">
        <v>43676</v>
      </c>
      <c r="B819" s="3">
        <v>173.45</v>
      </c>
      <c r="C819" s="3">
        <v>232.13</v>
      </c>
      <c r="D819" s="3">
        <v>112.59</v>
      </c>
      <c r="E819" s="3">
        <v>1.1489</v>
      </c>
      <c r="F819" s="3">
        <v>249.85</v>
      </c>
      <c r="G819" s="3">
        <v>241.8</v>
      </c>
      <c r="H819" s="3">
        <v>180.77</v>
      </c>
      <c r="I819" s="3">
        <v>213.3</v>
      </c>
      <c r="J819" s="3">
        <v>113.13</v>
      </c>
      <c r="K819" s="3">
        <v>212.21</v>
      </c>
      <c r="L819" s="3"/>
      <c r="N819" s="4"/>
    </row>
    <row r="820" spans="1:14" ht="17.5" thickBot="1" x14ac:dyDescent="0.45">
      <c r="A820" s="4">
        <v>43677</v>
      </c>
      <c r="B820" s="3">
        <v>171.32</v>
      </c>
      <c r="C820" s="3">
        <v>231.56</v>
      </c>
      <c r="D820" s="3">
        <v>112.77</v>
      </c>
      <c r="E820" s="3">
        <v>1.1455</v>
      </c>
      <c r="F820" s="3">
        <v>248.41</v>
      </c>
      <c r="G820" s="3">
        <v>239.51</v>
      </c>
      <c r="H820" s="3">
        <v>179.95</v>
      </c>
      <c r="I820" s="3">
        <v>210.97</v>
      </c>
      <c r="J820" s="3">
        <v>113.14</v>
      </c>
      <c r="K820" s="3">
        <v>211.63</v>
      </c>
      <c r="L820" s="3"/>
      <c r="N820" s="4"/>
    </row>
    <row r="821" spans="1:14" ht="17.5" thickBot="1" x14ac:dyDescent="0.45">
      <c r="A821" s="4">
        <v>43678</v>
      </c>
      <c r="B821" s="3">
        <v>170.2</v>
      </c>
      <c r="C821" s="3">
        <v>229.49</v>
      </c>
      <c r="D821" s="3">
        <v>112.49</v>
      </c>
      <c r="E821" s="3">
        <v>1.1425000000000001</v>
      </c>
      <c r="F821" s="3">
        <v>247.16</v>
      </c>
      <c r="G821" s="3">
        <v>237.19</v>
      </c>
      <c r="H821" s="3">
        <v>179.22</v>
      </c>
      <c r="I821" s="3">
        <v>208.8</v>
      </c>
      <c r="J821" s="3">
        <v>113.14</v>
      </c>
      <c r="K821" s="3">
        <v>211.08</v>
      </c>
      <c r="L821" s="3"/>
      <c r="N821" s="4"/>
    </row>
    <row r="822" spans="1:14" ht="17.5" thickBot="1" x14ac:dyDescent="0.45">
      <c r="A822" s="4">
        <v>43679</v>
      </c>
      <c r="B822" s="3">
        <v>166.02</v>
      </c>
      <c r="C822" s="3">
        <v>225.91</v>
      </c>
      <c r="D822" s="3">
        <v>112.67</v>
      </c>
      <c r="E822" s="3">
        <v>1.1358999999999999</v>
      </c>
      <c r="F822" s="3">
        <v>243.73</v>
      </c>
      <c r="G822" s="3">
        <v>235.29</v>
      </c>
      <c r="H822" s="3">
        <v>177.31</v>
      </c>
      <c r="I822" s="3">
        <v>207.12</v>
      </c>
      <c r="J822" s="3">
        <v>113.14</v>
      </c>
      <c r="K822" s="3">
        <v>209.65</v>
      </c>
      <c r="L822" s="3"/>
      <c r="N822" s="4"/>
    </row>
    <row r="823" spans="1:14" ht="17.5" thickBot="1" x14ac:dyDescent="0.45">
      <c r="A823" s="4">
        <v>43680</v>
      </c>
      <c r="B823" s="3">
        <v>166.02</v>
      </c>
      <c r="C823" s="3">
        <v>225.91</v>
      </c>
      <c r="D823" s="3">
        <v>112.67</v>
      </c>
      <c r="E823" s="3">
        <v>1.1358999999999999</v>
      </c>
      <c r="F823" s="3">
        <v>243.73</v>
      </c>
      <c r="G823" s="3">
        <v>235.29</v>
      </c>
      <c r="H823" s="3">
        <v>177.31</v>
      </c>
      <c r="I823" s="3">
        <v>207.12</v>
      </c>
      <c r="J823" s="3">
        <v>113.14</v>
      </c>
      <c r="K823" s="3">
        <v>209.65</v>
      </c>
      <c r="L823" s="3"/>
      <c r="N823" s="4"/>
    </row>
    <row r="824" spans="1:14" ht="17.5" thickBot="1" x14ac:dyDescent="0.45">
      <c r="A824" s="4">
        <v>43681</v>
      </c>
      <c r="B824" s="3">
        <v>166.02</v>
      </c>
      <c r="C824" s="3">
        <v>225.91</v>
      </c>
      <c r="D824" s="3">
        <v>112.67</v>
      </c>
      <c r="E824" s="3">
        <v>1.1358999999999999</v>
      </c>
      <c r="F824" s="3">
        <v>243.73</v>
      </c>
      <c r="G824" s="3">
        <v>235.29</v>
      </c>
      <c r="H824" s="3">
        <v>177.31</v>
      </c>
      <c r="I824" s="3">
        <v>207.12</v>
      </c>
      <c r="J824" s="3">
        <v>113.14</v>
      </c>
      <c r="K824" s="3">
        <v>209.65</v>
      </c>
      <c r="L824" s="3"/>
      <c r="N824" s="4"/>
    </row>
    <row r="825" spans="1:14" ht="17.5" thickBot="1" x14ac:dyDescent="0.45">
      <c r="A825" s="4">
        <v>43682</v>
      </c>
      <c r="B825" s="3">
        <v>161.51</v>
      </c>
      <c r="C825" s="3">
        <v>220.42</v>
      </c>
      <c r="D825" s="3">
        <v>112.85</v>
      </c>
      <c r="E825" s="3">
        <v>1.1221000000000001</v>
      </c>
      <c r="F825" s="3">
        <v>238.76</v>
      </c>
      <c r="G825" s="3">
        <v>228.42</v>
      </c>
      <c r="H825" s="3">
        <v>174.59</v>
      </c>
      <c r="I825" s="3">
        <v>200.68</v>
      </c>
      <c r="J825" s="3">
        <v>113.14</v>
      </c>
      <c r="K825" s="3">
        <v>207.69</v>
      </c>
      <c r="L825" s="3"/>
      <c r="N825" s="4"/>
    </row>
    <row r="826" spans="1:14" ht="17.5" thickBot="1" x14ac:dyDescent="0.45">
      <c r="A826" s="4">
        <v>43683</v>
      </c>
      <c r="B826" s="3">
        <v>160.78</v>
      </c>
      <c r="C826" s="3">
        <v>218.4</v>
      </c>
      <c r="D826" s="3">
        <v>112.94</v>
      </c>
      <c r="E826" s="3">
        <v>1.1255999999999999</v>
      </c>
      <c r="F826" s="3">
        <v>238.21</v>
      </c>
      <c r="G826" s="3">
        <v>230.89</v>
      </c>
      <c r="H826" s="3">
        <v>174.24</v>
      </c>
      <c r="I826" s="3">
        <v>203.55</v>
      </c>
      <c r="J826" s="3">
        <v>113.14</v>
      </c>
      <c r="K826" s="3">
        <v>207.41</v>
      </c>
      <c r="L826" s="3"/>
      <c r="N826" s="4"/>
    </row>
    <row r="827" spans="1:14" ht="17.5" thickBot="1" x14ac:dyDescent="0.45">
      <c r="A827" s="4">
        <v>43684</v>
      </c>
      <c r="B827" s="3">
        <v>160.78</v>
      </c>
      <c r="C827" s="3">
        <v>218.5</v>
      </c>
      <c r="D827" s="3">
        <v>113.21</v>
      </c>
      <c r="E827" s="3">
        <v>1.129</v>
      </c>
      <c r="F827" s="3">
        <v>238.81</v>
      </c>
      <c r="G827" s="3">
        <v>230.88</v>
      </c>
      <c r="H827" s="3">
        <v>174.75</v>
      </c>
      <c r="I827" s="3">
        <v>204.25</v>
      </c>
      <c r="J827" s="3">
        <v>113.14</v>
      </c>
      <c r="K827" s="3">
        <v>208.09</v>
      </c>
      <c r="L827" s="3"/>
      <c r="N827" s="4"/>
    </row>
    <row r="828" spans="1:14" ht="17.5" thickBot="1" x14ac:dyDescent="0.45">
      <c r="A828" s="4">
        <v>43685</v>
      </c>
      <c r="B828" s="3">
        <v>161.38</v>
      </c>
      <c r="C828" s="3">
        <v>220.69</v>
      </c>
      <c r="D828" s="3">
        <v>113.76</v>
      </c>
      <c r="E828" s="3">
        <v>1.1374</v>
      </c>
      <c r="F828" s="3">
        <v>240.93</v>
      </c>
      <c r="G828" s="3">
        <v>235.19</v>
      </c>
      <c r="H828" s="3">
        <v>175.92</v>
      </c>
      <c r="I828" s="3">
        <v>208.29</v>
      </c>
      <c r="J828" s="3">
        <v>113.14</v>
      </c>
      <c r="K828" s="3">
        <v>208.95</v>
      </c>
      <c r="L828" s="3"/>
      <c r="N828" s="4"/>
    </row>
    <row r="829" spans="1:14" ht="17.5" thickBot="1" x14ac:dyDescent="0.45">
      <c r="A829" s="4">
        <v>43686</v>
      </c>
      <c r="B829" s="3">
        <v>160.29</v>
      </c>
      <c r="C829" s="3">
        <v>221.4</v>
      </c>
      <c r="D829" s="3">
        <v>113.94</v>
      </c>
      <c r="E829" s="3">
        <v>1.1337999999999999</v>
      </c>
      <c r="F829" s="3">
        <v>239.96</v>
      </c>
      <c r="G829" s="3">
        <v>233.55</v>
      </c>
      <c r="H829" s="3">
        <v>175.38</v>
      </c>
      <c r="I829" s="3">
        <v>206.82</v>
      </c>
      <c r="J829" s="3">
        <v>113.14</v>
      </c>
      <c r="K829" s="3">
        <v>208.53</v>
      </c>
      <c r="L829" s="3"/>
      <c r="N829" s="4"/>
    </row>
    <row r="830" spans="1:14" ht="17.5" thickBot="1" x14ac:dyDescent="0.45">
      <c r="A830" s="4">
        <v>43687</v>
      </c>
      <c r="B830" s="3">
        <v>160.29</v>
      </c>
      <c r="C830" s="3">
        <v>221.4</v>
      </c>
      <c r="D830" s="3">
        <v>113.94</v>
      </c>
      <c r="E830" s="3">
        <v>1.1337999999999999</v>
      </c>
      <c r="F830" s="3">
        <v>239.96</v>
      </c>
      <c r="G830" s="3">
        <v>233.55</v>
      </c>
      <c r="H830" s="3">
        <v>175.38</v>
      </c>
      <c r="I830" s="3">
        <v>206.82</v>
      </c>
      <c r="J830" s="3">
        <v>113.14</v>
      </c>
      <c r="K830" s="3">
        <v>208.53</v>
      </c>
      <c r="L830" s="3"/>
      <c r="N830" s="4"/>
    </row>
    <row r="831" spans="1:14" ht="17.5" thickBot="1" x14ac:dyDescent="0.45">
      <c r="A831" s="4">
        <v>43688</v>
      </c>
      <c r="B831" s="3">
        <v>160.29</v>
      </c>
      <c r="C831" s="3">
        <v>221.4</v>
      </c>
      <c r="D831" s="3">
        <v>113.94</v>
      </c>
      <c r="E831" s="3">
        <v>1.1337999999999999</v>
      </c>
      <c r="F831" s="3">
        <v>239.96</v>
      </c>
      <c r="G831" s="3">
        <v>233.55</v>
      </c>
      <c r="H831" s="3">
        <v>175.38</v>
      </c>
      <c r="I831" s="3">
        <v>206.82</v>
      </c>
      <c r="J831" s="3">
        <v>113.14</v>
      </c>
      <c r="K831" s="3">
        <v>208.53</v>
      </c>
      <c r="L831" s="3"/>
      <c r="N831" s="4"/>
    </row>
    <row r="832" spans="1:14" ht="17.5" thickBot="1" x14ac:dyDescent="0.45">
      <c r="A832" s="4">
        <v>43689</v>
      </c>
      <c r="B832" s="3">
        <v>159.55000000000001</v>
      </c>
      <c r="C832" s="3">
        <v>220.82</v>
      </c>
      <c r="D832" s="3">
        <v>113.75</v>
      </c>
      <c r="E832" s="3">
        <v>1.1304000000000001</v>
      </c>
      <c r="F832" s="3">
        <v>239.26</v>
      </c>
      <c r="G832" s="3">
        <v>230.73</v>
      </c>
      <c r="H832" s="3">
        <v>175.05</v>
      </c>
      <c r="I832" s="3">
        <v>203.57</v>
      </c>
      <c r="J832" s="3">
        <v>113.14</v>
      </c>
      <c r="K832" s="3">
        <v>208.43</v>
      </c>
      <c r="L832" s="3"/>
      <c r="N832" s="4"/>
    </row>
    <row r="833" spans="1:14" ht="17.5" thickBot="1" x14ac:dyDescent="0.45">
      <c r="A833" s="4">
        <v>43690</v>
      </c>
      <c r="B833" s="3">
        <v>156.68</v>
      </c>
      <c r="C833" s="3">
        <v>217.75</v>
      </c>
      <c r="D833" s="3">
        <v>113.75</v>
      </c>
      <c r="E833" s="3">
        <v>1.1346000000000001</v>
      </c>
      <c r="F833" s="3">
        <v>237.77</v>
      </c>
      <c r="G833" s="3">
        <v>234.19</v>
      </c>
      <c r="H833" s="3">
        <v>174.19</v>
      </c>
      <c r="I833" s="3">
        <v>206.82</v>
      </c>
      <c r="J833" s="3">
        <v>113.18</v>
      </c>
      <c r="K833" s="3">
        <v>207.5</v>
      </c>
      <c r="L833" s="3"/>
      <c r="N833" s="4"/>
    </row>
    <row r="834" spans="1:14" ht="17.5" thickBot="1" x14ac:dyDescent="0.45">
      <c r="A834" s="4">
        <v>43691</v>
      </c>
      <c r="B834" s="3">
        <v>156.52000000000001</v>
      </c>
      <c r="C834" s="3">
        <v>220.28</v>
      </c>
      <c r="D834" s="3">
        <v>113.74</v>
      </c>
      <c r="E834" s="3">
        <v>1.1234</v>
      </c>
      <c r="F834" s="3">
        <v>236.36</v>
      </c>
      <c r="G834" s="3">
        <v>227.36</v>
      </c>
      <c r="H834" s="3">
        <v>173.65</v>
      </c>
      <c r="I834" s="3">
        <v>200.16</v>
      </c>
      <c r="J834" s="3">
        <v>113.18</v>
      </c>
      <c r="K834" s="3">
        <v>207.09</v>
      </c>
      <c r="L834" s="3"/>
      <c r="N834" s="4"/>
    </row>
    <row r="835" spans="1:14" ht="17.5" thickBot="1" x14ac:dyDescent="0.45">
      <c r="A835" s="4">
        <v>43692</v>
      </c>
      <c r="B835" s="3">
        <v>157.72</v>
      </c>
      <c r="C835" s="3">
        <v>217.92</v>
      </c>
      <c r="D835" s="3">
        <v>114.01</v>
      </c>
      <c r="E835" s="3">
        <v>1.1240000000000001</v>
      </c>
      <c r="F835" s="3">
        <v>236.21</v>
      </c>
      <c r="G835" s="3">
        <v>227.15</v>
      </c>
      <c r="H835" s="3">
        <v>173.57</v>
      </c>
      <c r="I835" s="3">
        <v>200.58</v>
      </c>
      <c r="J835" s="3">
        <v>113.18</v>
      </c>
      <c r="K835" s="3">
        <v>207.06</v>
      </c>
      <c r="L835" s="3"/>
      <c r="N835" s="4"/>
    </row>
    <row r="836" spans="1:14" ht="17.5" thickBot="1" x14ac:dyDescent="0.45">
      <c r="A836" s="4">
        <v>43693</v>
      </c>
      <c r="B836" s="3">
        <v>159.37</v>
      </c>
      <c r="C836" s="3">
        <v>218.39</v>
      </c>
      <c r="D836" s="3">
        <v>114.29</v>
      </c>
      <c r="E836" s="3">
        <v>1.131</v>
      </c>
      <c r="F836" s="3">
        <v>238.08</v>
      </c>
      <c r="G836" s="3">
        <v>230.63</v>
      </c>
      <c r="H836" s="3">
        <v>174.49</v>
      </c>
      <c r="I836" s="3">
        <v>203.15</v>
      </c>
      <c r="J836" s="3">
        <v>113.19</v>
      </c>
      <c r="K836" s="3">
        <v>207.95</v>
      </c>
      <c r="L836" s="3"/>
      <c r="N836" s="4"/>
    </row>
    <row r="837" spans="1:14" ht="17.5" thickBot="1" x14ac:dyDescent="0.45">
      <c r="A837" s="4">
        <v>43694</v>
      </c>
      <c r="B837" s="3">
        <v>159.37</v>
      </c>
      <c r="C837" s="3">
        <v>218.39</v>
      </c>
      <c r="D837" s="3">
        <v>114.29</v>
      </c>
      <c r="E837" s="3">
        <v>1.131</v>
      </c>
      <c r="F837" s="3">
        <v>238.08</v>
      </c>
      <c r="G837" s="3">
        <v>230.63</v>
      </c>
      <c r="H837" s="3">
        <v>174.49</v>
      </c>
      <c r="I837" s="3">
        <v>203.15</v>
      </c>
      <c r="J837" s="3">
        <v>113.19</v>
      </c>
      <c r="K837" s="3">
        <v>207.95</v>
      </c>
      <c r="L837" s="3"/>
      <c r="N837" s="4"/>
    </row>
    <row r="838" spans="1:14" ht="17.5" thickBot="1" x14ac:dyDescent="0.45">
      <c r="A838" s="4">
        <v>43695</v>
      </c>
      <c r="B838" s="3">
        <v>159.37</v>
      </c>
      <c r="C838" s="3">
        <v>218.39</v>
      </c>
      <c r="D838" s="3">
        <v>114.29</v>
      </c>
      <c r="E838" s="3">
        <v>1.131</v>
      </c>
      <c r="F838" s="3">
        <v>238.08</v>
      </c>
      <c r="G838" s="3">
        <v>230.63</v>
      </c>
      <c r="H838" s="3">
        <v>174.49</v>
      </c>
      <c r="I838" s="3">
        <v>203.15</v>
      </c>
      <c r="J838" s="3">
        <v>113.19</v>
      </c>
      <c r="K838" s="3">
        <v>207.95</v>
      </c>
      <c r="L838" s="3"/>
      <c r="N838" s="4"/>
    </row>
    <row r="839" spans="1:14" ht="17.5" thickBot="1" x14ac:dyDescent="0.45">
      <c r="A839" s="4">
        <v>43696</v>
      </c>
      <c r="B839" s="3">
        <v>161.94999999999999</v>
      </c>
      <c r="C839" s="3">
        <v>219.49</v>
      </c>
      <c r="D839" s="3">
        <v>114.28</v>
      </c>
      <c r="E839" s="3">
        <v>1.1363000000000001</v>
      </c>
      <c r="F839" s="3">
        <v>240.69</v>
      </c>
      <c r="G839" s="3">
        <v>233.26</v>
      </c>
      <c r="H839" s="3">
        <v>175.74</v>
      </c>
      <c r="I839" s="3">
        <v>204.57</v>
      </c>
      <c r="J839" s="3">
        <v>113.19</v>
      </c>
      <c r="K839" s="3">
        <v>209.09</v>
      </c>
      <c r="L839" s="3"/>
      <c r="N839" s="4"/>
    </row>
    <row r="840" spans="1:14" ht="17.5" thickBot="1" x14ac:dyDescent="0.45">
      <c r="A840" s="4">
        <v>43697</v>
      </c>
      <c r="B840" s="3">
        <v>162.31</v>
      </c>
      <c r="C840" s="3">
        <v>220.53</v>
      </c>
      <c r="D840" s="3">
        <v>114.19</v>
      </c>
      <c r="E840" s="3">
        <v>1.1337999999999999</v>
      </c>
      <c r="F840" s="3">
        <v>240.36</v>
      </c>
      <c r="G840" s="3">
        <v>231.17</v>
      </c>
      <c r="H840" s="3">
        <v>175.66</v>
      </c>
      <c r="I840" s="3">
        <v>203.48</v>
      </c>
      <c r="J840" s="3">
        <v>113.19</v>
      </c>
      <c r="K840" s="3">
        <v>209.08</v>
      </c>
      <c r="L840" s="3"/>
      <c r="N840" s="4"/>
    </row>
    <row r="841" spans="1:14" ht="17.5" thickBot="1" x14ac:dyDescent="0.45">
      <c r="A841" s="4">
        <v>43698</v>
      </c>
      <c r="B841" s="3">
        <v>162.41999999999999</v>
      </c>
      <c r="C841" s="3">
        <v>219.33</v>
      </c>
      <c r="D841" s="3">
        <v>114.09</v>
      </c>
      <c r="E841" s="3">
        <v>1.1385000000000001</v>
      </c>
      <c r="F841" s="3">
        <v>241.07</v>
      </c>
      <c r="G841" s="3">
        <v>233.1</v>
      </c>
      <c r="H841" s="3">
        <v>175.97</v>
      </c>
      <c r="I841" s="3">
        <v>205.57</v>
      </c>
      <c r="J841" s="3">
        <v>113.19</v>
      </c>
      <c r="K841" s="3">
        <v>209.37</v>
      </c>
      <c r="L841" s="3"/>
      <c r="N841" s="4"/>
    </row>
    <row r="842" spans="1:14" ht="17.5" thickBot="1" x14ac:dyDescent="0.45">
      <c r="A842" s="4">
        <v>43699</v>
      </c>
      <c r="B842" s="3">
        <v>161.30000000000001</v>
      </c>
      <c r="C842" s="3">
        <v>217.89</v>
      </c>
      <c r="D842" s="3">
        <v>113.82</v>
      </c>
      <c r="E842" s="3">
        <v>1.1355</v>
      </c>
      <c r="F842" s="3">
        <v>239.99</v>
      </c>
      <c r="G842" s="3">
        <v>232.94</v>
      </c>
      <c r="H842" s="3">
        <v>175.38</v>
      </c>
      <c r="I842" s="3">
        <v>204.79</v>
      </c>
      <c r="J842" s="3">
        <v>113.19</v>
      </c>
      <c r="K842" s="3">
        <v>208.68</v>
      </c>
      <c r="L842" s="3"/>
      <c r="N842" s="4"/>
    </row>
    <row r="843" spans="1:14" ht="17.5" thickBot="1" x14ac:dyDescent="0.45">
      <c r="A843" s="4">
        <v>43700</v>
      </c>
      <c r="B843" s="3">
        <v>161.93</v>
      </c>
      <c r="C843" s="3">
        <v>218.52</v>
      </c>
      <c r="D843" s="3">
        <v>113.72</v>
      </c>
      <c r="E843" s="3">
        <v>1.1265000000000001</v>
      </c>
      <c r="F843" s="3">
        <v>239.14</v>
      </c>
      <c r="G843" s="3">
        <v>227.06</v>
      </c>
      <c r="H843" s="3">
        <v>175.09</v>
      </c>
      <c r="I843" s="3">
        <v>199.42</v>
      </c>
      <c r="J843" s="3">
        <v>113.19</v>
      </c>
      <c r="K843" s="3">
        <v>208.58</v>
      </c>
      <c r="L843" s="3"/>
      <c r="N843" s="4"/>
    </row>
    <row r="844" spans="1:14" ht="17.5" thickBot="1" x14ac:dyDescent="0.45">
      <c r="A844" s="4">
        <v>43701</v>
      </c>
      <c r="B844" s="3">
        <v>161.93</v>
      </c>
      <c r="C844" s="3">
        <v>218.52</v>
      </c>
      <c r="D844" s="3">
        <v>113.72</v>
      </c>
      <c r="E844" s="3">
        <v>1.1265000000000001</v>
      </c>
      <c r="F844" s="3">
        <v>239.14</v>
      </c>
      <c r="G844" s="3">
        <v>227.06</v>
      </c>
      <c r="H844" s="3">
        <v>175.09</v>
      </c>
      <c r="I844" s="3">
        <v>199.42</v>
      </c>
      <c r="J844" s="3">
        <v>113.19</v>
      </c>
      <c r="K844" s="3">
        <v>208.58</v>
      </c>
      <c r="L844" s="3"/>
      <c r="N844" s="4"/>
    </row>
    <row r="845" spans="1:14" ht="17.5" thickBot="1" x14ac:dyDescent="0.45">
      <c r="A845" s="4">
        <v>43702</v>
      </c>
      <c r="B845" s="3">
        <v>161.93</v>
      </c>
      <c r="C845" s="3">
        <v>218.52</v>
      </c>
      <c r="D845" s="3">
        <v>113.72</v>
      </c>
      <c r="E845" s="3">
        <v>1.1265000000000001</v>
      </c>
      <c r="F845" s="3">
        <v>239.14</v>
      </c>
      <c r="G845" s="3">
        <v>227.06</v>
      </c>
      <c r="H845" s="3">
        <v>175.09</v>
      </c>
      <c r="I845" s="3">
        <v>199.42</v>
      </c>
      <c r="J845" s="3">
        <v>113.19</v>
      </c>
      <c r="K845" s="3">
        <v>208.58</v>
      </c>
      <c r="L845" s="3"/>
      <c r="N845" s="4"/>
    </row>
    <row r="846" spans="1:14" ht="17.5" thickBot="1" x14ac:dyDescent="0.45">
      <c r="A846" s="4">
        <v>43703</v>
      </c>
      <c r="B846" s="3">
        <v>159.22999999999999</v>
      </c>
      <c r="C846" s="3">
        <v>215.75</v>
      </c>
      <c r="D846" s="3">
        <v>114.08</v>
      </c>
      <c r="E846" s="3">
        <v>1.1289</v>
      </c>
      <c r="F846" s="3">
        <v>237.74</v>
      </c>
      <c r="G846" s="3">
        <v>229.61</v>
      </c>
      <c r="H846" s="3">
        <v>174.35</v>
      </c>
      <c r="I846" s="3">
        <v>200.86</v>
      </c>
      <c r="J846" s="3">
        <v>113.27</v>
      </c>
      <c r="K846" s="3">
        <v>207.85</v>
      </c>
      <c r="L846" s="3"/>
      <c r="N846" s="4"/>
    </row>
    <row r="847" spans="1:14" ht="17.5" thickBot="1" x14ac:dyDescent="0.45">
      <c r="A847" s="4">
        <v>43704</v>
      </c>
      <c r="B847" s="3">
        <v>158.96</v>
      </c>
      <c r="C847" s="3">
        <v>217.49</v>
      </c>
      <c r="D847" s="3">
        <v>114.17</v>
      </c>
      <c r="E847" s="3">
        <v>1.1308</v>
      </c>
      <c r="F847" s="3">
        <v>238.34</v>
      </c>
      <c r="G847" s="3">
        <v>228.54</v>
      </c>
      <c r="H847" s="3">
        <v>174.69</v>
      </c>
      <c r="I847" s="3">
        <v>200.45</v>
      </c>
      <c r="J847" s="3">
        <v>113.27</v>
      </c>
      <c r="K847" s="3">
        <v>208.3</v>
      </c>
      <c r="L847" s="3"/>
      <c r="N847" s="4"/>
    </row>
    <row r="848" spans="1:14" ht="17.5" thickBot="1" x14ac:dyDescent="0.45">
      <c r="A848" s="4">
        <v>43705</v>
      </c>
      <c r="B848" s="3">
        <v>158.71</v>
      </c>
      <c r="C848" s="3">
        <v>217.58</v>
      </c>
      <c r="D848" s="3">
        <v>114.17</v>
      </c>
      <c r="E848" s="3">
        <v>1.1335</v>
      </c>
      <c r="F848" s="3">
        <v>238.39</v>
      </c>
      <c r="G848" s="3">
        <v>230.14</v>
      </c>
      <c r="H848" s="3">
        <v>174.78</v>
      </c>
      <c r="I848" s="3">
        <v>201.73</v>
      </c>
      <c r="J848" s="3">
        <v>113.27</v>
      </c>
      <c r="K848" s="3">
        <v>208.39</v>
      </c>
      <c r="L848" s="3"/>
      <c r="N848" s="4"/>
    </row>
    <row r="849" spans="1:14" ht="17.5" thickBot="1" x14ac:dyDescent="0.45">
      <c r="A849" s="4">
        <v>43706</v>
      </c>
      <c r="B849" s="3">
        <v>159.28</v>
      </c>
      <c r="C849" s="3">
        <v>217.04</v>
      </c>
      <c r="D849" s="3">
        <v>114.07</v>
      </c>
      <c r="E849" s="3">
        <v>1.1394</v>
      </c>
      <c r="F849" s="3">
        <v>239.45</v>
      </c>
      <c r="G849" s="3">
        <v>232.98</v>
      </c>
      <c r="H849" s="3">
        <v>175.22</v>
      </c>
      <c r="I849" s="3">
        <v>204.67</v>
      </c>
      <c r="J849" s="3">
        <v>113.27</v>
      </c>
      <c r="K849" s="3">
        <v>208.75</v>
      </c>
      <c r="L849" s="3"/>
      <c r="N849" s="4"/>
    </row>
    <row r="850" spans="1:14" ht="17.5" thickBot="1" x14ac:dyDescent="0.45">
      <c r="A850" s="4">
        <v>43707</v>
      </c>
      <c r="B850" s="3">
        <v>159.77000000000001</v>
      </c>
      <c r="C850" s="3">
        <v>221.17</v>
      </c>
      <c r="D850" s="3">
        <v>113.8</v>
      </c>
      <c r="E850" s="3">
        <v>1.1409</v>
      </c>
      <c r="F850" s="3">
        <v>240.29</v>
      </c>
      <c r="G850" s="3">
        <v>232.91</v>
      </c>
      <c r="H850" s="3">
        <v>175.6</v>
      </c>
      <c r="I850" s="3">
        <v>205.23</v>
      </c>
      <c r="J850" s="3">
        <v>113.28</v>
      </c>
      <c r="K850" s="3">
        <v>209.03</v>
      </c>
      <c r="L850" s="3"/>
      <c r="N850" s="4"/>
    </row>
    <row r="851" spans="1:14" ht="17.5" thickBot="1" x14ac:dyDescent="0.45">
      <c r="A851" s="4">
        <v>43708</v>
      </c>
      <c r="B851" s="3">
        <v>159.77000000000001</v>
      </c>
      <c r="C851" s="3">
        <v>221.17</v>
      </c>
      <c r="D851" s="3">
        <v>113.8</v>
      </c>
      <c r="E851" s="3">
        <v>1.1409</v>
      </c>
      <c r="F851" s="3">
        <v>240.29</v>
      </c>
      <c r="G851" s="3">
        <v>232.91</v>
      </c>
      <c r="H851" s="3">
        <v>175.6</v>
      </c>
      <c r="I851" s="3">
        <v>205.23</v>
      </c>
      <c r="J851" s="3">
        <v>113.28</v>
      </c>
      <c r="K851" s="3">
        <v>209.03</v>
      </c>
      <c r="L851" s="3"/>
      <c r="N851" s="4"/>
    </row>
    <row r="852" spans="1:14" ht="17.5" thickBot="1" x14ac:dyDescent="0.45">
      <c r="A852" s="4">
        <v>43709</v>
      </c>
      <c r="B852" s="3">
        <v>159.77000000000001</v>
      </c>
      <c r="C852" s="3">
        <v>221.17</v>
      </c>
      <c r="D852" s="3">
        <v>113.8</v>
      </c>
      <c r="E852" s="3">
        <v>1.1409</v>
      </c>
      <c r="F852" s="3">
        <v>240.29</v>
      </c>
      <c r="G852" s="3">
        <v>232.91</v>
      </c>
      <c r="H852" s="3">
        <v>175.6</v>
      </c>
      <c r="I852" s="3">
        <v>205.23</v>
      </c>
      <c r="J852" s="3">
        <v>113.28</v>
      </c>
      <c r="K852" s="3">
        <v>209.03</v>
      </c>
      <c r="L852" s="3"/>
      <c r="N852" s="4"/>
    </row>
    <row r="853" spans="1:14" ht="17.5" thickBot="1" x14ac:dyDescent="0.45">
      <c r="A853" s="4">
        <v>43710</v>
      </c>
      <c r="B853" s="3">
        <v>159.30000000000001</v>
      </c>
      <c r="C853" s="3">
        <v>220.68</v>
      </c>
      <c r="D853" s="3">
        <v>113.79</v>
      </c>
      <c r="E853" s="3">
        <v>1.1413</v>
      </c>
      <c r="F853" s="3">
        <v>239.98</v>
      </c>
      <c r="G853" s="3">
        <v>233.11</v>
      </c>
      <c r="H853" s="3">
        <v>175.41</v>
      </c>
      <c r="I853" s="3">
        <v>205.2</v>
      </c>
      <c r="J853" s="3">
        <v>113.28</v>
      </c>
      <c r="K853" s="3">
        <v>208.77</v>
      </c>
      <c r="L853" s="3"/>
      <c r="N853" s="4"/>
    </row>
    <row r="854" spans="1:14" ht="17.5" thickBot="1" x14ac:dyDescent="0.45">
      <c r="A854" s="4">
        <v>43711</v>
      </c>
      <c r="B854" s="3">
        <v>158.63</v>
      </c>
      <c r="C854" s="3">
        <v>218.53</v>
      </c>
      <c r="D854" s="3">
        <v>113.79</v>
      </c>
      <c r="E854" s="3">
        <v>1.1385000000000001</v>
      </c>
      <c r="F854" s="3">
        <v>239.2</v>
      </c>
      <c r="G854" s="3">
        <v>231.36</v>
      </c>
      <c r="H854" s="3">
        <v>175.04</v>
      </c>
      <c r="I854" s="3">
        <v>203.33</v>
      </c>
      <c r="J854" s="3">
        <v>113.28</v>
      </c>
      <c r="K854" s="3">
        <v>208.48</v>
      </c>
      <c r="L854" s="3"/>
      <c r="N854" s="4"/>
    </row>
    <row r="855" spans="1:14" ht="17.5" thickBot="1" x14ac:dyDescent="0.45">
      <c r="A855" s="4">
        <v>43712</v>
      </c>
      <c r="B855" s="3">
        <v>164.19</v>
      </c>
      <c r="C855" s="3">
        <v>220.29</v>
      </c>
      <c r="D855" s="3">
        <v>114.15</v>
      </c>
      <c r="E855" s="3">
        <v>1.1457999999999999</v>
      </c>
      <c r="F855" s="3">
        <v>242.81</v>
      </c>
      <c r="G855" s="3">
        <v>233.86</v>
      </c>
      <c r="H855" s="3">
        <v>176.88</v>
      </c>
      <c r="I855" s="3">
        <v>206.25</v>
      </c>
      <c r="J855" s="3">
        <v>113.28</v>
      </c>
      <c r="K855" s="3">
        <v>210.38</v>
      </c>
      <c r="L855" s="3"/>
      <c r="N855" s="4"/>
    </row>
    <row r="856" spans="1:14" ht="17.5" thickBot="1" x14ac:dyDescent="0.45">
      <c r="A856" s="4">
        <v>43713</v>
      </c>
      <c r="B856" s="3">
        <v>165.07</v>
      </c>
      <c r="C856" s="3">
        <v>223.47</v>
      </c>
      <c r="D856" s="3">
        <v>114.24</v>
      </c>
      <c r="E856" s="3">
        <v>1.1508</v>
      </c>
      <c r="F856" s="3">
        <v>244.45</v>
      </c>
      <c r="G856" s="3">
        <v>237.21</v>
      </c>
      <c r="H856" s="3">
        <v>177.59</v>
      </c>
      <c r="I856" s="3">
        <v>208.96</v>
      </c>
      <c r="J856" s="3">
        <v>113.28</v>
      </c>
      <c r="K856" s="3">
        <v>210.83</v>
      </c>
      <c r="L856" s="3"/>
      <c r="N856" s="4"/>
    </row>
    <row r="857" spans="1:14" ht="17.5" thickBot="1" x14ac:dyDescent="0.45">
      <c r="A857" s="4">
        <v>43714</v>
      </c>
      <c r="B857" s="3">
        <v>165.37</v>
      </c>
      <c r="C857" s="3">
        <v>225.27</v>
      </c>
      <c r="D857" s="3">
        <v>114.06</v>
      </c>
      <c r="E857" s="3">
        <v>1.1536</v>
      </c>
      <c r="F857" s="3">
        <v>245.41</v>
      </c>
      <c r="G857" s="3">
        <v>237.29</v>
      </c>
      <c r="H857" s="3">
        <v>178.11</v>
      </c>
      <c r="I857" s="3">
        <v>209.67</v>
      </c>
      <c r="J857" s="3">
        <v>113.28</v>
      </c>
      <c r="K857" s="3">
        <v>211.41</v>
      </c>
      <c r="L857" s="3"/>
      <c r="N857" s="4"/>
    </row>
    <row r="858" spans="1:14" ht="17.5" thickBot="1" x14ac:dyDescent="0.45">
      <c r="A858" s="4">
        <v>43715</v>
      </c>
      <c r="B858" s="3">
        <v>165.37</v>
      </c>
      <c r="C858" s="3">
        <v>225.27</v>
      </c>
      <c r="D858" s="3">
        <v>114.06</v>
      </c>
      <c r="E858" s="3">
        <v>1.1536</v>
      </c>
      <c r="F858" s="3">
        <v>245.41</v>
      </c>
      <c r="G858" s="3">
        <v>237.29</v>
      </c>
      <c r="H858" s="3">
        <v>178.11</v>
      </c>
      <c r="I858" s="3">
        <v>209.67</v>
      </c>
      <c r="J858" s="3">
        <v>113.28</v>
      </c>
      <c r="K858" s="3">
        <v>211.41</v>
      </c>
      <c r="L858" s="3"/>
      <c r="N858" s="4"/>
    </row>
    <row r="859" spans="1:14" ht="17.5" thickBot="1" x14ac:dyDescent="0.45">
      <c r="A859" s="4">
        <v>43716</v>
      </c>
      <c r="B859" s="3">
        <v>165.37</v>
      </c>
      <c r="C859" s="3">
        <v>225.27</v>
      </c>
      <c r="D859" s="3">
        <v>114.06</v>
      </c>
      <c r="E859" s="3">
        <v>1.1536</v>
      </c>
      <c r="F859" s="3">
        <v>245.41</v>
      </c>
      <c r="G859" s="3">
        <v>237.29</v>
      </c>
      <c r="H859" s="3">
        <v>178.11</v>
      </c>
      <c r="I859" s="3">
        <v>209.67</v>
      </c>
      <c r="J859" s="3">
        <v>113.28</v>
      </c>
      <c r="K859" s="3">
        <v>211.41</v>
      </c>
      <c r="L859" s="3"/>
      <c r="N859" s="4"/>
    </row>
    <row r="860" spans="1:14" ht="17.5" thickBot="1" x14ac:dyDescent="0.45">
      <c r="A860" s="4">
        <v>43717</v>
      </c>
      <c r="B860" s="3">
        <v>165.87</v>
      </c>
      <c r="C860" s="3">
        <v>226.34</v>
      </c>
      <c r="D860" s="3">
        <v>114.05</v>
      </c>
      <c r="E860" s="3">
        <v>1.1520999999999999</v>
      </c>
      <c r="F860" s="3">
        <v>245.44</v>
      </c>
      <c r="G860" s="3">
        <v>237.38</v>
      </c>
      <c r="H860" s="3">
        <v>178.06</v>
      </c>
      <c r="I860" s="3">
        <v>209.96</v>
      </c>
      <c r="J860" s="3">
        <v>113.28</v>
      </c>
      <c r="K860" s="3">
        <v>211.18</v>
      </c>
      <c r="L860" s="3"/>
      <c r="N860" s="4"/>
    </row>
    <row r="861" spans="1:14" ht="17.5" thickBot="1" x14ac:dyDescent="0.45">
      <c r="A861" s="4">
        <v>43718</v>
      </c>
      <c r="B861" s="3">
        <v>165.77</v>
      </c>
      <c r="C861" s="3">
        <v>225.69</v>
      </c>
      <c r="D861" s="3">
        <v>113.87</v>
      </c>
      <c r="E861" s="3">
        <v>1.1506000000000001</v>
      </c>
      <c r="F861" s="3">
        <v>245.08</v>
      </c>
      <c r="G861" s="3">
        <v>238.28</v>
      </c>
      <c r="H861" s="3">
        <v>177.75</v>
      </c>
      <c r="I861" s="3">
        <v>209.9</v>
      </c>
      <c r="J861" s="3">
        <v>113.28</v>
      </c>
      <c r="K861" s="3">
        <v>210.68</v>
      </c>
      <c r="L861" s="3"/>
      <c r="N861" s="4"/>
    </row>
    <row r="862" spans="1:14" ht="17.5" thickBot="1" x14ac:dyDescent="0.45">
      <c r="A862" s="4">
        <v>43719</v>
      </c>
      <c r="B862" s="3">
        <v>168.16</v>
      </c>
      <c r="C862" s="3">
        <v>227.32</v>
      </c>
      <c r="D862" s="3">
        <v>113.59</v>
      </c>
      <c r="E862" s="3">
        <v>1.1556999999999999</v>
      </c>
      <c r="F862" s="3">
        <v>246.85</v>
      </c>
      <c r="G862" s="3">
        <v>240.27</v>
      </c>
      <c r="H862" s="3">
        <v>178.58</v>
      </c>
      <c r="I862" s="3">
        <v>211.37</v>
      </c>
      <c r="J862" s="3">
        <v>113.28</v>
      </c>
      <c r="K862" s="3">
        <v>211.38</v>
      </c>
      <c r="L862" s="3"/>
      <c r="N862" s="4"/>
    </row>
    <row r="863" spans="1:14" ht="17.5" thickBot="1" x14ac:dyDescent="0.45">
      <c r="A863" s="4">
        <v>43720</v>
      </c>
      <c r="B863" s="3">
        <v>168.37</v>
      </c>
      <c r="C863" s="3">
        <v>227.77</v>
      </c>
      <c r="D863" s="3">
        <v>113.68</v>
      </c>
      <c r="E863" s="3">
        <v>1.1560999999999999</v>
      </c>
      <c r="F863" s="3">
        <v>247.28</v>
      </c>
      <c r="G863" s="3">
        <v>240.06</v>
      </c>
      <c r="H863" s="3">
        <v>178.73</v>
      </c>
      <c r="I863" s="3">
        <v>212.07</v>
      </c>
      <c r="J863" s="3">
        <v>113.28</v>
      </c>
      <c r="K863" s="3">
        <v>211.49</v>
      </c>
      <c r="L863" s="3"/>
      <c r="N863" s="4"/>
    </row>
    <row r="864" spans="1:14" ht="17.5" thickBot="1" x14ac:dyDescent="0.45">
      <c r="A864" s="4">
        <v>43721</v>
      </c>
      <c r="B864" s="3">
        <v>169.84</v>
      </c>
      <c r="C864" s="3">
        <v>228.51</v>
      </c>
      <c r="D864" s="3">
        <v>113.59</v>
      </c>
      <c r="E864" s="3">
        <v>1.1554</v>
      </c>
      <c r="F864" s="3">
        <v>248.34</v>
      </c>
      <c r="G864" s="3">
        <v>239.98</v>
      </c>
      <c r="H864" s="3">
        <v>179.15</v>
      </c>
      <c r="I864" s="3">
        <v>211.53</v>
      </c>
      <c r="J864" s="3">
        <v>113.28</v>
      </c>
      <c r="K864" s="3">
        <v>211.74</v>
      </c>
      <c r="L864" s="3"/>
      <c r="N864" s="4"/>
    </row>
    <row r="865" spans="1:14" ht="17.5" thickBot="1" x14ac:dyDescent="0.45">
      <c r="A865" s="4">
        <v>43722</v>
      </c>
      <c r="B865" s="3">
        <v>169.84</v>
      </c>
      <c r="C865" s="3">
        <v>228.51</v>
      </c>
      <c r="D865" s="3">
        <v>113.59</v>
      </c>
      <c r="E865" s="3">
        <v>1.1554</v>
      </c>
      <c r="F865" s="3">
        <v>248.34</v>
      </c>
      <c r="G865" s="3">
        <v>239.98</v>
      </c>
      <c r="H865" s="3">
        <v>179.15</v>
      </c>
      <c r="I865" s="3">
        <v>211.53</v>
      </c>
      <c r="J865" s="3">
        <v>113.28</v>
      </c>
      <c r="K865" s="3">
        <v>211.74</v>
      </c>
      <c r="L865" s="3"/>
      <c r="N865" s="4"/>
    </row>
    <row r="866" spans="1:14" ht="17.5" thickBot="1" x14ac:dyDescent="0.45">
      <c r="A866" s="4">
        <v>43723</v>
      </c>
      <c r="B866" s="3">
        <v>169.84</v>
      </c>
      <c r="C866" s="3">
        <v>228.51</v>
      </c>
      <c r="D866" s="3">
        <v>113.59</v>
      </c>
      <c r="E866" s="3">
        <v>1.1554</v>
      </c>
      <c r="F866" s="3">
        <v>248.34</v>
      </c>
      <c r="G866" s="3">
        <v>239.98</v>
      </c>
      <c r="H866" s="3">
        <v>179.15</v>
      </c>
      <c r="I866" s="3">
        <v>211.53</v>
      </c>
      <c r="J866" s="3">
        <v>113.28</v>
      </c>
      <c r="K866" s="3">
        <v>211.74</v>
      </c>
      <c r="L866" s="3"/>
      <c r="N866" s="4"/>
    </row>
    <row r="867" spans="1:14" ht="17.5" thickBot="1" x14ac:dyDescent="0.45">
      <c r="A867" s="4">
        <v>43724</v>
      </c>
      <c r="B867" s="3">
        <v>168.42</v>
      </c>
      <c r="C867" s="3">
        <v>228.36</v>
      </c>
      <c r="D867" s="3">
        <v>113.22</v>
      </c>
      <c r="E867" s="3">
        <v>1.1533</v>
      </c>
      <c r="F867" s="3">
        <v>246.95</v>
      </c>
      <c r="G867" s="3">
        <v>239.44</v>
      </c>
      <c r="H867" s="3">
        <v>178.47</v>
      </c>
      <c r="I867" s="3">
        <v>210.92</v>
      </c>
      <c r="J867" s="3">
        <v>113.33</v>
      </c>
      <c r="K867" s="3">
        <v>211.06</v>
      </c>
      <c r="L867" s="3"/>
      <c r="N867" s="4"/>
    </row>
    <row r="868" spans="1:14" ht="17.5" thickBot="1" x14ac:dyDescent="0.45">
      <c r="A868" s="4">
        <v>43725</v>
      </c>
      <c r="B868" s="3">
        <v>166.63</v>
      </c>
      <c r="C868" s="3">
        <v>226.95</v>
      </c>
      <c r="D868" s="3">
        <v>113.21</v>
      </c>
      <c r="E868" s="3">
        <v>1.1545000000000001</v>
      </c>
      <c r="F868" s="3">
        <v>246.46</v>
      </c>
      <c r="G868" s="3">
        <v>239.84</v>
      </c>
      <c r="H868" s="3">
        <v>178.27</v>
      </c>
      <c r="I868" s="3">
        <v>211.96</v>
      </c>
      <c r="J868" s="3">
        <v>113.33</v>
      </c>
      <c r="K868" s="3">
        <v>210.93</v>
      </c>
      <c r="L868" s="3"/>
      <c r="N868" s="4"/>
    </row>
    <row r="869" spans="1:14" ht="17.5" thickBot="1" x14ac:dyDescent="0.45">
      <c r="A869" s="4">
        <v>43726</v>
      </c>
      <c r="B869" s="3">
        <v>166.57</v>
      </c>
      <c r="C869" s="3">
        <v>227.59</v>
      </c>
      <c r="D869" s="3">
        <v>113.39</v>
      </c>
      <c r="E869" s="3">
        <v>1.1565000000000001</v>
      </c>
      <c r="F869" s="3">
        <v>246.79</v>
      </c>
      <c r="G869" s="3">
        <v>240.15</v>
      </c>
      <c r="H869" s="3">
        <v>178.53</v>
      </c>
      <c r="I869" s="3">
        <v>211.74</v>
      </c>
      <c r="J869" s="3">
        <v>113.33</v>
      </c>
      <c r="K869" s="3">
        <v>211.29</v>
      </c>
      <c r="L869" s="3"/>
      <c r="N869" s="4"/>
    </row>
    <row r="870" spans="1:14" ht="17.5" thickBot="1" x14ac:dyDescent="0.45">
      <c r="A870" s="4">
        <v>43727</v>
      </c>
      <c r="B870" s="3">
        <v>164.88</v>
      </c>
      <c r="C870" s="3">
        <v>227.03</v>
      </c>
      <c r="D870" s="3">
        <v>113.39</v>
      </c>
      <c r="E870" s="3">
        <v>1.1577</v>
      </c>
      <c r="F870" s="3">
        <v>246.56</v>
      </c>
      <c r="G870" s="3">
        <v>240.14</v>
      </c>
      <c r="H870" s="3">
        <v>178.41</v>
      </c>
      <c r="I870" s="3">
        <v>211.16</v>
      </c>
      <c r="J870" s="3">
        <v>113.33</v>
      </c>
      <c r="K870" s="3">
        <v>211.19</v>
      </c>
      <c r="L870" s="3"/>
      <c r="N870" s="4"/>
    </row>
    <row r="871" spans="1:14" ht="17.5" thickBot="1" x14ac:dyDescent="0.45">
      <c r="A871" s="4">
        <v>43728</v>
      </c>
      <c r="B871" s="3">
        <v>164.87</v>
      </c>
      <c r="C871" s="3">
        <v>229.6</v>
      </c>
      <c r="D871" s="3">
        <v>113.57</v>
      </c>
      <c r="E871" s="3">
        <v>1.1571</v>
      </c>
      <c r="F871" s="3">
        <v>246.46</v>
      </c>
      <c r="G871" s="3">
        <v>239.18</v>
      </c>
      <c r="H871" s="3">
        <v>178.41</v>
      </c>
      <c r="I871" s="3">
        <v>210.52</v>
      </c>
      <c r="J871" s="3">
        <v>113.33</v>
      </c>
      <c r="K871" s="3">
        <v>211.21</v>
      </c>
      <c r="L871" s="3"/>
      <c r="N871" s="4"/>
    </row>
    <row r="872" spans="1:14" ht="17.5" thickBot="1" x14ac:dyDescent="0.45">
      <c r="A872" s="4">
        <v>43729</v>
      </c>
      <c r="B872" s="3">
        <v>164.87</v>
      </c>
      <c r="C872" s="3">
        <v>229.6</v>
      </c>
      <c r="D872" s="3">
        <v>113.57</v>
      </c>
      <c r="E872" s="3">
        <v>1.1571</v>
      </c>
      <c r="F872" s="3">
        <v>246.46</v>
      </c>
      <c r="G872" s="3">
        <v>239.18</v>
      </c>
      <c r="H872" s="3">
        <v>178.41</v>
      </c>
      <c r="I872" s="3">
        <v>210.52</v>
      </c>
      <c r="J872" s="3">
        <v>113.33</v>
      </c>
      <c r="K872" s="3">
        <v>211.21</v>
      </c>
      <c r="L872" s="3"/>
      <c r="N872" s="4"/>
    </row>
    <row r="873" spans="1:14" ht="17.5" thickBot="1" x14ac:dyDescent="0.45">
      <c r="A873" s="4">
        <v>43730</v>
      </c>
      <c r="B873" s="3">
        <v>164.87</v>
      </c>
      <c r="C873" s="3">
        <v>229.6</v>
      </c>
      <c r="D873" s="3">
        <v>113.57</v>
      </c>
      <c r="E873" s="3">
        <v>1.1571</v>
      </c>
      <c r="F873" s="3">
        <v>246.46</v>
      </c>
      <c r="G873" s="3">
        <v>239.18</v>
      </c>
      <c r="H873" s="3">
        <v>178.41</v>
      </c>
      <c r="I873" s="3">
        <v>210.52</v>
      </c>
      <c r="J873" s="3">
        <v>113.33</v>
      </c>
      <c r="K873" s="3">
        <v>211.21</v>
      </c>
      <c r="L873" s="3"/>
      <c r="N873" s="4"/>
    </row>
    <row r="874" spans="1:14" ht="17.5" thickBot="1" x14ac:dyDescent="0.45">
      <c r="A874" s="4">
        <v>43731</v>
      </c>
      <c r="B874" s="3">
        <v>163.35</v>
      </c>
      <c r="C874" s="3">
        <v>230.59</v>
      </c>
      <c r="D874" s="3">
        <v>113.66</v>
      </c>
      <c r="E874" s="3">
        <v>1.1575</v>
      </c>
      <c r="F874" s="3">
        <v>245.51</v>
      </c>
      <c r="G874" s="3">
        <v>239.02</v>
      </c>
      <c r="H874" s="3">
        <v>178.07</v>
      </c>
      <c r="I874" s="3">
        <v>210.49</v>
      </c>
      <c r="J874" s="3">
        <v>113.33</v>
      </c>
      <c r="K874" s="3">
        <v>210.99</v>
      </c>
      <c r="L874" s="3"/>
      <c r="N874" s="4"/>
    </row>
    <row r="875" spans="1:14" ht="17.5" thickBot="1" x14ac:dyDescent="0.45">
      <c r="A875" s="4">
        <v>43732</v>
      </c>
      <c r="B875" s="3">
        <v>163.77000000000001</v>
      </c>
      <c r="C875" s="3">
        <v>231.04</v>
      </c>
      <c r="D875" s="3">
        <v>113.66</v>
      </c>
      <c r="E875" s="3">
        <v>1.1555</v>
      </c>
      <c r="F875" s="3">
        <v>245.34</v>
      </c>
      <c r="G875" s="3">
        <v>236.78</v>
      </c>
      <c r="H875" s="3">
        <v>178.06</v>
      </c>
      <c r="I875" s="3">
        <v>208.51</v>
      </c>
      <c r="J875" s="3">
        <v>113.33</v>
      </c>
      <c r="K875" s="3">
        <v>211.1</v>
      </c>
      <c r="L875" s="3"/>
      <c r="N875" s="4"/>
    </row>
    <row r="876" spans="1:14" ht="17.5" thickBot="1" x14ac:dyDescent="0.45">
      <c r="A876" s="4">
        <v>43733</v>
      </c>
      <c r="B876" s="3">
        <v>161.77000000000001</v>
      </c>
      <c r="C876" s="3">
        <v>228.39</v>
      </c>
      <c r="D876" s="3">
        <v>113.65</v>
      </c>
      <c r="E876" s="3">
        <v>1.1536</v>
      </c>
      <c r="F876" s="3">
        <v>243.77</v>
      </c>
      <c r="G876" s="3">
        <v>238.12</v>
      </c>
      <c r="H876" s="3">
        <v>177.12</v>
      </c>
      <c r="I876" s="3">
        <v>209.74</v>
      </c>
      <c r="J876" s="3">
        <v>113.33</v>
      </c>
      <c r="K876" s="3">
        <v>209.94</v>
      </c>
      <c r="L876" s="3"/>
      <c r="N876" s="4"/>
    </row>
    <row r="877" spans="1:14" ht="17.5" thickBot="1" x14ac:dyDescent="0.45">
      <c r="A877" s="4">
        <v>43734</v>
      </c>
      <c r="B877" s="3">
        <v>162.04</v>
      </c>
      <c r="C877" s="3">
        <v>229.09</v>
      </c>
      <c r="D877" s="3">
        <v>113.47</v>
      </c>
      <c r="E877" s="3">
        <v>1.1544000000000001</v>
      </c>
      <c r="F877" s="3">
        <v>244.2</v>
      </c>
      <c r="G877" s="3">
        <v>237.38</v>
      </c>
      <c r="H877" s="3">
        <v>177.38</v>
      </c>
      <c r="I877" s="3">
        <v>209.59</v>
      </c>
      <c r="J877" s="3">
        <v>113.33</v>
      </c>
      <c r="K877" s="3">
        <v>210.21</v>
      </c>
      <c r="L877" s="3"/>
      <c r="N877" s="4"/>
    </row>
    <row r="878" spans="1:14" ht="17.5" thickBot="1" x14ac:dyDescent="0.45">
      <c r="A878" s="4">
        <v>43735</v>
      </c>
      <c r="B878" s="3">
        <v>161.66999999999999</v>
      </c>
      <c r="C878" s="3">
        <v>228.79</v>
      </c>
      <c r="D878" s="3">
        <v>113.56</v>
      </c>
      <c r="E878" s="3">
        <v>1.1528</v>
      </c>
      <c r="F878" s="3">
        <v>243.85</v>
      </c>
      <c r="G878" s="3">
        <v>236.37</v>
      </c>
      <c r="H878" s="3">
        <v>177.13</v>
      </c>
      <c r="I878" s="3">
        <v>208.7</v>
      </c>
      <c r="J878" s="3">
        <v>113.33</v>
      </c>
      <c r="K878" s="3">
        <v>209.99</v>
      </c>
      <c r="L878" s="3"/>
      <c r="N878" s="4"/>
    </row>
    <row r="879" spans="1:14" ht="17.5" thickBot="1" x14ac:dyDescent="0.45">
      <c r="A879" s="4">
        <v>43736</v>
      </c>
      <c r="B879" s="3">
        <v>161.66999999999999</v>
      </c>
      <c r="C879" s="3">
        <v>228.79</v>
      </c>
      <c r="D879" s="3">
        <v>113.56</v>
      </c>
      <c r="E879" s="3">
        <v>1.1528</v>
      </c>
      <c r="F879" s="3">
        <v>243.85</v>
      </c>
      <c r="G879" s="3">
        <v>236.37</v>
      </c>
      <c r="H879" s="3">
        <v>177.13</v>
      </c>
      <c r="I879" s="3">
        <v>208.7</v>
      </c>
      <c r="J879" s="3">
        <v>113.33</v>
      </c>
      <c r="K879" s="3">
        <v>209.99</v>
      </c>
      <c r="L879" s="3"/>
      <c r="N879" s="4"/>
    </row>
    <row r="880" spans="1:14" ht="17.5" thickBot="1" x14ac:dyDescent="0.45">
      <c r="A880" s="4">
        <v>43737</v>
      </c>
      <c r="B880" s="3">
        <v>161.66999999999999</v>
      </c>
      <c r="C880" s="3">
        <v>228.79</v>
      </c>
      <c r="D880" s="3">
        <v>113.56</v>
      </c>
      <c r="E880" s="3">
        <v>1.1528</v>
      </c>
      <c r="F880" s="3">
        <v>243.85</v>
      </c>
      <c r="G880" s="3">
        <v>236.37</v>
      </c>
      <c r="H880" s="3">
        <v>177.13</v>
      </c>
      <c r="I880" s="3">
        <v>208.7</v>
      </c>
      <c r="J880" s="3">
        <v>113.33</v>
      </c>
      <c r="K880" s="3">
        <v>209.99</v>
      </c>
      <c r="L880" s="3"/>
      <c r="N880" s="4"/>
    </row>
    <row r="881" spans="1:14" ht="17.5" thickBot="1" x14ac:dyDescent="0.45">
      <c r="A881" s="4">
        <v>43738</v>
      </c>
      <c r="B881" s="3">
        <v>162.24</v>
      </c>
      <c r="C881" s="3">
        <v>228.91</v>
      </c>
      <c r="D881" s="3">
        <v>113.55</v>
      </c>
      <c r="E881" s="3">
        <v>1.1538999999999999</v>
      </c>
      <c r="F881" s="3">
        <v>244.18</v>
      </c>
      <c r="G881" s="3">
        <v>237.6</v>
      </c>
      <c r="H881" s="3">
        <v>177.32</v>
      </c>
      <c r="I881" s="3">
        <v>209.27</v>
      </c>
      <c r="J881" s="3">
        <v>113.41</v>
      </c>
      <c r="K881" s="3">
        <v>210.1</v>
      </c>
      <c r="L881" s="3"/>
      <c r="N881" s="4"/>
    </row>
    <row r="882" spans="1:14" ht="17.5" thickBot="1" x14ac:dyDescent="0.45">
      <c r="A882" s="4">
        <v>43739</v>
      </c>
      <c r="B882" s="3">
        <v>162.24</v>
      </c>
      <c r="C882" s="3">
        <v>228.91</v>
      </c>
      <c r="D882" s="3">
        <v>113.55</v>
      </c>
      <c r="E882" s="3">
        <v>1.1538999999999999</v>
      </c>
      <c r="F882" s="3">
        <v>244.18</v>
      </c>
      <c r="G882" s="3">
        <v>237.6</v>
      </c>
      <c r="H882" s="3">
        <v>177.32</v>
      </c>
      <c r="I882" s="3">
        <v>209.27</v>
      </c>
      <c r="J882" s="3">
        <v>113.41</v>
      </c>
      <c r="K882" s="3">
        <v>210.1</v>
      </c>
      <c r="L882" s="3"/>
      <c r="N882" s="4"/>
    </row>
    <row r="883" spans="1:14" ht="17.5" thickBot="1" x14ac:dyDescent="0.45">
      <c r="A883" s="4">
        <v>43740</v>
      </c>
      <c r="B883" s="3">
        <v>161.93</v>
      </c>
      <c r="C883" s="3">
        <v>226.18</v>
      </c>
      <c r="D883" s="3">
        <v>113.36</v>
      </c>
      <c r="E883" s="3">
        <v>1.1371</v>
      </c>
      <c r="F883" s="3">
        <v>241.12</v>
      </c>
      <c r="G883" s="3">
        <v>230.29</v>
      </c>
      <c r="H883" s="3">
        <v>175.74</v>
      </c>
      <c r="I883" s="3">
        <v>203.08</v>
      </c>
      <c r="J883" s="3">
        <v>113.41</v>
      </c>
      <c r="K883" s="3">
        <v>208.84</v>
      </c>
      <c r="L883" s="3"/>
      <c r="N883" s="4"/>
    </row>
    <row r="884" spans="1:14" ht="17.5" thickBot="1" x14ac:dyDescent="0.45">
      <c r="A884" s="4">
        <v>43741</v>
      </c>
      <c r="B884" s="3">
        <v>162.56</v>
      </c>
      <c r="C884" s="3">
        <v>224.78</v>
      </c>
      <c r="D884" s="3">
        <v>113.73</v>
      </c>
      <c r="E884" s="3">
        <v>1.1415999999999999</v>
      </c>
      <c r="F884" s="3">
        <v>241.56</v>
      </c>
      <c r="G884" s="3">
        <v>232.03</v>
      </c>
      <c r="H884" s="3">
        <v>176.15</v>
      </c>
      <c r="I884" s="3">
        <v>204.92</v>
      </c>
      <c r="J884" s="3">
        <v>113.41</v>
      </c>
      <c r="K884" s="3">
        <v>209.44</v>
      </c>
      <c r="L884" s="3"/>
      <c r="N884" s="4"/>
    </row>
    <row r="885" spans="1:14" ht="17.5" thickBot="1" x14ac:dyDescent="0.45">
      <c r="A885" s="4">
        <v>43742</v>
      </c>
      <c r="B885" s="3">
        <v>160.99</v>
      </c>
      <c r="C885" s="3">
        <v>225.36</v>
      </c>
      <c r="D885" s="3">
        <v>114.27</v>
      </c>
      <c r="E885" s="3">
        <v>1.1482000000000001</v>
      </c>
      <c r="F885" s="3">
        <v>242.09</v>
      </c>
      <c r="G885" s="3">
        <v>235.32</v>
      </c>
      <c r="H885" s="3">
        <v>176.49</v>
      </c>
      <c r="I885" s="3">
        <v>208.16</v>
      </c>
      <c r="J885" s="3">
        <v>113.41</v>
      </c>
      <c r="K885" s="3">
        <v>209.77</v>
      </c>
      <c r="L885" s="3"/>
      <c r="N885" s="4"/>
    </row>
    <row r="886" spans="1:14" ht="17.5" thickBot="1" x14ac:dyDescent="0.45">
      <c r="A886" s="4">
        <v>43743</v>
      </c>
      <c r="B886" s="3">
        <v>160.99</v>
      </c>
      <c r="C886" s="3">
        <v>225.36</v>
      </c>
      <c r="D886" s="3">
        <v>114.27</v>
      </c>
      <c r="E886" s="3">
        <v>1.1482000000000001</v>
      </c>
      <c r="F886" s="3">
        <v>242.09</v>
      </c>
      <c r="G886" s="3">
        <v>235.32</v>
      </c>
      <c r="H886" s="3">
        <v>176.49</v>
      </c>
      <c r="I886" s="3">
        <v>208.16</v>
      </c>
      <c r="J886" s="3">
        <v>113.41</v>
      </c>
      <c r="K886" s="3">
        <v>209.77</v>
      </c>
      <c r="L886" s="3"/>
      <c r="N886" s="4"/>
    </row>
    <row r="887" spans="1:14" ht="17.5" thickBot="1" x14ac:dyDescent="0.45">
      <c r="A887" s="4">
        <v>43744</v>
      </c>
      <c r="B887" s="3">
        <v>160.99</v>
      </c>
      <c r="C887" s="3">
        <v>225.36</v>
      </c>
      <c r="D887" s="3">
        <v>114.27</v>
      </c>
      <c r="E887" s="3">
        <v>1.1482000000000001</v>
      </c>
      <c r="F887" s="3">
        <v>242.09</v>
      </c>
      <c r="G887" s="3">
        <v>235.32</v>
      </c>
      <c r="H887" s="3">
        <v>176.49</v>
      </c>
      <c r="I887" s="3">
        <v>208.16</v>
      </c>
      <c r="J887" s="3">
        <v>113.41</v>
      </c>
      <c r="K887" s="3">
        <v>209.77</v>
      </c>
      <c r="L887" s="3"/>
      <c r="N887" s="4"/>
    </row>
    <row r="888" spans="1:14" ht="17.5" thickBot="1" x14ac:dyDescent="0.45">
      <c r="A888" s="4">
        <v>43745</v>
      </c>
      <c r="B888" s="3">
        <v>160.99</v>
      </c>
      <c r="C888" s="3">
        <v>225.36</v>
      </c>
      <c r="D888" s="3">
        <v>114.27</v>
      </c>
      <c r="E888" s="3">
        <v>1.1482000000000001</v>
      </c>
      <c r="F888" s="3">
        <v>242.09</v>
      </c>
      <c r="G888" s="3">
        <v>235.32</v>
      </c>
      <c r="H888" s="3">
        <v>176.49</v>
      </c>
      <c r="I888" s="3">
        <v>208.16</v>
      </c>
      <c r="J888" s="3">
        <v>113.41</v>
      </c>
      <c r="K888" s="3">
        <v>209.77</v>
      </c>
      <c r="L888" s="3"/>
      <c r="N888" s="4"/>
    </row>
    <row r="889" spans="1:14" ht="17.5" thickBot="1" x14ac:dyDescent="0.45">
      <c r="A889" s="4">
        <v>43746</v>
      </c>
      <c r="B889" s="3">
        <v>161.52000000000001</v>
      </c>
      <c r="C889" s="3">
        <v>227.31</v>
      </c>
      <c r="D889" s="3">
        <v>113.9</v>
      </c>
      <c r="E889" s="3">
        <v>1.1396999999999999</v>
      </c>
      <c r="F889" s="3">
        <v>241.39</v>
      </c>
      <c r="G889" s="3">
        <v>230.71</v>
      </c>
      <c r="H889" s="3">
        <v>176</v>
      </c>
      <c r="I889" s="3">
        <v>203.53</v>
      </c>
      <c r="J889" s="3">
        <v>113.41</v>
      </c>
      <c r="K889" s="3">
        <v>209.19</v>
      </c>
      <c r="L889" s="3"/>
      <c r="N889" s="4"/>
    </row>
    <row r="890" spans="1:14" ht="17.5" thickBot="1" x14ac:dyDescent="0.45">
      <c r="A890" s="4">
        <v>43747</v>
      </c>
      <c r="B890" s="3">
        <v>160.44999999999999</v>
      </c>
      <c r="C890" s="3">
        <v>226.11</v>
      </c>
      <c r="D890" s="3">
        <v>113.9</v>
      </c>
      <c r="E890" s="3">
        <v>1.1426000000000001</v>
      </c>
      <c r="F890" s="3">
        <v>241.19</v>
      </c>
      <c r="G890" s="3">
        <v>232.86</v>
      </c>
      <c r="H890" s="3">
        <v>175.82</v>
      </c>
      <c r="I890" s="3">
        <v>205.47</v>
      </c>
      <c r="J890" s="3">
        <v>113.41</v>
      </c>
      <c r="K890" s="3">
        <v>208.96</v>
      </c>
      <c r="L890" s="3"/>
      <c r="N890" s="4"/>
    </row>
    <row r="891" spans="1:14" ht="17.5" thickBot="1" x14ac:dyDescent="0.45">
      <c r="A891" s="4">
        <v>43748</v>
      </c>
      <c r="B891" s="3">
        <v>160.6</v>
      </c>
      <c r="C891" s="3">
        <v>225.96</v>
      </c>
      <c r="D891" s="3">
        <v>113.8</v>
      </c>
      <c r="E891" s="3">
        <v>1.1443000000000001</v>
      </c>
      <c r="F891" s="3">
        <v>241.91</v>
      </c>
      <c r="G891" s="3">
        <v>234.18</v>
      </c>
      <c r="H891" s="3">
        <v>176.1</v>
      </c>
      <c r="I891" s="3">
        <v>207</v>
      </c>
      <c r="J891" s="3">
        <v>113.41</v>
      </c>
      <c r="K891" s="3">
        <v>209.03</v>
      </c>
      <c r="L891" s="3"/>
      <c r="N891" s="4"/>
    </row>
    <row r="892" spans="1:14" ht="17.5" thickBot="1" x14ac:dyDescent="0.45">
      <c r="A892" s="4">
        <v>43749</v>
      </c>
      <c r="B892" s="3">
        <v>164.68</v>
      </c>
      <c r="C892" s="3">
        <v>228.22</v>
      </c>
      <c r="D892" s="3">
        <v>113.71</v>
      </c>
      <c r="E892" s="3">
        <v>1.1519999999999999</v>
      </c>
      <c r="F892" s="3">
        <v>245.31</v>
      </c>
      <c r="G892" s="3">
        <v>237.02</v>
      </c>
      <c r="H892" s="3">
        <v>177.9</v>
      </c>
      <c r="I892" s="3">
        <v>209.52</v>
      </c>
      <c r="J892" s="3">
        <v>113.41</v>
      </c>
      <c r="K892" s="3">
        <v>210.54</v>
      </c>
      <c r="L892" s="3"/>
      <c r="N892" s="4"/>
    </row>
    <row r="893" spans="1:14" ht="17.5" thickBot="1" x14ac:dyDescent="0.45">
      <c r="A893" s="4">
        <v>43750</v>
      </c>
      <c r="B893" s="3">
        <v>164.68</v>
      </c>
      <c r="C893" s="3">
        <v>228.22</v>
      </c>
      <c r="D893" s="3">
        <v>113.71</v>
      </c>
      <c r="E893" s="3">
        <v>1.1519999999999999</v>
      </c>
      <c r="F893" s="3">
        <v>245.31</v>
      </c>
      <c r="G893" s="3">
        <v>237.02</v>
      </c>
      <c r="H893" s="3">
        <v>177.9</v>
      </c>
      <c r="I893" s="3">
        <v>209.52</v>
      </c>
      <c r="J893" s="3">
        <v>113.41</v>
      </c>
      <c r="K893" s="3">
        <v>210.54</v>
      </c>
      <c r="L893" s="3"/>
      <c r="N893" s="4"/>
    </row>
    <row r="894" spans="1:14" ht="17.5" thickBot="1" x14ac:dyDescent="0.45">
      <c r="A894" s="4">
        <v>43751</v>
      </c>
      <c r="B894" s="3">
        <v>164.68</v>
      </c>
      <c r="C894" s="3">
        <v>228.22</v>
      </c>
      <c r="D894" s="3">
        <v>113.71</v>
      </c>
      <c r="E894" s="3">
        <v>1.1519999999999999</v>
      </c>
      <c r="F894" s="3">
        <v>245.31</v>
      </c>
      <c r="G894" s="3">
        <v>237.02</v>
      </c>
      <c r="H894" s="3">
        <v>177.9</v>
      </c>
      <c r="I894" s="3">
        <v>209.52</v>
      </c>
      <c r="J894" s="3">
        <v>113.41</v>
      </c>
      <c r="K894" s="3">
        <v>210.54</v>
      </c>
      <c r="L894" s="3"/>
      <c r="N894" s="4"/>
    </row>
    <row r="895" spans="1:14" ht="17.5" thickBot="1" x14ac:dyDescent="0.45">
      <c r="A895" s="4">
        <v>43752</v>
      </c>
      <c r="B895" s="3">
        <v>165.55</v>
      </c>
      <c r="C895" s="3">
        <v>231.08</v>
      </c>
      <c r="D895" s="3">
        <v>113.61</v>
      </c>
      <c r="E895" s="3">
        <v>1.1524000000000001</v>
      </c>
      <c r="F895" s="3">
        <v>245.88</v>
      </c>
      <c r="G895" s="3">
        <v>236.74</v>
      </c>
      <c r="H895" s="3">
        <v>178.31</v>
      </c>
      <c r="I895" s="3">
        <v>209.34</v>
      </c>
      <c r="J895" s="3">
        <v>113.42</v>
      </c>
      <c r="K895" s="3">
        <v>210.96</v>
      </c>
      <c r="L895" s="3"/>
      <c r="N895" s="4"/>
    </row>
    <row r="896" spans="1:14" ht="17.5" thickBot="1" x14ac:dyDescent="0.45">
      <c r="A896" s="4">
        <v>43753</v>
      </c>
      <c r="B896" s="3">
        <v>165.31</v>
      </c>
      <c r="C896" s="3">
        <v>231.28</v>
      </c>
      <c r="D896" s="3">
        <v>113.61</v>
      </c>
      <c r="E896" s="3">
        <v>1.1573</v>
      </c>
      <c r="F896" s="3">
        <v>247.17</v>
      </c>
      <c r="G896" s="3">
        <v>238.97</v>
      </c>
      <c r="H896" s="3">
        <v>178.96</v>
      </c>
      <c r="I896" s="3">
        <v>210.85</v>
      </c>
      <c r="J896" s="3">
        <v>113.42</v>
      </c>
      <c r="K896" s="3">
        <v>211.47</v>
      </c>
      <c r="L896" s="3"/>
      <c r="N896" s="4"/>
    </row>
    <row r="897" spans="1:14" ht="17.5" thickBot="1" x14ac:dyDescent="0.45">
      <c r="A897" s="4">
        <v>43754</v>
      </c>
      <c r="B897" s="3">
        <v>166.12</v>
      </c>
      <c r="C897" s="3">
        <v>232.51</v>
      </c>
      <c r="D897" s="3">
        <v>113.34</v>
      </c>
      <c r="E897" s="3">
        <v>1.1572</v>
      </c>
      <c r="F897" s="3">
        <v>247.62</v>
      </c>
      <c r="G897" s="3">
        <v>238.37</v>
      </c>
      <c r="H897" s="3">
        <v>179.25</v>
      </c>
      <c r="I897" s="3">
        <v>210.89</v>
      </c>
      <c r="J897" s="3">
        <v>113.42</v>
      </c>
      <c r="K897" s="3">
        <v>211.75</v>
      </c>
      <c r="L897" s="3"/>
      <c r="N897" s="4"/>
    </row>
    <row r="898" spans="1:14" ht="17.5" thickBot="1" x14ac:dyDescent="0.45">
      <c r="A898" s="4">
        <v>43755</v>
      </c>
      <c r="B898" s="3">
        <v>167.5</v>
      </c>
      <c r="C898" s="3">
        <v>233.29</v>
      </c>
      <c r="D898" s="3">
        <v>113.61</v>
      </c>
      <c r="E898" s="3">
        <v>1.1592</v>
      </c>
      <c r="F898" s="3">
        <v>248.46</v>
      </c>
      <c r="G898" s="3">
        <v>238.95</v>
      </c>
      <c r="H898" s="3">
        <v>179.81</v>
      </c>
      <c r="I898" s="3">
        <v>211.13</v>
      </c>
      <c r="J898" s="3">
        <v>113.42</v>
      </c>
      <c r="K898" s="3">
        <v>212.34</v>
      </c>
      <c r="L898" s="3"/>
      <c r="N898" s="4"/>
    </row>
    <row r="899" spans="1:14" ht="17.5" thickBot="1" x14ac:dyDescent="0.45">
      <c r="A899" s="4">
        <v>43756</v>
      </c>
      <c r="B899" s="3">
        <v>166.62</v>
      </c>
      <c r="C899" s="3">
        <v>233.71</v>
      </c>
      <c r="D899" s="3">
        <v>113.61</v>
      </c>
      <c r="E899" s="3">
        <v>1.1566000000000001</v>
      </c>
      <c r="F899" s="3">
        <v>247.93</v>
      </c>
      <c r="G899" s="3">
        <v>237.9</v>
      </c>
      <c r="H899" s="3">
        <v>179.51</v>
      </c>
      <c r="I899" s="3">
        <v>210.63</v>
      </c>
      <c r="J899" s="3">
        <v>113.42</v>
      </c>
      <c r="K899" s="3">
        <v>212.1</v>
      </c>
      <c r="L899" s="3"/>
      <c r="N899" s="4"/>
    </row>
    <row r="900" spans="1:14" ht="17.5" thickBot="1" x14ac:dyDescent="0.45">
      <c r="A900" s="4">
        <v>43757</v>
      </c>
      <c r="B900" s="3">
        <v>166.62</v>
      </c>
      <c r="C900" s="3">
        <v>233.71</v>
      </c>
      <c r="D900" s="3">
        <v>113.61</v>
      </c>
      <c r="E900" s="3">
        <v>1.1566000000000001</v>
      </c>
      <c r="F900" s="3">
        <v>247.93</v>
      </c>
      <c r="G900" s="3">
        <v>237.9</v>
      </c>
      <c r="H900" s="3">
        <v>179.51</v>
      </c>
      <c r="I900" s="3">
        <v>210.63</v>
      </c>
      <c r="J900" s="3">
        <v>113.42</v>
      </c>
      <c r="K900" s="3">
        <v>212.1</v>
      </c>
      <c r="L900" s="3"/>
      <c r="N900" s="4"/>
    </row>
    <row r="901" spans="1:14" ht="17.5" thickBot="1" x14ac:dyDescent="0.45">
      <c r="A901" s="4">
        <v>43758</v>
      </c>
      <c r="B901" s="3">
        <v>166.62</v>
      </c>
      <c r="C901" s="3">
        <v>233.71</v>
      </c>
      <c r="D901" s="3">
        <v>113.61</v>
      </c>
      <c r="E901" s="3">
        <v>1.1566000000000001</v>
      </c>
      <c r="F901" s="3">
        <v>247.93</v>
      </c>
      <c r="G901" s="3">
        <v>237.9</v>
      </c>
      <c r="H901" s="3">
        <v>179.51</v>
      </c>
      <c r="I901" s="3">
        <v>210.63</v>
      </c>
      <c r="J901" s="3">
        <v>113.42</v>
      </c>
      <c r="K901" s="3">
        <v>212.1</v>
      </c>
      <c r="L901" s="3"/>
      <c r="N901" s="4"/>
    </row>
    <row r="902" spans="1:14" ht="17.5" thickBot="1" x14ac:dyDescent="0.45">
      <c r="A902" s="4">
        <v>43759</v>
      </c>
      <c r="B902" s="3">
        <v>166.4</v>
      </c>
      <c r="C902" s="3">
        <v>234.54</v>
      </c>
      <c r="D902" s="3">
        <v>113.69</v>
      </c>
      <c r="E902" s="3">
        <v>1.1595</v>
      </c>
      <c r="F902" s="3">
        <v>248.69</v>
      </c>
      <c r="G902" s="3">
        <v>239.6</v>
      </c>
      <c r="H902" s="3">
        <v>179.88</v>
      </c>
      <c r="I902" s="3">
        <v>211.98</v>
      </c>
      <c r="J902" s="3">
        <v>113.42</v>
      </c>
      <c r="K902" s="3">
        <v>212.34</v>
      </c>
      <c r="L902" s="3"/>
      <c r="N902" s="4"/>
    </row>
    <row r="903" spans="1:14" ht="17.5" thickBot="1" x14ac:dyDescent="0.45">
      <c r="A903" s="4">
        <v>43760</v>
      </c>
      <c r="B903" s="3">
        <v>166.79</v>
      </c>
      <c r="C903" s="3">
        <v>236.59</v>
      </c>
      <c r="D903" s="3">
        <v>113.6</v>
      </c>
      <c r="E903" s="3">
        <v>1.1592</v>
      </c>
      <c r="F903" s="3">
        <v>248.59</v>
      </c>
      <c r="G903" s="3">
        <v>238.45</v>
      </c>
      <c r="H903" s="3">
        <v>179.88</v>
      </c>
      <c r="I903" s="3">
        <v>212.14</v>
      </c>
      <c r="J903" s="3">
        <v>113.42</v>
      </c>
      <c r="K903" s="3">
        <v>212.39</v>
      </c>
      <c r="L903" s="3"/>
      <c r="N903" s="4"/>
    </row>
    <row r="904" spans="1:14" ht="17.5" thickBot="1" x14ac:dyDescent="0.45">
      <c r="A904" s="4">
        <v>43761</v>
      </c>
      <c r="B904" s="3">
        <v>165.6</v>
      </c>
      <c r="C904" s="3">
        <v>235.71</v>
      </c>
      <c r="D904" s="3">
        <v>113.69</v>
      </c>
      <c r="E904" s="3">
        <v>1.1605000000000001</v>
      </c>
      <c r="F904" s="3">
        <v>248.15</v>
      </c>
      <c r="G904" s="3">
        <v>238.96</v>
      </c>
      <c r="H904" s="3">
        <v>179.66</v>
      </c>
      <c r="I904" s="3">
        <v>213.16</v>
      </c>
      <c r="J904" s="3">
        <v>113.42</v>
      </c>
      <c r="K904" s="3">
        <v>212.21</v>
      </c>
      <c r="L904" s="3"/>
      <c r="N904" s="4"/>
    </row>
    <row r="905" spans="1:14" ht="17.5" thickBot="1" x14ac:dyDescent="0.45">
      <c r="A905" s="4">
        <v>43762</v>
      </c>
      <c r="B905" s="3">
        <v>166.54</v>
      </c>
      <c r="C905" s="3">
        <v>236.42</v>
      </c>
      <c r="D905" s="3">
        <v>113.59</v>
      </c>
      <c r="E905" s="3">
        <v>1.1629</v>
      </c>
      <c r="F905" s="3">
        <v>249.13</v>
      </c>
      <c r="G905" s="3">
        <v>239.43</v>
      </c>
      <c r="H905" s="3">
        <v>180.22</v>
      </c>
      <c r="I905" s="3">
        <v>213.29</v>
      </c>
      <c r="J905" s="3">
        <v>113.42</v>
      </c>
      <c r="K905" s="3">
        <v>212.7</v>
      </c>
      <c r="L905" s="3"/>
      <c r="N905" s="4"/>
    </row>
    <row r="906" spans="1:14" ht="17.5" thickBot="1" x14ac:dyDescent="0.45">
      <c r="A906" s="4">
        <v>43763</v>
      </c>
      <c r="B906" s="3">
        <v>166.44</v>
      </c>
      <c r="C906" s="3">
        <v>236.64</v>
      </c>
      <c r="D906" s="3">
        <v>113.68</v>
      </c>
      <c r="E906" s="3">
        <v>1.1639999999999999</v>
      </c>
      <c r="F906" s="3">
        <v>249.24</v>
      </c>
      <c r="G906" s="3">
        <v>240.77</v>
      </c>
      <c r="H906" s="3">
        <v>180.23</v>
      </c>
      <c r="I906" s="3">
        <v>214.27</v>
      </c>
      <c r="J906" s="3">
        <v>113.47</v>
      </c>
      <c r="K906" s="3">
        <v>212.61</v>
      </c>
      <c r="L906" s="3"/>
      <c r="N906" s="4"/>
    </row>
    <row r="907" spans="1:14" ht="17.5" thickBot="1" x14ac:dyDescent="0.45">
      <c r="A907" s="4">
        <v>43764</v>
      </c>
      <c r="B907" s="3">
        <v>166.44</v>
      </c>
      <c r="C907" s="3">
        <v>236.64</v>
      </c>
      <c r="D907" s="3">
        <v>113.68</v>
      </c>
      <c r="E907" s="3">
        <v>1.1639999999999999</v>
      </c>
      <c r="F907" s="3">
        <v>249.24</v>
      </c>
      <c r="G907" s="3">
        <v>240.77</v>
      </c>
      <c r="H907" s="3">
        <v>180.23</v>
      </c>
      <c r="I907" s="3">
        <v>214.27</v>
      </c>
      <c r="J907" s="3">
        <v>113.47</v>
      </c>
      <c r="K907" s="3">
        <v>212.61</v>
      </c>
      <c r="L907" s="3"/>
      <c r="N907" s="4"/>
    </row>
    <row r="908" spans="1:14" ht="17.5" thickBot="1" x14ac:dyDescent="0.45">
      <c r="A908" s="4">
        <v>43765</v>
      </c>
      <c r="B908" s="3">
        <v>166.44</v>
      </c>
      <c r="C908" s="3">
        <v>236.64</v>
      </c>
      <c r="D908" s="3">
        <v>113.68</v>
      </c>
      <c r="E908" s="3">
        <v>1.1639999999999999</v>
      </c>
      <c r="F908" s="3">
        <v>249.24</v>
      </c>
      <c r="G908" s="3">
        <v>240.77</v>
      </c>
      <c r="H908" s="3">
        <v>180.23</v>
      </c>
      <c r="I908" s="3">
        <v>214.27</v>
      </c>
      <c r="J908" s="3">
        <v>113.47</v>
      </c>
      <c r="K908" s="3">
        <v>212.61</v>
      </c>
      <c r="L908" s="3"/>
      <c r="N908" s="4"/>
    </row>
    <row r="909" spans="1:14" ht="17.5" thickBot="1" x14ac:dyDescent="0.45">
      <c r="A909" s="4">
        <v>43766</v>
      </c>
      <c r="B909" s="3">
        <v>167.4</v>
      </c>
      <c r="C909" s="3">
        <v>237.64</v>
      </c>
      <c r="D909" s="3">
        <v>113.49</v>
      </c>
      <c r="E909" s="3">
        <v>1.1657999999999999</v>
      </c>
      <c r="F909" s="3">
        <v>250.35</v>
      </c>
      <c r="G909" s="3">
        <v>242.05</v>
      </c>
      <c r="H909" s="3">
        <v>180.79</v>
      </c>
      <c r="I909" s="3">
        <v>215.67</v>
      </c>
      <c r="J909" s="3">
        <v>113.47</v>
      </c>
      <c r="K909" s="3">
        <v>213</v>
      </c>
      <c r="L909" s="3"/>
      <c r="N909" s="4"/>
    </row>
    <row r="910" spans="1:14" ht="17.5" thickBot="1" x14ac:dyDescent="0.45">
      <c r="A910" s="4">
        <v>43767</v>
      </c>
      <c r="B910" s="3">
        <v>167.09</v>
      </c>
      <c r="C910" s="3">
        <v>239.64</v>
      </c>
      <c r="D910" s="3">
        <v>113.49</v>
      </c>
      <c r="E910" s="3">
        <v>1.1666000000000001</v>
      </c>
      <c r="F910" s="3">
        <v>250.7</v>
      </c>
      <c r="G910" s="3">
        <v>241.87</v>
      </c>
      <c r="H910" s="3">
        <v>181.11</v>
      </c>
      <c r="I910" s="3">
        <v>215.27</v>
      </c>
      <c r="J910" s="3">
        <v>113.47</v>
      </c>
      <c r="K910" s="3">
        <v>213.31</v>
      </c>
      <c r="L910" s="3"/>
      <c r="N910" s="4"/>
    </row>
    <row r="911" spans="1:14" ht="17.5" thickBot="1" x14ac:dyDescent="0.45">
      <c r="A911" s="4">
        <v>43768</v>
      </c>
      <c r="B911" s="3">
        <v>166.18</v>
      </c>
      <c r="C911" s="3">
        <v>238.76</v>
      </c>
      <c r="D911" s="3">
        <v>113.58</v>
      </c>
      <c r="E911" s="3">
        <v>1.1684000000000001</v>
      </c>
      <c r="F911" s="3">
        <v>250.55</v>
      </c>
      <c r="G911" s="3">
        <v>242.53</v>
      </c>
      <c r="H911" s="3">
        <v>181</v>
      </c>
      <c r="I911" s="3">
        <v>215.81</v>
      </c>
      <c r="J911" s="3">
        <v>113.47</v>
      </c>
      <c r="K911" s="3">
        <v>213.34</v>
      </c>
      <c r="L911" s="3"/>
      <c r="N911" s="4"/>
    </row>
    <row r="912" spans="1:14" ht="17.5" thickBot="1" x14ac:dyDescent="0.45">
      <c r="A912" s="4">
        <v>43769</v>
      </c>
      <c r="B912" s="3">
        <v>167.41</v>
      </c>
      <c r="C912" s="3">
        <v>238.66</v>
      </c>
      <c r="D912" s="3">
        <v>113.76</v>
      </c>
      <c r="E912" s="3">
        <v>1.1696</v>
      </c>
      <c r="F912" s="3">
        <v>251.3</v>
      </c>
      <c r="G912" s="3">
        <v>241.5</v>
      </c>
      <c r="H912" s="3">
        <v>181.57</v>
      </c>
      <c r="I912" s="3">
        <v>214.68</v>
      </c>
      <c r="J912" s="3">
        <v>113.54</v>
      </c>
      <c r="K912" s="3">
        <v>214.16</v>
      </c>
      <c r="L912" s="3"/>
      <c r="N912" s="4"/>
    </row>
    <row r="913" spans="1:14" ht="17.5" thickBot="1" x14ac:dyDescent="0.45">
      <c r="A913" s="4">
        <v>43770</v>
      </c>
      <c r="B913" s="3">
        <v>168.89</v>
      </c>
      <c r="C913" s="3">
        <v>239.26</v>
      </c>
      <c r="D913" s="3">
        <v>114.03</v>
      </c>
      <c r="E913" s="3">
        <v>1.1744000000000001</v>
      </c>
      <c r="F913" s="3">
        <v>252.75</v>
      </c>
      <c r="G913" s="3">
        <v>243.81</v>
      </c>
      <c r="H913" s="3">
        <v>182.52</v>
      </c>
      <c r="I913" s="3">
        <v>217.12</v>
      </c>
      <c r="J913" s="3">
        <v>113.54</v>
      </c>
      <c r="K913" s="3">
        <v>214.86</v>
      </c>
      <c r="L913" s="3"/>
      <c r="N913" s="4"/>
    </row>
    <row r="914" spans="1:14" ht="17.5" thickBot="1" x14ac:dyDescent="0.45">
      <c r="A914" s="4">
        <v>43771</v>
      </c>
      <c r="B914" s="3">
        <v>168.89</v>
      </c>
      <c r="C914" s="3">
        <v>239.26</v>
      </c>
      <c r="D914" s="3">
        <v>114.03</v>
      </c>
      <c r="E914" s="3">
        <v>1.1744000000000001</v>
      </c>
      <c r="F914" s="3">
        <v>252.75</v>
      </c>
      <c r="G914" s="3">
        <v>243.81</v>
      </c>
      <c r="H914" s="3">
        <v>182.52</v>
      </c>
      <c r="I914" s="3">
        <v>217.12</v>
      </c>
      <c r="J914" s="3">
        <v>113.54</v>
      </c>
      <c r="K914" s="3">
        <v>214.86</v>
      </c>
      <c r="L914" s="3"/>
      <c r="N914" s="4"/>
    </row>
    <row r="915" spans="1:14" ht="17.5" thickBot="1" x14ac:dyDescent="0.45">
      <c r="A915" s="4">
        <v>43772</v>
      </c>
      <c r="B915" s="3">
        <v>168.89</v>
      </c>
      <c r="C915" s="3">
        <v>239.26</v>
      </c>
      <c r="D915" s="3">
        <v>114.03</v>
      </c>
      <c r="E915" s="3">
        <v>1.1744000000000001</v>
      </c>
      <c r="F915" s="3">
        <v>252.75</v>
      </c>
      <c r="G915" s="3">
        <v>243.81</v>
      </c>
      <c r="H915" s="3">
        <v>182.52</v>
      </c>
      <c r="I915" s="3">
        <v>217.12</v>
      </c>
      <c r="J915" s="3">
        <v>113.54</v>
      </c>
      <c r="K915" s="3">
        <v>214.86</v>
      </c>
      <c r="L915" s="3"/>
      <c r="N915" s="4"/>
    </row>
    <row r="916" spans="1:14" ht="17.5" thickBot="1" x14ac:dyDescent="0.45">
      <c r="A916" s="4">
        <v>43773</v>
      </c>
      <c r="B916" s="3">
        <v>171.64</v>
      </c>
      <c r="C916" s="3">
        <v>241.7</v>
      </c>
      <c r="D916" s="3">
        <v>113.93</v>
      </c>
      <c r="E916" s="3">
        <v>1.1772</v>
      </c>
      <c r="F916" s="3">
        <v>254.68</v>
      </c>
      <c r="G916" s="3">
        <v>244.51</v>
      </c>
      <c r="H916" s="3">
        <v>183.78</v>
      </c>
      <c r="I916" s="3">
        <v>217.82</v>
      </c>
      <c r="J916" s="3">
        <v>113.54</v>
      </c>
      <c r="K916" s="3">
        <v>215.64</v>
      </c>
      <c r="L916" s="3"/>
      <c r="N916" s="4"/>
    </row>
    <row r="917" spans="1:14" ht="17.5" thickBot="1" x14ac:dyDescent="0.45">
      <c r="A917" s="4">
        <v>43774</v>
      </c>
      <c r="B917" s="3">
        <v>172.27</v>
      </c>
      <c r="C917" s="3">
        <v>243.13</v>
      </c>
      <c r="D917" s="3">
        <v>113.84</v>
      </c>
      <c r="E917" s="3">
        <v>1.1751</v>
      </c>
      <c r="F917" s="3">
        <v>255.03</v>
      </c>
      <c r="G917" s="3">
        <v>244.22</v>
      </c>
      <c r="H917" s="3">
        <v>183.96</v>
      </c>
      <c r="I917" s="3">
        <v>217.57</v>
      </c>
      <c r="J917" s="3">
        <v>113.54</v>
      </c>
      <c r="K917" s="3">
        <v>215.38</v>
      </c>
      <c r="L917" s="3"/>
      <c r="N917" s="4"/>
    </row>
    <row r="918" spans="1:14" ht="17.5" thickBot="1" x14ac:dyDescent="0.45">
      <c r="A918" s="4">
        <v>43775</v>
      </c>
      <c r="B918" s="3">
        <v>172.33</v>
      </c>
      <c r="C918" s="3">
        <v>242.72</v>
      </c>
      <c r="D918" s="3">
        <v>113.56</v>
      </c>
      <c r="E918" s="3">
        <v>1.1757</v>
      </c>
      <c r="F918" s="3">
        <v>254.99</v>
      </c>
      <c r="G918" s="3">
        <v>244.18</v>
      </c>
      <c r="H918" s="3">
        <v>183.92</v>
      </c>
      <c r="I918" s="3">
        <v>216.98</v>
      </c>
      <c r="J918" s="3">
        <v>113.54</v>
      </c>
      <c r="K918" s="3">
        <v>215.35</v>
      </c>
      <c r="L918" s="3"/>
      <c r="N918" s="4"/>
    </row>
    <row r="919" spans="1:14" ht="17.5" thickBot="1" x14ac:dyDescent="0.45">
      <c r="A919" s="4">
        <v>43776</v>
      </c>
      <c r="B919" s="3">
        <v>173.17</v>
      </c>
      <c r="C919" s="3">
        <v>242.59</v>
      </c>
      <c r="D919" s="3">
        <v>113.47</v>
      </c>
      <c r="E919" s="3">
        <v>1.1751</v>
      </c>
      <c r="F919" s="3">
        <v>255.43</v>
      </c>
      <c r="G919" s="3">
        <v>245.07</v>
      </c>
      <c r="H919" s="3">
        <v>184.13</v>
      </c>
      <c r="I919" s="3">
        <v>217.83</v>
      </c>
      <c r="J919" s="3">
        <v>113.54</v>
      </c>
      <c r="K919" s="3">
        <v>215.14</v>
      </c>
      <c r="L919" s="3"/>
      <c r="N919" s="4"/>
    </row>
    <row r="920" spans="1:14" ht="17.5" thickBot="1" x14ac:dyDescent="0.45">
      <c r="A920" s="4">
        <v>43777</v>
      </c>
      <c r="B920" s="3">
        <v>172.11</v>
      </c>
      <c r="C920" s="3">
        <v>241.3</v>
      </c>
      <c r="D920" s="3">
        <v>113.1</v>
      </c>
      <c r="E920" s="3">
        <v>1.1749000000000001</v>
      </c>
      <c r="F920" s="3">
        <v>254.94</v>
      </c>
      <c r="G920" s="3">
        <v>245.87</v>
      </c>
      <c r="H920" s="3">
        <v>183.77</v>
      </c>
      <c r="I920" s="3">
        <v>217.06</v>
      </c>
      <c r="J920" s="3">
        <v>113.54</v>
      </c>
      <c r="K920" s="3">
        <v>214.77</v>
      </c>
      <c r="L920" s="3"/>
      <c r="N920" s="4"/>
    </row>
    <row r="921" spans="1:14" ht="17.5" thickBot="1" x14ac:dyDescent="0.45">
      <c r="A921" s="4">
        <v>43778</v>
      </c>
      <c r="B921" s="3">
        <v>172.11</v>
      </c>
      <c r="C921" s="3">
        <v>241.3</v>
      </c>
      <c r="D921" s="3">
        <v>113.1</v>
      </c>
      <c r="E921" s="3">
        <v>1.1749000000000001</v>
      </c>
      <c r="F921" s="3">
        <v>254.94</v>
      </c>
      <c r="G921" s="3">
        <v>245.87</v>
      </c>
      <c r="H921" s="3">
        <v>183.77</v>
      </c>
      <c r="I921" s="3">
        <v>217.06</v>
      </c>
      <c r="J921" s="3">
        <v>113.54</v>
      </c>
      <c r="K921" s="3">
        <v>214.77</v>
      </c>
      <c r="L921" s="3"/>
      <c r="N921" s="4"/>
    </row>
    <row r="922" spans="1:14" ht="17.5" thickBot="1" x14ac:dyDescent="0.45">
      <c r="A922" s="4">
        <v>43779</v>
      </c>
      <c r="B922" s="3">
        <v>172.11</v>
      </c>
      <c r="C922" s="3">
        <v>241.3</v>
      </c>
      <c r="D922" s="3">
        <v>113.1</v>
      </c>
      <c r="E922" s="3">
        <v>1.1749000000000001</v>
      </c>
      <c r="F922" s="3">
        <v>254.94</v>
      </c>
      <c r="G922" s="3">
        <v>245.87</v>
      </c>
      <c r="H922" s="3">
        <v>183.77</v>
      </c>
      <c r="I922" s="3">
        <v>217.06</v>
      </c>
      <c r="J922" s="3">
        <v>113.54</v>
      </c>
      <c r="K922" s="3">
        <v>214.77</v>
      </c>
      <c r="L922" s="3"/>
      <c r="N922" s="4"/>
    </row>
    <row r="923" spans="1:14" ht="17.5" thickBot="1" x14ac:dyDescent="0.45">
      <c r="A923" s="4">
        <v>43780</v>
      </c>
      <c r="B923" s="3">
        <v>167.93</v>
      </c>
      <c r="C923" s="3">
        <v>239.73</v>
      </c>
      <c r="D923" s="3">
        <v>112.92</v>
      </c>
      <c r="E923" s="3">
        <v>1.1729000000000001</v>
      </c>
      <c r="F923" s="3">
        <v>252.76</v>
      </c>
      <c r="G923" s="3">
        <v>245.36</v>
      </c>
      <c r="H923" s="3">
        <v>182.33</v>
      </c>
      <c r="I923" s="3">
        <v>217.01</v>
      </c>
      <c r="J923" s="3">
        <v>113.54</v>
      </c>
      <c r="K923" s="3">
        <v>213.64</v>
      </c>
      <c r="L923" s="3"/>
      <c r="N923" s="4"/>
    </row>
    <row r="924" spans="1:14" ht="17.5" thickBot="1" x14ac:dyDescent="0.45">
      <c r="A924" s="4">
        <v>43781</v>
      </c>
      <c r="B924" s="3">
        <v>168.53</v>
      </c>
      <c r="C924" s="3">
        <v>240.88</v>
      </c>
      <c r="D924" s="3">
        <v>112.91</v>
      </c>
      <c r="E924" s="3">
        <v>1.175</v>
      </c>
      <c r="F924" s="3">
        <v>253.63</v>
      </c>
      <c r="G924" s="3">
        <v>245.69</v>
      </c>
      <c r="H924" s="3">
        <v>182.93</v>
      </c>
      <c r="I924" s="3">
        <v>216.36</v>
      </c>
      <c r="J924" s="3">
        <v>113.54</v>
      </c>
      <c r="K924" s="3">
        <v>214.09</v>
      </c>
      <c r="L924" s="3"/>
      <c r="N924" s="4"/>
    </row>
    <row r="925" spans="1:14" ht="17.5" thickBot="1" x14ac:dyDescent="0.45">
      <c r="A925" s="4">
        <v>43782</v>
      </c>
      <c r="B925" s="3">
        <v>165.63</v>
      </c>
      <c r="C925" s="3">
        <v>239.23</v>
      </c>
      <c r="D925" s="3">
        <v>112.91</v>
      </c>
      <c r="E925" s="3">
        <v>1.1746000000000001</v>
      </c>
      <c r="F925" s="3">
        <v>252.05</v>
      </c>
      <c r="G925" s="3">
        <v>245.48</v>
      </c>
      <c r="H925" s="3">
        <v>181.9</v>
      </c>
      <c r="I925" s="3">
        <v>216.05</v>
      </c>
      <c r="J925" s="3">
        <v>113.54</v>
      </c>
      <c r="K925" s="3">
        <v>213.46</v>
      </c>
      <c r="L925" s="3"/>
      <c r="N925" s="4"/>
    </row>
    <row r="926" spans="1:14" ht="17.5" thickBot="1" x14ac:dyDescent="0.45">
      <c r="A926" s="4">
        <v>43783</v>
      </c>
      <c r="B926" s="3">
        <v>164.62</v>
      </c>
      <c r="C926" s="3">
        <v>238.78</v>
      </c>
      <c r="D926" s="3">
        <v>112.82</v>
      </c>
      <c r="E926" s="3">
        <v>1.1749000000000001</v>
      </c>
      <c r="F926" s="3">
        <v>251.09</v>
      </c>
      <c r="G926" s="3">
        <v>245.85</v>
      </c>
      <c r="H926" s="3">
        <v>181.26</v>
      </c>
      <c r="I926" s="3">
        <v>216.11</v>
      </c>
      <c r="J926" s="3">
        <v>113.54</v>
      </c>
      <c r="K926" s="3">
        <v>213.1</v>
      </c>
      <c r="L926" s="3"/>
      <c r="N926" s="4"/>
    </row>
    <row r="927" spans="1:14" ht="17.5" thickBot="1" x14ac:dyDescent="0.45">
      <c r="A927" s="4">
        <v>43784</v>
      </c>
      <c r="B927" s="3">
        <v>164.35</v>
      </c>
      <c r="C927" s="3">
        <v>241.1</v>
      </c>
      <c r="D927" s="3">
        <v>113</v>
      </c>
      <c r="E927" s="3">
        <v>1.1797</v>
      </c>
      <c r="F927" s="3">
        <v>252.15</v>
      </c>
      <c r="G927" s="3">
        <v>247.6</v>
      </c>
      <c r="H927" s="3">
        <v>181.97</v>
      </c>
      <c r="I927" s="3">
        <v>218.41</v>
      </c>
      <c r="J927" s="3">
        <v>113.54</v>
      </c>
      <c r="K927" s="3">
        <v>213.66</v>
      </c>
      <c r="L927" s="3"/>
      <c r="N927" s="4"/>
    </row>
    <row r="928" spans="1:14" ht="17.5" thickBot="1" x14ac:dyDescent="0.45">
      <c r="A928" s="4">
        <v>43785</v>
      </c>
      <c r="B928" s="3">
        <v>164.35</v>
      </c>
      <c r="C928" s="3">
        <v>241.1</v>
      </c>
      <c r="D928" s="3">
        <v>113</v>
      </c>
      <c r="E928" s="3">
        <v>1.1797</v>
      </c>
      <c r="F928" s="3">
        <v>252.15</v>
      </c>
      <c r="G928" s="3">
        <v>247.6</v>
      </c>
      <c r="H928" s="3">
        <v>181.97</v>
      </c>
      <c r="I928" s="3">
        <v>218.41</v>
      </c>
      <c r="J928" s="3">
        <v>113.54</v>
      </c>
      <c r="K928" s="3">
        <v>213.66</v>
      </c>
      <c r="L928" s="3"/>
      <c r="N928" s="4"/>
    </row>
    <row r="929" spans="1:14" ht="17.5" thickBot="1" x14ac:dyDescent="0.45">
      <c r="A929" s="4">
        <v>43786</v>
      </c>
      <c r="B929" s="3">
        <v>164.35</v>
      </c>
      <c r="C929" s="3">
        <v>241.1</v>
      </c>
      <c r="D929" s="3">
        <v>113</v>
      </c>
      <c r="E929" s="3">
        <v>1.1797</v>
      </c>
      <c r="F929" s="3">
        <v>252.15</v>
      </c>
      <c r="G929" s="3">
        <v>247.6</v>
      </c>
      <c r="H929" s="3">
        <v>181.97</v>
      </c>
      <c r="I929" s="3">
        <v>218.41</v>
      </c>
      <c r="J929" s="3">
        <v>113.54</v>
      </c>
      <c r="K929" s="3">
        <v>213.66</v>
      </c>
      <c r="L929" s="3"/>
      <c r="N929" s="4"/>
    </row>
    <row r="930" spans="1:14" ht="17.5" thickBot="1" x14ac:dyDescent="0.45">
      <c r="A930" s="4">
        <v>43787</v>
      </c>
      <c r="B930" s="3">
        <v>166.21</v>
      </c>
      <c r="C930" s="3">
        <v>241.36</v>
      </c>
      <c r="D930" s="3">
        <v>113.08</v>
      </c>
      <c r="E930" s="3">
        <v>1.1814</v>
      </c>
      <c r="F930" s="3">
        <v>253.34</v>
      </c>
      <c r="G930" s="3">
        <v>247.43</v>
      </c>
      <c r="H930" s="3">
        <v>182.8</v>
      </c>
      <c r="I930" s="3">
        <v>217.77</v>
      </c>
      <c r="J930" s="3">
        <v>113.54</v>
      </c>
      <c r="K930" s="3">
        <v>214.41</v>
      </c>
      <c r="L930" s="3"/>
      <c r="N930" s="4"/>
    </row>
    <row r="931" spans="1:14" ht="17.5" thickBot="1" x14ac:dyDescent="0.45">
      <c r="A931" s="4">
        <v>43788</v>
      </c>
      <c r="B931" s="3">
        <v>168.81</v>
      </c>
      <c r="C931" s="3">
        <v>242.41</v>
      </c>
      <c r="D931" s="3">
        <v>113.26</v>
      </c>
      <c r="E931" s="3">
        <v>1.1817</v>
      </c>
      <c r="F931" s="3">
        <v>254.37</v>
      </c>
      <c r="G931" s="3">
        <v>247.59</v>
      </c>
      <c r="H931" s="3">
        <v>183.5</v>
      </c>
      <c r="I931" s="3">
        <v>217.48</v>
      </c>
      <c r="J931" s="3">
        <v>113.54</v>
      </c>
      <c r="K931" s="3">
        <v>214.99</v>
      </c>
      <c r="L931" s="3"/>
      <c r="N931" s="4"/>
    </row>
    <row r="932" spans="1:14" ht="17.5" thickBot="1" x14ac:dyDescent="0.45">
      <c r="A932" s="4">
        <v>43789</v>
      </c>
      <c r="B932" s="3">
        <v>167.56</v>
      </c>
      <c r="C932" s="3">
        <v>240.69</v>
      </c>
      <c r="D932" s="3">
        <v>113.35</v>
      </c>
      <c r="E932" s="3">
        <v>1.1796</v>
      </c>
      <c r="F932" s="3">
        <v>253.15</v>
      </c>
      <c r="G932" s="3">
        <v>246.63</v>
      </c>
      <c r="H932" s="3">
        <v>182.68</v>
      </c>
      <c r="I932" s="3">
        <v>216.67</v>
      </c>
      <c r="J932" s="3">
        <v>113.54</v>
      </c>
      <c r="K932" s="3">
        <v>214.42</v>
      </c>
      <c r="L932" s="3"/>
      <c r="N932" s="4"/>
    </row>
    <row r="933" spans="1:14" ht="17.5" thickBot="1" x14ac:dyDescent="0.45">
      <c r="A933" s="4">
        <v>43790</v>
      </c>
      <c r="B933" s="3">
        <v>164.92</v>
      </c>
      <c r="C933" s="3">
        <v>238.22</v>
      </c>
      <c r="D933" s="3">
        <v>113.35</v>
      </c>
      <c r="E933" s="3">
        <v>1.1766000000000001</v>
      </c>
      <c r="F933" s="3">
        <v>251.37</v>
      </c>
      <c r="G933" s="3">
        <v>246.12</v>
      </c>
      <c r="H933" s="3">
        <v>181.44</v>
      </c>
      <c r="I933" s="3">
        <v>216.94</v>
      </c>
      <c r="J933" s="3">
        <v>113.54</v>
      </c>
      <c r="K933" s="3">
        <v>213.34</v>
      </c>
      <c r="L933" s="3"/>
      <c r="N933" s="4"/>
    </row>
    <row r="934" spans="1:14" ht="17.5" thickBot="1" x14ac:dyDescent="0.45">
      <c r="A934" s="4">
        <v>43791</v>
      </c>
      <c r="B934" s="3">
        <v>165.8</v>
      </c>
      <c r="C934" s="3">
        <v>238.86</v>
      </c>
      <c r="D934" s="3">
        <v>113.17</v>
      </c>
      <c r="E934" s="3">
        <v>1.1786000000000001</v>
      </c>
      <c r="F934" s="3">
        <v>252.13</v>
      </c>
      <c r="G934" s="3">
        <v>246.72</v>
      </c>
      <c r="H934" s="3">
        <v>181.95</v>
      </c>
      <c r="I934" s="3">
        <v>217.75</v>
      </c>
      <c r="J934" s="3">
        <v>113.61</v>
      </c>
      <c r="K934" s="3">
        <v>213.68</v>
      </c>
      <c r="L934" s="3"/>
      <c r="N934" s="4"/>
    </row>
    <row r="935" spans="1:14" ht="17.5" thickBot="1" x14ac:dyDescent="0.45">
      <c r="A935" s="4">
        <v>43792</v>
      </c>
      <c r="B935" s="3">
        <v>165.8</v>
      </c>
      <c r="C935" s="3">
        <v>238.86</v>
      </c>
      <c r="D935" s="3">
        <v>113.17</v>
      </c>
      <c r="E935" s="3">
        <v>1.1786000000000001</v>
      </c>
      <c r="F935" s="3">
        <v>252.13</v>
      </c>
      <c r="G935" s="3">
        <v>246.72</v>
      </c>
      <c r="H935" s="3">
        <v>181.95</v>
      </c>
      <c r="I935" s="3">
        <v>217.75</v>
      </c>
      <c r="J935" s="3">
        <v>113.61</v>
      </c>
      <c r="K935" s="3">
        <v>213.68</v>
      </c>
      <c r="L935" s="3"/>
      <c r="N935" s="4"/>
    </row>
    <row r="936" spans="1:14" ht="17.5" thickBot="1" x14ac:dyDescent="0.45">
      <c r="A936" s="4">
        <v>43793</v>
      </c>
      <c r="B936" s="3">
        <v>165.8</v>
      </c>
      <c r="C936" s="3">
        <v>238.86</v>
      </c>
      <c r="D936" s="3">
        <v>113.17</v>
      </c>
      <c r="E936" s="3">
        <v>1.1786000000000001</v>
      </c>
      <c r="F936" s="3">
        <v>252.13</v>
      </c>
      <c r="G936" s="3">
        <v>246.72</v>
      </c>
      <c r="H936" s="3">
        <v>181.95</v>
      </c>
      <c r="I936" s="3">
        <v>217.75</v>
      </c>
      <c r="J936" s="3">
        <v>113.61</v>
      </c>
      <c r="K936" s="3">
        <v>213.68</v>
      </c>
      <c r="L936" s="3"/>
      <c r="N936" s="4"/>
    </row>
    <row r="937" spans="1:14" ht="17.5" thickBot="1" x14ac:dyDescent="0.45">
      <c r="A937" s="4">
        <v>43794</v>
      </c>
      <c r="B937" s="3">
        <v>168.12</v>
      </c>
      <c r="C937" s="3">
        <v>239.86</v>
      </c>
      <c r="D937" s="3">
        <v>113.16</v>
      </c>
      <c r="E937" s="3">
        <v>1.1839</v>
      </c>
      <c r="F937" s="3">
        <v>254.04</v>
      </c>
      <c r="G937" s="3">
        <v>248.53</v>
      </c>
      <c r="H937" s="3">
        <v>183.26</v>
      </c>
      <c r="I937" s="3">
        <v>218.66</v>
      </c>
      <c r="J937" s="3">
        <v>113.61</v>
      </c>
      <c r="K937" s="3">
        <v>214.69</v>
      </c>
      <c r="L937" s="3"/>
      <c r="N937" s="4"/>
    </row>
    <row r="938" spans="1:14" ht="17.5" thickBot="1" x14ac:dyDescent="0.45">
      <c r="A938" s="4">
        <v>43795</v>
      </c>
      <c r="B938" s="3">
        <v>167.9</v>
      </c>
      <c r="C938" s="3">
        <v>240.22</v>
      </c>
      <c r="D938" s="3">
        <v>113.34</v>
      </c>
      <c r="E938" s="3">
        <v>1.1857</v>
      </c>
      <c r="F938" s="3">
        <v>254.43</v>
      </c>
      <c r="G938" s="3">
        <v>249.65</v>
      </c>
      <c r="H938" s="3">
        <v>183.5</v>
      </c>
      <c r="I938" s="3">
        <v>218.28</v>
      </c>
      <c r="J938" s="3">
        <v>113.61</v>
      </c>
      <c r="K938" s="3">
        <v>215.05</v>
      </c>
      <c r="L938" s="3"/>
      <c r="N938" s="4"/>
    </row>
    <row r="939" spans="1:14" ht="17.5" thickBot="1" x14ac:dyDescent="0.45">
      <c r="A939" s="4">
        <v>43796</v>
      </c>
      <c r="B939" s="3">
        <v>168.1</v>
      </c>
      <c r="C939" s="3">
        <v>241.69</v>
      </c>
      <c r="D939" s="3">
        <v>113.5</v>
      </c>
      <c r="E939" s="3">
        <v>1.1877</v>
      </c>
      <c r="F939" s="3">
        <v>255.03</v>
      </c>
      <c r="G939" s="3">
        <v>250.55</v>
      </c>
      <c r="H939" s="3">
        <v>183.92</v>
      </c>
      <c r="I939" s="3">
        <v>219.16</v>
      </c>
      <c r="J939" s="3">
        <v>113.61</v>
      </c>
      <c r="K939" s="3">
        <v>215.27</v>
      </c>
      <c r="L939" s="3"/>
      <c r="N939" s="4"/>
    </row>
    <row r="940" spans="1:14" ht="17.5" thickBot="1" x14ac:dyDescent="0.45">
      <c r="A940" s="4">
        <v>43797</v>
      </c>
      <c r="B940" s="3">
        <v>167.31</v>
      </c>
      <c r="C940" s="3">
        <v>240.85</v>
      </c>
      <c r="D940" s="3">
        <v>113.32</v>
      </c>
      <c r="E940" s="3">
        <v>1.1868000000000001</v>
      </c>
      <c r="F940" s="3">
        <v>254.79</v>
      </c>
      <c r="G940" s="3">
        <v>250.46</v>
      </c>
      <c r="H940" s="3">
        <v>183.74</v>
      </c>
      <c r="I940" s="3">
        <v>219.15</v>
      </c>
      <c r="J940" s="3">
        <v>113.61</v>
      </c>
      <c r="K940" s="3">
        <v>215.08</v>
      </c>
      <c r="L940" s="3"/>
      <c r="N940" s="4"/>
    </row>
    <row r="941" spans="1:14" ht="17.5" thickBot="1" x14ac:dyDescent="0.45">
      <c r="A941" s="4">
        <v>43798</v>
      </c>
      <c r="B941" s="3">
        <v>163.92</v>
      </c>
      <c r="C941" s="3">
        <v>238.1</v>
      </c>
      <c r="D941" s="3">
        <v>113.41</v>
      </c>
      <c r="E941" s="3">
        <v>1.1835</v>
      </c>
      <c r="F941" s="3">
        <v>252.51</v>
      </c>
      <c r="G941" s="3">
        <v>249.57</v>
      </c>
      <c r="H941" s="3">
        <v>182.15</v>
      </c>
      <c r="I941" s="3">
        <v>218.37</v>
      </c>
      <c r="J941" s="3">
        <v>113.61</v>
      </c>
      <c r="K941" s="3">
        <v>213.91</v>
      </c>
      <c r="L941" s="3"/>
      <c r="N941" s="4"/>
    </row>
    <row r="942" spans="1:14" ht="17.5" thickBot="1" x14ac:dyDescent="0.45">
      <c r="A942" s="4">
        <v>43799</v>
      </c>
      <c r="B942" s="3">
        <v>163.92</v>
      </c>
      <c r="C942" s="3">
        <v>238.1</v>
      </c>
      <c r="D942" s="3">
        <v>113.41</v>
      </c>
      <c r="E942" s="3">
        <v>1.1835</v>
      </c>
      <c r="F942" s="3">
        <v>252.51</v>
      </c>
      <c r="G942" s="3">
        <v>249.57</v>
      </c>
      <c r="H942" s="3">
        <v>182.15</v>
      </c>
      <c r="I942" s="3">
        <v>218.37</v>
      </c>
      <c r="J942" s="3">
        <v>113.61</v>
      </c>
      <c r="K942" s="3">
        <v>213.91</v>
      </c>
      <c r="L942" s="3"/>
      <c r="N942" s="4"/>
    </row>
    <row r="943" spans="1:14" ht="17.5" thickBot="1" x14ac:dyDescent="0.45">
      <c r="A943" s="4">
        <v>43800</v>
      </c>
      <c r="B943" s="3">
        <v>163.92</v>
      </c>
      <c r="C943" s="3">
        <v>238.1</v>
      </c>
      <c r="D943" s="3">
        <v>113.41</v>
      </c>
      <c r="E943" s="3">
        <v>1.1835</v>
      </c>
      <c r="F943" s="3">
        <v>252.51</v>
      </c>
      <c r="G943" s="3">
        <v>249.57</v>
      </c>
      <c r="H943" s="3">
        <v>182.15</v>
      </c>
      <c r="I943" s="3">
        <v>218.37</v>
      </c>
      <c r="J943" s="3">
        <v>113.61</v>
      </c>
      <c r="K943" s="3">
        <v>213.91</v>
      </c>
      <c r="L943" s="3"/>
      <c r="N943" s="4"/>
    </row>
    <row r="944" spans="1:14" ht="17.5" thickBot="1" x14ac:dyDescent="0.45">
      <c r="A944" s="4">
        <v>43801</v>
      </c>
      <c r="B944" s="3">
        <v>164.81</v>
      </c>
      <c r="C944" s="3">
        <v>239.04</v>
      </c>
      <c r="D944" s="3">
        <v>113.31</v>
      </c>
      <c r="E944" s="3">
        <v>1.1777</v>
      </c>
      <c r="F944" s="3">
        <v>252.4</v>
      </c>
      <c r="G944" s="3">
        <v>247.72</v>
      </c>
      <c r="H944" s="3">
        <v>182.12</v>
      </c>
      <c r="I944" s="3">
        <v>217.19</v>
      </c>
      <c r="J944" s="3">
        <v>113.61</v>
      </c>
      <c r="K944" s="3">
        <v>213.72</v>
      </c>
      <c r="L944" s="3"/>
      <c r="N944" s="4"/>
    </row>
    <row r="945" spans="1:14" ht="17.5" thickBot="1" x14ac:dyDescent="0.45">
      <c r="A945" s="4">
        <v>43802</v>
      </c>
      <c r="B945" s="3">
        <v>164.27</v>
      </c>
      <c r="C945" s="3">
        <v>237.75</v>
      </c>
      <c r="D945" s="3">
        <v>113.13</v>
      </c>
      <c r="E945" s="3">
        <v>1.1761999999999999</v>
      </c>
      <c r="F945" s="3">
        <v>251.74</v>
      </c>
      <c r="G945" s="3">
        <v>245.97</v>
      </c>
      <c r="H945" s="3">
        <v>181.7</v>
      </c>
      <c r="I945" s="3">
        <v>215.85</v>
      </c>
      <c r="J945" s="3">
        <v>113.61</v>
      </c>
      <c r="K945" s="3">
        <v>213.84</v>
      </c>
      <c r="L945" s="3"/>
      <c r="N945" s="4"/>
    </row>
    <row r="946" spans="1:14" ht="17.5" thickBot="1" x14ac:dyDescent="0.45">
      <c r="A946" s="4">
        <v>43803</v>
      </c>
      <c r="B946" s="3">
        <v>162.54</v>
      </c>
      <c r="C946" s="3">
        <v>235.91</v>
      </c>
      <c r="D946" s="3">
        <v>113.4</v>
      </c>
      <c r="E946" s="3">
        <v>1.1782999999999999</v>
      </c>
      <c r="F946" s="3">
        <v>251.32</v>
      </c>
      <c r="G946" s="3">
        <v>247.51</v>
      </c>
      <c r="H946" s="3">
        <v>181.39</v>
      </c>
      <c r="I946" s="3">
        <v>217.64</v>
      </c>
      <c r="J946" s="3">
        <v>113.61</v>
      </c>
      <c r="K946" s="3">
        <v>213.46</v>
      </c>
      <c r="L946" s="3"/>
      <c r="N946" s="4"/>
    </row>
    <row r="947" spans="1:14" ht="17.5" thickBot="1" x14ac:dyDescent="0.45">
      <c r="A947" s="4">
        <v>43804</v>
      </c>
      <c r="B947" s="3">
        <v>163.69</v>
      </c>
      <c r="C947" s="3">
        <v>237.55</v>
      </c>
      <c r="D947" s="3">
        <v>113.3</v>
      </c>
      <c r="E947" s="3">
        <v>1.1788000000000001</v>
      </c>
      <c r="F947" s="3">
        <v>252.24</v>
      </c>
      <c r="G947" s="3">
        <v>247.71</v>
      </c>
      <c r="H947" s="3">
        <v>182.04</v>
      </c>
      <c r="I947" s="3">
        <v>218.37</v>
      </c>
      <c r="J947" s="3">
        <v>113.61</v>
      </c>
      <c r="K947" s="3">
        <v>213.91</v>
      </c>
      <c r="L947" s="3"/>
      <c r="N947" s="4"/>
    </row>
    <row r="948" spans="1:14" ht="17.5" thickBot="1" x14ac:dyDescent="0.45">
      <c r="A948" s="4">
        <v>43805</v>
      </c>
      <c r="B948" s="3">
        <v>164.95</v>
      </c>
      <c r="C948" s="3">
        <v>238.14</v>
      </c>
      <c r="D948" s="3">
        <v>113.3</v>
      </c>
      <c r="E948" s="3">
        <v>1.1836</v>
      </c>
      <c r="F948" s="3">
        <v>253.87</v>
      </c>
      <c r="G948" s="3">
        <v>249.78</v>
      </c>
      <c r="H948" s="3">
        <v>183.12</v>
      </c>
      <c r="I948" s="3">
        <v>220.28</v>
      </c>
      <c r="J948" s="3">
        <v>113.61</v>
      </c>
      <c r="K948" s="3">
        <v>214.52</v>
      </c>
      <c r="L948" s="3"/>
      <c r="N948" s="4"/>
    </row>
    <row r="949" spans="1:14" ht="17.5" thickBot="1" x14ac:dyDescent="0.45">
      <c r="A949" s="4">
        <v>43806</v>
      </c>
      <c r="B949" s="3">
        <v>164.95</v>
      </c>
      <c r="C949" s="3">
        <v>238.14</v>
      </c>
      <c r="D949" s="3">
        <v>113.3</v>
      </c>
      <c r="E949" s="3">
        <v>1.1836</v>
      </c>
      <c r="F949" s="3">
        <v>253.87</v>
      </c>
      <c r="G949" s="3">
        <v>249.78</v>
      </c>
      <c r="H949" s="3">
        <v>183.12</v>
      </c>
      <c r="I949" s="3">
        <v>220.28</v>
      </c>
      <c r="J949" s="3">
        <v>113.61</v>
      </c>
      <c r="K949" s="3">
        <v>214.52</v>
      </c>
      <c r="L949" s="3"/>
      <c r="N949" s="4"/>
    </row>
    <row r="950" spans="1:14" ht="17.5" thickBot="1" x14ac:dyDescent="0.45">
      <c r="A950" s="4">
        <v>43807</v>
      </c>
      <c r="B950" s="3">
        <v>164.95</v>
      </c>
      <c r="C950" s="3">
        <v>238.14</v>
      </c>
      <c r="D950" s="3">
        <v>113.3</v>
      </c>
      <c r="E950" s="3">
        <v>1.1836</v>
      </c>
      <c r="F950" s="3">
        <v>253.87</v>
      </c>
      <c r="G950" s="3">
        <v>249.78</v>
      </c>
      <c r="H950" s="3">
        <v>183.12</v>
      </c>
      <c r="I950" s="3">
        <v>220.28</v>
      </c>
      <c r="J950" s="3">
        <v>113.61</v>
      </c>
      <c r="K950" s="3">
        <v>214.52</v>
      </c>
      <c r="L950" s="3"/>
      <c r="N950" s="4"/>
    </row>
    <row r="951" spans="1:14" ht="17.5" thickBot="1" x14ac:dyDescent="0.45">
      <c r="A951" s="4">
        <v>43808</v>
      </c>
      <c r="B951" s="3">
        <v>165.18</v>
      </c>
      <c r="C951" s="3">
        <v>239.15</v>
      </c>
      <c r="D951" s="3">
        <v>113.3</v>
      </c>
      <c r="E951" s="3">
        <v>1.1832</v>
      </c>
      <c r="F951" s="3">
        <v>253.92</v>
      </c>
      <c r="G951" s="3">
        <v>249.02</v>
      </c>
      <c r="H951" s="3">
        <v>183.19</v>
      </c>
      <c r="I951" s="3">
        <v>219.79</v>
      </c>
      <c r="J951" s="3">
        <v>113.61</v>
      </c>
      <c r="K951" s="3">
        <v>214.68</v>
      </c>
      <c r="L951" s="3"/>
      <c r="N951" s="4"/>
    </row>
    <row r="952" spans="1:14" ht="17.5" thickBot="1" x14ac:dyDescent="0.45">
      <c r="A952" s="4">
        <v>43809</v>
      </c>
      <c r="B952" s="3">
        <v>164.67</v>
      </c>
      <c r="C952" s="3">
        <v>238.33</v>
      </c>
      <c r="D952" s="3">
        <v>113.29</v>
      </c>
      <c r="E952" s="3">
        <v>1.1821999999999999</v>
      </c>
      <c r="F952" s="3">
        <v>253.52</v>
      </c>
      <c r="G952" s="3">
        <v>248.7</v>
      </c>
      <c r="H952" s="3">
        <v>182.91</v>
      </c>
      <c r="I952" s="3">
        <v>219.5</v>
      </c>
      <c r="J952" s="3">
        <v>113.61</v>
      </c>
      <c r="K952" s="3">
        <v>214.5</v>
      </c>
      <c r="L952" s="3"/>
      <c r="N952" s="4"/>
    </row>
    <row r="953" spans="1:14" ht="17.5" thickBot="1" x14ac:dyDescent="0.45">
      <c r="A953" s="4">
        <v>43810</v>
      </c>
      <c r="B953" s="3">
        <v>165.9</v>
      </c>
      <c r="C953" s="3">
        <v>240.21</v>
      </c>
      <c r="D953" s="3">
        <v>113.2</v>
      </c>
      <c r="E953" s="3">
        <v>1.1839</v>
      </c>
      <c r="F953" s="3">
        <v>254.06</v>
      </c>
      <c r="G953" s="3">
        <v>248.92</v>
      </c>
      <c r="H953" s="3">
        <v>183.3</v>
      </c>
      <c r="I953" s="3">
        <v>220.3</v>
      </c>
      <c r="J953" s="3">
        <v>113.61</v>
      </c>
      <c r="K953" s="3">
        <v>214.83</v>
      </c>
      <c r="L953" s="3"/>
      <c r="N953" s="4"/>
    </row>
    <row r="954" spans="1:14" ht="17.5" thickBot="1" x14ac:dyDescent="0.45">
      <c r="A954" s="4">
        <v>43811</v>
      </c>
      <c r="B954" s="3">
        <v>168.29</v>
      </c>
      <c r="C954" s="3">
        <v>242.7</v>
      </c>
      <c r="D954" s="3">
        <v>113.38</v>
      </c>
      <c r="E954" s="3">
        <v>1.1868000000000001</v>
      </c>
      <c r="F954" s="3">
        <v>255.6</v>
      </c>
      <c r="G954" s="3">
        <v>250.91</v>
      </c>
      <c r="H954" s="3">
        <v>184.34</v>
      </c>
      <c r="I954" s="3">
        <v>222.37</v>
      </c>
      <c r="J954" s="3">
        <v>113.61</v>
      </c>
      <c r="K954" s="3">
        <v>215.33</v>
      </c>
      <c r="L954" s="3"/>
      <c r="N954" s="4"/>
    </row>
    <row r="955" spans="1:14" ht="17.5" thickBot="1" x14ac:dyDescent="0.45">
      <c r="A955" s="4">
        <v>43812</v>
      </c>
      <c r="B955" s="3">
        <v>172</v>
      </c>
      <c r="C955" s="3">
        <v>246.33</v>
      </c>
      <c r="D955" s="3">
        <v>113.11</v>
      </c>
      <c r="E955" s="3">
        <v>1.1917</v>
      </c>
      <c r="F955" s="3">
        <v>258.83999999999997</v>
      </c>
      <c r="G955" s="3">
        <v>250.71</v>
      </c>
      <c r="H955" s="3">
        <v>186.58</v>
      </c>
      <c r="I955" s="3">
        <v>222.41</v>
      </c>
      <c r="J955" s="3">
        <v>113.66</v>
      </c>
      <c r="K955" s="3">
        <v>217.26</v>
      </c>
      <c r="L955" s="3"/>
      <c r="N955" s="4"/>
    </row>
    <row r="956" spans="1:14" ht="17.5" thickBot="1" x14ac:dyDescent="0.45">
      <c r="A956" s="4">
        <v>43813</v>
      </c>
      <c r="B956" s="3">
        <v>172</v>
      </c>
      <c r="C956" s="3">
        <v>246.33</v>
      </c>
      <c r="D956" s="3">
        <v>113.11</v>
      </c>
      <c r="E956" s="3">
        <v>1.1917</v>
      </c>
      <c r="F956" s="3">
        <v>258.83999999999997</v>
      </c>
      <c r="G956" s="3">
        <v>250.71</v>
      </c>
      <c r="H956" s="3">
        <v>186.58</v>
      </c>
      <c r="I956" s="3">
        <v>222.41</v>
      </c>
      <c r="J956" s="3">
        <v>113.66</v>
      </c>
      <c r="K956" s="3">
        <v>217.26</v>
      </c>
      <c r="L956" s="3"/>
      <c r="N956" s="4"/>
    </row>
    <row r="957" spans="1:14" ht="17.5" thickBot="1" x14ac:dyDescent="0.45">
      <c r="A957" s="4">
        <v>43814</v>
      </c>
      <c r="B957" s="3">
        <v>172</v>
      </c>
      <c r="C957" s="3">
        <v>246.33</v>
      </c>
      <c r="D957" s="3">
        <v>113.11</v>
      </c>
      <c r="E957" s="3">
        <v>1.1917</v>
      </c>
      <c r="F957" s="3">
        <v>258.83999999999997</v>
      </c>
      <c r="G957" s="3">
        <v>250.71</v>
      </c>
      <c r="H957" s="3">
        <v>186.58</v>
      </c>
      <c r="I957" s="3">
        <v>222.41</v>
      </c>
      <c r="J957" s="3">
        <v>113.66</v>
      </c>
      <c r="K957" s="3">
        <v>217.26</v>
      </c>
      <c r="L957" s="3"/>
      <c r="N957" s="4"/>
    </row>
    <row r="958" spans="1:14" ht="17.5" thickBot="1" x14ac:dyDescent="0.45">
      <c r="A958" s="4">
        <v>43815</v>
      </c>
      <c r="B958" s="3">
        <v>171.18</v>
      </c>
      <c r="C958" s="3">
        <v>247.17</v>
      </c>
      <c r="D958" s="3">
        <v>113.37</v>
      </c>
      <c r="E958" s="3">
        <v>1.1955</v>
      </c>
      <c r="F958" s="3">
        <v>259.3</v>
      </c>
      <c r="G958" s="3">
        <v>252.37</v>
      </c>
      <c r="H958" s="3">
        <v>186.86</v>
      </c>
      <c r="I958" s="3">
        <v>223.07</v>
      </c>
      <c r="J958" s="3">
        <v>113.66</v>
      </c>
      <c r="K958" s="3">
        <v>217.33</v>
      </c>
      <c r="L958" s="3"/>
      <c r="N958" s="4"/>
    </row>
    <row r="959" spans="1:14" ht="17.5" thickBot="1" x14ac:dyDescent="0.45">
      <c r="A959" s="4">
        <v>43816</v>
      </c>
      <c r="B959" s="3">
        <v>173.06</v>
      </c>
      <c r="C959" s="3">
        <v>250.05</v>
      </c>
      <c r="D959" s="3">
        <v>113.19</v>
      </c>
      <c r="E959" s="3">
        <v>1.1960999999999999</v>
      </c>
      <c r="F959" s="3">
        <v>260.44</v>
      </c>
      <c r="G959" s="3">
        <v>251.77</v>
      </c>
      <c r="H959" s="3">
        <v>187.67</v>
      </c>
      <c r="I959" s="3">
        <v>223.25</v>
      </c>
      <c r="J959" s="3">
        <v>113.66</v>
      </c>
      <c r="K959" s="3">
        <v>217.91</v>
      </c>
      <c r="L959" s="3"/>
      <c r="N959" s="4"/>
    </row>
    <row r="960" spans="1:14" ht="17.5" thickBot="1" x14ac:dyDescent="0.45">
      <c r="A960" s="4">
        <v>43817</v>
      </c>
      <c r="B960" s="3">
        <v>173.55</v>
      </c>
      <c r="C960" s="3">
        <v>250.51</v>
      </c>
      <c r="D960" s="3">
        <v>113.09</v>
      </c>
      <c r="E960" s="3">
        <v>1.1943999999999999</v>
      </c>
      <c r="F960" s="3">
        <v>260.08999999999997</v>
      </c>
      <c r="G960" s="3">
        <v>251.55</v>
      </c>
      <c r="H960" s="3">
        <v>187.44</v>
      </c>
      <c r="I960" s="3">
        <v>223.83</v>
      </c>
      <c r="J960" s="3">
        <v>113.66</v>
      </c>
      <c r="K960" s="3">
        <v>217.56</v>
      </c>
      <c r="L960" s="3"/>
      <c r="N960" s="4"/>
    </row>
    <row r="961" spans="1:14" ht="17.5" thickBot="1" x14ac:dyDescent="0.45">
      <c r="A961" s="4">
        <v>43818</v>
      </c>
      <c r="B961" s="3">
        <v>173.21</v>
      </c>
      <c r="C961" s="3">
        <v>249.88</v>
      </c>
      <c r="D961" s="3">
        <v>113.18</v>
      </c>
      <c r="E961" s="3">
        <v>1.1968000000000001</v>
      </c>
      <c r="F961" s="3">
        <v>260.24</v>
      </c>
      <c r="G961" s="3">
        <v>252.69</v>
      </c>
      <c r="H961" s="3">
        <v>187.53</v>
      </c>
      <c r="I961" s="3">
        <v>224.68</v>
      </c>
      <c r="J961" s="3">
        <v>113.66</v>
      </c>
      <c r="K961" s="3">
        <v>217.66</v>
      </c>
      <c r="L961" s="3"/>
      <c r="N961" s="4"/>
    </row>
    <row r="962" spans="1:14" ht="17.5" thickBot="1" x14ac:dyDescent="0.45">
      <c r="A962" s="4">
        <v>43819</v>
      </c>
      <c r="B962" s="3">
        <v>174.13</v>
      </c>
      <c r="C962" s="3">
        <v>250.16</v>
      </c>
      <c r="D962" s="3">
        <v>113.27</v>
      </c>
      <c r="E962" s="3">
        <v>1.1996</v>
      </c>
      <c r="F962" s="3">
        <v>260.82</v>
      </c>
      <c r="G962" s="3">
        <v>254.31</v>
      </c>
      <c r="H962" s="3">
        <v>187.9</v>
      </c>
      <c r="I962" s="3">
        <v>225.48</v>
      </c>
      <c r="J962" s="3">
        <v>113.66</v>
      </c>
      <c r="K962" s="3">
        <v>217.89</v>
      </c>
      <c r="L962" s="3"/>
      <c r="N962" s="4"/>
    </row>
    <row r="963" spans="1:14" ht="17.5" thickBot="1" x14ac:dyDescent="0.45">
      <c r="A963" s="4">
        <v>43820</v>
      </c>
      <c r="B963" s="3">
        <v>174.13</v>
      </c>
      <c r="C963" s="3">
        <v>250.16</v>
      </c>
      <c r="D963" s="3">
        <v>113.27</v>
      </c>
      <c r="E963" s="3">
        <v>1.1996</v>
      </c>
      <c r="F963" s="3">
        <v>260.82</v>
      </c>
      <c r="G963" s="3">
        <v>254.31</v>
      </c>
      <c r="H963" s="3">
        <v>187.9</v>
      </c>
      <c r="I963" s="3">
        <v>225.48</v>
      </c>
      <c r="J963" s="3">
        <v>113.66</v>
      </c>
      <c r="K963" s="3">
        <v>217.89</v>
      </c>
      <c r="L963" s="3"/>
      <c r="N963" s="4"/>
    </row>
    <row r="964" spans="1:14" ht="17.5" thickBot="1" x14ac:dyDescent="0.45">
      <c r="A964" s="4">
        <v>43821</v>
      </c>
      <c r="B964" s="3">
        <v>174.13</v>
      </c>
      <c r="C964" s="3">
        <v>250.16</v>
      </c>
      <c r="D964" s="3">
        <v>113.27</v>
      </c>
      <c r="E964" s="3">
        <v>1.1996</v>
      </c>
      <c r="F964" s="3">
        <v>260.82</v>
      </c>
      <c r="G964" s="3">
        <v>254.31</v>
      </c>
      <c r="H964" s="3">
        <v>187.9</v>
      </c>
      <c r="I964" s="3">
        <v>225.48</v>
      </c>
      <c r="J964" s="3">
        <v>113.66</v>
      </c>
      <c r="K964" s="3">
        <v>217.89</v>
      </c>
      <c r="L964" s="3"/>
      <c r="N964" s="4"/>
    </row>
    <row r="965" spans="1:14" ht="17.5" thickBot="1" x14ac:dyDescent="0.45">
      <c r="A965" s="4">
        <v>43822</v>
      </c>
      <c r="B965" s="3">
        <v>173.81</v>
      </c>
      <c r="C965" s="3">
        <v>249.36</v>
      </c>
      <c r="D965" s="3">
        <v>113.17</v>
      </c>
      <c r="E965" s="3">
        <v>1.1982999999999999</v>
      </c>
      <c r="F965" s="3">
        <v>260.52999999999997</v>
      </c>
      <c r="G965" s="3">
        <v>253.94</v>
      </c>
      <c r="H965" s="3">
        <v>187.66</v>
      </c>
      <c r="I965" s="3">
        <v>225.51</v>
      </c>
      <c r="J965" s="3">
        <v>113.66</v>
      </c>
      <c r="K965" s="3">
        <v>217.55</v>
      </c>
      <c r="L965" s="3"/>
      <c r="N965" s="4"/>
    </row>
    <row r="966" spans="1:14" ht="17.5" thickBot="1" x14ac:dyDescent="0.45">
      <c r="A966" s="4">
        <v>43823</v>
      </c>
      <c r="B966" s="3">
        <v>173.38</v>
      </c>
      <c r="C966" s="3">
        <v>248.81</v>
      </c>
      <c r="D966" s="3">
        <v>113.35</v>
      </c>
      <c r="E966" s="3">
        <v>1.1990000000000001</v>
      </c>
      <c r="F966" s="3">
        <v>260.5</v>
      </c>
      <c r="G966" s="3">
        <v>254.03</v>
      </c>
      <c r="H966" s="3">
        <v>187.66</v>
      </c>
      <c r="I966" s="3">
        <v>225.51</v>
      </c>
      <c r="J966" s="3">
        <v>113.74</v>
      </c>
      <c r="K966" s="3">
        <v>217.65</v>
      </c>
      <c r="L966" s="3"/>
      <c r="N966" s="4"/>
    </row>
    <row r="967" spans="1:14" ht="17.5" thickBot="1" x14ac:dyDescent="0.45">
      <c r="A967" s="4">
        <v>43824</v>
      </c>
      <c r="B967" s="3">
        <v>173.38</v>
      </c>
      <c r="C967" s="3">
        <v>248.81</v>
      </c>
      <c r="D967" s="3">
        <v>113.35</v>
      </c>
      <c r="E967" s="3">
        <v>1.1990000000000001</v>
      </c>
      <c r="F967" s="3">
        <v>260.5</v>
      </c>
      <c r="G967" s="3">
        <v>254.03</v>
      </c>
      <c r="H967" s="3">
        <v>187.66</v>
      </c>
      <c r="I967" s="3">
        <v>225.51</v>
      </c>
      <c r="J967" s="3">
        <v>113.74</v>
      </c>
      <c r="K967" s="3">
        <v>217.65</v>
      </c>
      <c r="L967" s="3"/>
      <c r="N967" s="4"/>
    </row>
    <row r="968" spans="1:14" ht="17.5" thickBot="1" x14ac:dyDescent="0.45">
      <c r="A968" s="4">
        <v>43825</v>
      </c>
      <c r="B968" s="3">
        <v>173.38</v>
      </c>
      <c r="C968" s="3">
        <v>248.81</v>
      </c>
      <c r="D968" s="3">
        <v>113.35</v>
      </c>
      <c r="E968" s="3">
        <v>1.1990000000000001</v>
      </c>
      <c r="F968" s="3">
        <v>260.5</v>
      </c>
      <c r="G968" s="3">
        <v>254.03</v>
      </c>
      <c r="H968" s="3">
        <v>187.66</v>
      </c>
      <c r="I968" s="3">
        <v>225.51</v>
      </c>
      <c r="J968" s="3">
        <v>113.74</v>
      </c>
      <c r="K968" s="3">
        <v>217.65</v>
      </c>
      <c r="L968" s="3"/>
      <c r="N968" s="4"/>
    </row>
    <row r="969" spans="1:14" ht="17.5" thickBot="1" x14ac:dyDescent="0.45">
      <c r="A969" s="4">
        <v>43826</v>
      </c>
      <c r="B969" s="3">
        <v>175.87</v>
      </c>
      <c r="C969" s="3">
        <v>250.83</v>
      </c>
      <c r="D969" s="3">
        <v>113.53</v>
      </c>
      <c r="E969" s="3">
        <v>1.2039</v>
      </c>
      <c r="F969" s="3">
        <v>262.43</v>
      </c>
      <c r="G969" s="3">
        <v>255.08</v>
      </c>
      <c r="H969" s="3">
        <v>189.02</v>
      </c>
      <c r="I969" s="3">
        <v>226.77</v>
      </c>
      <c r="J969" s="3">
        <v>113.74</v>
      </c>
      <c r="K969" s="3">
        <v>218.87</v>
      </c>
      <c r="L969" s="3"/>
      <c r="N969" s="4"/>
    </row>
    <row r="970" spans="1:14" ht="17.5" thickBot="1" x14ac:dyDescent="0.45">
      <c r="A970" s="4">
        <v>43827</v>
      </c>
      <c r="B970" s="3">
        <v>175.87</v>
      </c>
      <c r="C970" s="3">
        <v>250.83</v>
      </c>
      <c r="D970" s="3">
        <v>113.53</v>
      </c>
      <c r="E970" s="3">
        <v>1.2039</v>
      </c>
      <c r="F970" s="3">
        <v>262.43</v>
      </c>
      <c r="G970" s="3">
        <v>255.08</v>
      </c>
      <c r="H970" s="3">
        <v>189.02</v>
      </c>
      <c r="I970" s="3">
        <v>226.77</v>
      </c>
      <c r="J970" s="3">
        <v>113.74</v>
      </c>
      <c r="K970" s="3">
        <v>218.87</v>
      </c>
      <c r="L970" s="3"/>
      <c r="N970" s="4"/>
    </row>
    <row r="971" spans="1:14" ht="17.5" thickBot="1" x14ac:dyDescent="0.45">
      <c r="A971" s="4">
        <v>43828</v>
      </c>
      <c r="B971" s="3">
        <v>175.87</v>
      </c>
      <c r="C971" s="3">
        <v>250.83</v>
      </c>
      <c r="D971" s="3">
        <v>113.53</v>
      </c>
      <c r="E971" s="3">
        <v>1.2039</v>
      </c>
      <c r="F971" s="3">
        <v>262.43</v>
      </c>
      <c r="G971" s="3">
        <v>255.08</v>
      </c>
      <c r="H971" s="3">
        <v>189.02</v>
      </c>
      <c r="I971" s="3">
        <v>226.77</v>
      </c>
      <c r="J971" s="3">
        <v>113.74</v>
      </c>
      <c r="K971" s="3">
        <v>218.87</v>
      </c>
      <c r="L971" s="3"/>
      <c r="N971" s="4"/>
    </row>
    <row r="972" spans="1:14" ht="17.5" thickBot="1" x14ac:dyDescent="0.45">
      <c r="A972" s="4">
        <v>43829</v>
      </c>
      <c r="B972" s="3">
        <v>176.72</v>
      </c>
      <c r="C972" s="3">
        <v>250.6</v>
      </c>
      <c r="D972" s="3">
        <v>113.71</v>
      </c>
      <c r="E972" s="3">
        <v>1.1998</v>
      </c>
      <c r="F972" s="3">
        <v>262.22000000000003</v>
      </c>
      <c r="G972" s="3">
        <v>253.8</v>
      </c>
      <c r="H972" s="3">
        <v>188.88</v>
      </c>
      <c r="I972" s="3">
        <v>225.44</v>
      </c>
      <c r="J972" s="3">
        <v>113.74</v>
      </c>
      <c r="K972" s="3">
        <v>218.76</v>
      </c>
      <c r="L972" s="3"/>
      <c r="N972" s="4"/>
    </row>
    <row r="973" spans="1:14" ht="17.5" thickBot="1" x14ac:dyDescent="0.45">
      <c r="A973" s="4">
        <v>43830</v>
      </c>
      <c r="B973" s="3">
        <v>176.1</v>
      </c>
      <c r="C973" s="3">
        <v>249.08</v>
      </c>
      <c r="D973" s="3">
        <v>113.8</v>
      </c>
      <c r="E973" s="3">
        <v>1.2012</v>
      </c>
      <c r="F973" s="3">
        <v>262.04000000000002</v>
      </c>
      <c r="G973" s="3">
        <v>254.75</v>
      </c>
      <c r="H973" s="3">
        <v>188.78</v>
      </c>
      <c r="I973" s="3">
        <v>225.94</v>
      </c>
      <c r="J973" s="3">
        <v>113.74</v>
      </c>
      <c r="K973" s="3">
        <v>218.82</v>
      </c>
      <c r="L973" s="3"/>
      <c r="N973" s="4"/>
    </row>
    <row r="974" spans="1:14" ht="17.5" thickBot="1" x14ac:dyDescent="0.45">
      <c r="A974" s="4">
        <v>43831</v>
      </c>
      <c r="B974" s="3">
        <v>176.1</v>
      </c>
      <c r="C974" s="3">
        <v>249.08</v>
      </c>
      <c r="D974" s="3">
        <v>113.8</v>
      </c>
      <c r="E974" s="3">
        <v>1.2012</v>
      </c>
      <c r="F974" s="3">
        <v>262.04000000000002</v>
      </c>
      <c r="G974" s="3">
        <v>254.75</v>
      </c>
      <c r="H974" s="3">
        <v>188.78</v>
      </c>
      <c r="I974" s="3">
        <v>225.94</v>
      </c>
      <c r="J974" s="3">
        <v>113.74</v>
      </c>
      <c r="K974" s="3">
        <v>218.82</v>
      </c>
      <c r="L974" s="3"/>
      <c r="N974" s="4"/>
    </row>
    <row r="975" spans="1:14" ht="17.5" thickBot="1" x14ac:dyDescent="0.45">
      <c r="A975" s="4">
        <v>43832</v>
      </c>
      <c r="B975" s="3">
        <v>177.64</v>
      </c>
      <c r="C975" s="3">
        <v>249.19</v>
      </c>
      <c r="D975" s="3">
        <v>113.79</v>
      </c>
      <c r="E975" s="3">
        <v>1.2074</v>
      </c>
      <c r="F975" s="3">
        <v>264.07</v>
      </c>
      <c r="G975" s="3">
        <v>256.58</v>
      </c>
      <c r="H975" s="3">
        <v>190.19</v>
      </c>
      <c r="I975" s="3">
        <v>228.85</v>
      </c>
      <c r="J975" s="3">
        <v>113.74</v>
      </c>
      <c r="K975" s="3">
        <v>219.88</v>
      </c>
      <c r="L975" s="3"/>
      <c r="N975" s="4"/>
    </row>
    <row r="976" spans="1:14" ht="17.5" thickBot="1" x14ac:dyDescent="0.45">
      <c r="A976" s="4">
        <v>43833</v>
      </c>
      <c r="B976" s="3">
        <v>177.2</v>
      </c>
      <c r="C976" s="3">
        <v>248.52</v>
      </c>
      <c r="D976" s="3">
        <v>113.79</v>
      </c>
      <c r="E976" s="3">
        <v>1.2042999999999999</v>
      </c>
      <c r="F976" s="3">
        <v>262.82</v>
      </c>
      <c r="G976" s="3">
        <v>254.52</v>
      </c>
      <c r="H976" s="3">
        <v>189.34</v>
      </c>
      <c r="I976" s="3">
        <v>226.79</v>
      </c>
      <c r="J976" s="3">
        <v>113.74</v>
      </c>
      <c r="K976" s="3">
        <v>219.37</v>
      </c>
      <c r="L976" s="3"/>
      <c r="N976" s="4"/>
    </row>
    <row r="977" spans="1:14" ht="17.5" thickBot="1" x14ac:dyDescent="0.45">
      <c r="A977" s="4">
        <v>43834</v>
      </c>
      <c r="B977" s="3">
        <v>177.2</v>
      </c>
      <c r="C977" s="3">
        <v>248.52</v>
      </c>
      <c r="D977" s="3">
        <v>113.79</v>
      </c>
      <c r="E977" s="3">
        <v>1.2042999999999999</v>
      </c>
      <c r="F977" s="3">
        <v>262.82</v>
      </c>
      <c r="G977" s="3">
        <v>254.52</v>
      </c>
      <c r="H977" s="3">
        <v>189.34</v>
      </c>
      <c r="I977" s="3">
        <v>226.79</v>
      </c>
      <c r="J977" s="3">
        <v>113.74</v>
      </c>
      <c r="K977" s="3">
        <v>219.37</v>
      </c>
      <c r="L977" s="3"/>
      <c r="N977" s="4"/>
    </row>
    <row r="978" spans="1:14" ht="17.5" thickBot="1" x14ac:dyDescent="0.45">
      <c r="A978" s="4">
        <v>43835</v>
      </c>
      <c r="B978" s="3">
        <v>177.2</v>
      </c>
      <c r="C978" s="3">
        <v>248.52</v>
      </c>
      <c r="D978" s="3">
        <v>113.79</v>
      </c>
      <c r="E978" s="3">
        <v>1.2042999999999999</v>
      </c>
      <c r="F978" s="3">
        <v>262.82</v>
      </c>
      <c r="G978" s="3">
        <v>254.52</v>
      </c>
      <c r="H978" s="3">
        <v>189.34</v>
      </c>
      <c r="I978" s="3">
        <v>226.79</v>
      </c>
      <c r="J978" s="3">
        <v>113.74</v>
      </c>
      <c r="K978" s="3">
        <v>219.37</v>
      </c>
      <c r="L978" s="3"/>
      <c r="N978" s="4"/>
    </row>
    <row r="979" spans="1:14" ht="17.5" thickBot="1" x14ac:dyDescent="0.45">
      <c r="A979" s="4">
        <v>43836</v>
      </c>
      <c r="B979" s="3">
        <v>175.92</v>
      </c>
      <c r="C979" s="3">
        <v>245.22</v>
      </c>
      <c r="D979" s="3">
        <v>113.87</v>
      </c>
      <c r="E979" s="3">
        <v>1.2028000000000001</v>
      </c>
      <c r="F979" s="3">
        <v>261.36</v>
      </c>
      <c r="G979" s="3">
        <v>254.95</v>
      </c>
      <c r="H979" s="3">
        <v>188.2</v>
      </c>
      <c r="I979" s="3">
        <v>226.98</v>
      </c>
      <c r="J979" s="3">
        <v>113.74</v>
      </c>
      <c r="K979" s="3">
        <v>218.54</v>
      </c>
      <c r="L979" s="3"/>
      <c r="N979" s="4"/>
    </row>
    <row r="980" spans="1:14" ht="17.5" thickBot="1" x14ac:dyDescent="0.45">
      <c r="A980" s="4">
        <v>43837</v>
      </c>
      <c r="B980" s="3">
        <v>176.01</v>
      </c>
      <c r="C980" s="3">
        <v>246.15</v>
      </c>
      <c r="D980" s="3">
        <v>113.87</v>
      </c>
      <c r="E980" s="3">
        <v>1.2029000000000001</v>
      </c>
      <c r="F980" s="3">
        <v>262.3</v>
      </c>
      <c r="G980" s="3">
        <v>254.4</v>
      </c>
      <c r="H980" s="3">
        <v>188.89</v>
      </c>
      <c r="I980" s="3">
        <v>226.4</v>
      </c>
      <c r="J980" s="3">
        <v>113.74</v>
      </c>
      <c r="K980" s="3">
        <v>218.87</v>
      </c>
      <c r="L980" s="3"/>
      <c r="N980" s="4"/>
    </row>
    <row r="981" spans="1:14" ht="17.5" thickBot="1" x14ac:dyDescent="0.45">
      <c r="A981" s="4">
        <v>43838</v>
      </c>
      <c r="B981" s="3">
        <v>174.74</v>
      </c>
      <c r="C981" s="3">
        <v>245.53</v>
      </c>
      <c r="D981" s="3">
        <v>113.87</v>
      </c>
      <c r="E981" s="3">
        <v>1.2025999999999999</v>
      </c>
      <c r="F981" s="3">
        <v>261.19</v>
      </c>
      <c r="G981" s="3">
        <v>255.68</v>
      </c>
      <c r="H981" s="3">
        <v>188.05</v>
      </c>
      <c r="I981" s="3">
        <v>227.27</v>
      </c>
      <c r="J981" s="3">
        <v>113.74</v>
      </c>
      <c r="K981" s="3">
        <v>218.08</v>
      </c>
      <c r="L981" s="3"/>
      <c r="N981" s="4"/>
    </row>
    <row r="982" spans="1:14" ht="17.5" thickBot="1" x14ac:dyDescent="0.45">
      <c r="A982" s="4">
        <v>43839</v>
      </c>
      <c r="B982" s="3">
        <v>178.07</v>
      </c>
      <c r="C982" s="3">
        <v>249.44</v>
      </c>
      <c r="D982" s="3">
        <v>113.69</v>
      </c>
      <c r="E982" s="3">
        <v>1.2063999999999999</v>
      </c>
      <c r="F982" s="3">
        <v>263.64999999999998</v>
      </c>
      <c r="G982" s="3">
        <v>257.27999999999997</v>
      </c>
      <c r="H982" s="3">
        <v>189.75</v>
      </c>
      <c r="I982" s="3">
        <v>228.01</v>
      </c>
      <c r="J982" s="3">
        <v>113.74</v>
      </c>
      <c r="K982" s="3">
        <v>219.04</v>
      </c>
      <c r="L982" s="3"/>
      <c r="N982" s="4"/>
    </row>
    <row r="983" spans="1:14" ht="17.5" thickBot="1" x14ac:dyDescent="0.45">
      <c r="A983" s="4">
        <v>43840</v>
      </c>
      <c r="B983" s="3">
        <v>178.04</v>
      </c>
      <c r="C983" s="3">
        <v>251.1</v>
      </c>
      <c r="D983" s="3">
        <v>114.05</v>
      </c>
      <c r="E983" s="3">
        <v>1.2068000000000001</v>
      </c>
      <c r="F983" s="3">
        <v>264.14</v>
      </c>
      <c r="G983" s="3">
        <v>256.82</v>
      </c>
      <c r="H983" s="3">
        <v>190.13</v>
      </c>
      <c r="I983" s="3">
        <v>227.18</v>
      </c>
      <c r="J983" s="3">
        <v>113.74</v>
      </c>
      <c r="K983" s="3">
        <v>219.47</v>
      </c>
      <c r="L983" s="3"/>
      <c r="N983" s="4"/>
    </row>
    <row r="984" spans="1:14" ht="17.5" thickBot="1" x14ac:dyDescent="0.45">
      <c r="A984" s="4">
        <v>43841</v>
      </c>
      <c r="B984" s="3">
        <v>178.04</v>
      </c>
      <c r="C984" s="3">
        <v>251.1</v>
      </c>
      <c r="D984" s="3">
        <v>114.05</v>
      </c>
      <c r="E984" s="3">
        <v>1.2068000000000001</v>
      </c>
      <c r="F984" s="3">
        <v>264.14</v>
      </c>
      <c r="G984" s="3">
        <v>256.82</v>
      </c>
      <c r="H984" s="3">
        <v>190.13</v>
      </c>
      <c r="I984" s="3">
        <v>227.18</v>
      </c>
      <c r="J984" s="3">
        <v>113.74</v>
      </c>
      <c r="K984" s="3">
        <v>219.47</v>
      </c>
      <c r="L984" s="3"/>
      <c r="N984" s="4"/>
    </row>
    <row r="985" spans="1:14" ht="17.5" thickBot="1" x14ac:dyDescent="0.45">
      <c r="A985" s="4">
        <v>43842</v>
      </c>
      <c r="B985" s="3">
        <v>178.04</v>
      </c>
      <c r="C985" s="3">
        <v>251.1</v>
      </c>
      <c r="D985" s="3">
        <v>114.05</v>
      </c>
      <c r="E985" s="3">
        <v>1.2068000000000001</v>
      </c>
      <c r="F985" s="3">
        <v>264.14</v>
      </c>
      <c r="G985" s="3">
        <v>256.82</v>
      </c>
      <c r="H985" s="3">
        <v>190.13</v>
      </c>
      <c r="I985" s="3">
        <v>227.18</v>
      </c>
      <c r="J985" s="3">
        <v>113.74</v>
      </c>
      <c r="K985" s="3">
        <v>219.47</v>
      </c>
      <c r="L985" s="3"/>
      <c r="N985" s="4"/>
    </row>
    <row r="986" spans="1:14" ht="17.5" thickBot="1" x14ac:dyDescent="0.45">
      <c r="A986" s="4">
        <v>43843</v>
      </c>
      <c r="B986" s="3">
        <v>180.12</v>
      </c>
      <c r="C986" s="3">
        <v>252.51</v>
      </c>
      <c r="D986" s="3">
        <v>114.22</v>
      </c>
      <c r="E986" s="3">
        <v>1.2096</v>
      </c>
      <c r="F986" s="3">
        <v>265.67</v>
      </c>
      <c r="G986" s="3">
        <v>258.95999999999998</v>
      </c>
      <c r="H986" s="3">
        <v>191.12</v>
      </c>
      <c r="I986" s="3">
        <v>228.79</v>
      </c>
      <c r="J986" s="3">
        <v>113.74</v>
      </c>
      <c r="K986" s="3">
        <v>220.11</v>
      </c>
      <c r="L986" s="3"/>
      <c r="N986" s="4"/>
    </row>
    <row r="987" spans="1:14" ht="17.5" thickBot="1" x14ac:dyDescent="0.45">
      <c r="A987" s="4">
        <v>43844</v>
      </c>
      <c r="B987" s="3">
        <v>179.47</v>
      </c>
      <c r="C987" s="3">
        <v>254.31</v>
      </c>
      <c r="D987" s="3">
        <v>114.13</v>
      </c>
      <c r="E987" s="3">
        <v>1.2108000000000001</v>
      </c>
      <c r="F987" s="3">
        <v>265.82</v>
      </c>
      <c r="G987" s="3">
        <v>258.77999999999997</v>
      </c>
      <c r="H987" s="3">
        <v>191.27</v>
      </c>
      <c r="I987" s="3">
        <v>228.4</v>
      </c>
      <c r="J987" s="3">
        <v>113.74</v>
      </c>
      <c r="K987" s="3">
        <v>220.32</v>
      </c>
      <c r="L987" s="3"/>
      <c r="N987" s="4"/>
    </row>
    <row r="988" spans="1:14" ht="17.5" thickBot="1" x14ac:dyDescent="0.45">
      <c r="A988" s="4">
        <v>43845</v>
      </c>
      <c r="B988" s="3">
        <v>178.76</v>
      </c>
      <c r="C988" s="3">
        <v>253.32</v>
      </c>
      <c r="D988" s="3">
        <v>114.22</v>
      </c>
      <c r="E988" s="3">
        <v>1.2119</v>
      </c>
      <c r="F988" s="3">
        <v>265.45999999999998</v>
      </c>
      <c r="G988" s="3">
        <v>259.18</v>
      </c>
      <c r="H988" s="3">
        <v>191.01</v>
      </c>
      <c r="I988" s="3">
        <v>228.03</v>
      </c>
      <c r="J988" s="3">
        <v>113.79</v>
      </c>
      <c r="K988" s="3">
        <v>220.29</v>
      </c>
      <c r="L988" s="3"/>
      <c r="N988" s="4"/>
    </row>
    <row r="989" spans="1:14" ht="17.5" thickBot="1" x14ac:dyDescent="0.45">
      <c r="A989" s="4">
        <v>43846</v>
      </c>
      <c r="B989" s="3">
        <v>179.16</v>
      </c>
      <c r="C989" s="3">
        <v>253.75</v>
      </c>
      <c r="D989" s="3">
        <v>114.22</v>
      </c>
      <c r="E989" s="3">
        <v>1.2156</v>
      </c>
      <c r="F989" s="3">
        <v>266.45</v>
      </c>
      <c r="G989" s="3">
        <v>261.39</v>
      </c>
      <c r="H989" s="3">
        <v>191.63</v>
      </c>
      <c r="I989" s="3">
        <v>229.73</v>
      </c>
      <c r="J989" s="3">
        <v>113.79</v>
      </c>
      <c r="K989" s="3">
        <v>220.71</v>
      </c>
      <c r="L989" s="3"/>
      <c r="N989" s="4"/>
    </row>
    <row r="990" spans="1:14" ht="17.5" thickBot="1" x14ac:dyDescent="0.45">
      <c r="A990" s="4">
        <v>43847</v>
      </c>
      <c r="B990" s="3">
        <v>180.39</v>
      </c>
      <c r="C990" s="3">
        <v>254.06</v>
      </c>
      <c r="D990" s="3">
        <v>114.03</v>
      </c>
      <c r="E990" s="3">
        <v>1.2179</v>
      </c>
      <c r="F990" s="3">
        <v>267.51</v>
      </c>
      <c r="G990" s="3">
        <v>262.04000000000002</v>
      </c>
      <c r="H990" s="3">
        <v>192.37</v>
      </c>
      <c r="I990" s="3">
        <v>231.06</v>
      </c>
      <c r="J990" s="3">
        <v>113.79</v>
      </c>
      <c r="K990" s="3">
        <v>221.08</v>
      </c>
      <c r="L990" s="3"/>
      <c r="N990" s="4"/>
    </row>
    <row r="991" spans="1:14" ht="17.5" thickBot="1" x14ac:dyDescent="0.45">
      <c r="A991" s="4">
        <v>43848</v>
      </c>
      <c r="B991" s="3">
        <v>180.39</v>
      </c>
      <c r="C991" s="3">
        <v>254.06</v>
      </c>
      <c r="D991" s="3">
        <v>114.03</v>
      </c>
      <c r="E991" s="3">
        <v>1.2179</v>
      </c>
      <c r="F991" s="3">
        <v>267.51</v>
      </c>
      <c r="G991" s="3">
        <v>262.04000000000002</v>
      </c>
      <c r="H991" s="3">
        <v>192.37</v>
      </c>
      <c r="I991" s="3">
        <v>231.06</v>
      </c>
      <c r="J991" s="3">
        <v>113.79</v>
      </c>
      <c r="K991" s="3">
        <v>221.08</v>
      </c>
      <c r="L991" s="3"/>
      <c r="N991" s="4"/>
    </row>
    <row r="992" spans="1:14" ht="17.5" thickBot="1" x14ac:dyDescent="0.45">
      <c r="A992" s="4">
        <v>43849</v>
      </c>
      <c r="B992" s="3">
        <v>180.39</v>
      </c>
      <c r="C992" s="3">
        <v>254.06</v>
      </c>
      <c r="D992" s="3">
        <v>114.03</v>
      </c>
      <c r="E992" s="3">
        <v>1.2179</v>
      </c>
      <c r="F992" s="3">
        <v>267.51</v>
      </c>
      <c r="G992" s="3">
        <v>262.04000000000002</v>
      </c>
      <c r="H992" s="3">
        <v>192.37</v>
      </c>
      <c r="I992" s="3">
        <v>231.06</v>
      </c>
      <c r="J992" s="3">
        <v>113.79</v>
      </c>
      <c r="K992" s="3">
        <v>221.08</v>
      </c>
      <c r="L992" s="3"/>
      <c r="N992" s="4"/>
    </row>
    <row r="993" spans="1:14" ht="17.5" thickBot="1" x14ac:dyDescent="0.45">
      <c r="A993" s="4">
        <v>43850</v>
      </c>
      <c r="B993" s="3">
        <v>178.87</v>
      </c>
      <c r="C993" s="3">
        <v>254.24</v>
      </c>
      <c r="D993" s="3">
        <v>114.03</v>
      </c>
      <c r="E993" s="3">
        <v>1.2177</v>
      </c>
      <c r="F993" s="3">
        <v>266.73</v>
      </c>
      <c r="G993" s="3">
        <v>262.02</v>
      </c>
      <c r="H993" s="3">
        <v>191.89</v>
      </c>
      <c r="I993" s="3">
        <v>231.01</v>
      </c>
      <c r="J993" s="3">
        <v>113.79</v>
      </c>
      <c r="K993" s="3">
        <v>220.75</v>
      </c>
      <c r="L993" s="3"/>
      <c r="N993" s="4"/>
    </row>
    <row r="994" spans="1:14" ht="17.5" thickBot="1" x14ac:dyDescent="0.45">
      <c r="A994" s="4">
        <v>43851</v>
      </c>
      <c r="B994" s="3">
        <v>173.76</v>
      </c>
      <c r="C994" s="3">
        <v>252.4</v>
      </c>
      <c r="D994" s="3">
        <v>114.02</v>
      </c>
      <c r="E994" s="3">
        <v>1.2161999999999999</v>
      </c>
      <c r="F994" s="3">
        <v>263.74</v>
      </c>
      <c r="G994" s="3">
        <v>261.23</v>
      </c>
      <c r="H994" s="3">
        <v>189.86</v>
      </c>
      <c r="I994" s="3">
        <v>229.5</v>
      </c>
      <c r="J994" s="3">
        <v>113.79</v>
      </c>
      <c r="K994" s="3">
        <v>219.62</v>
      </c>
      <c r="L994" s="3"/>
      <c r="N994" s="4"/>
    </row>
    <row r="995" spans="1:14" ht="17.5" thickBot="1" x14ac:dyDescent="0.45">
      <c r="A995" s="4">
        <v>43852</v>
      </c>
      <c r="B995" s="3">
        <v>176.33</v>
      </c>
      <c r="C995" s="3">
        <v>253.46</v>
      </c>
      <c r="D995" s="3">
        <v>114.02</v>
      </c>
      <c r="E995" s="3">
        <v>1.2179</v>
      </c>
      <c r="F995" s="3">
        <v>265.32</v>
      </c>
      <c r="G995" s="3">
        <v>261.60000000000002</v>
      </c>
      <c r="H995" s="3">
        <v>190.92</v>
      </c>
      <c r="I995" s="3">
        <v>230.03</v>
      </c>
      <c r="J995" s="3">
        <v>113.79</v>
      </c>
      <c r="K995" s="3">
        <v>220.42</v>
      </c>
      <c r="L995" s="3"/>
      <c r="N995" s="4"/>
    </row>
    <row r="996" spans="1:14" ht="17.5" thickBot="1" x14ac:dyDescent="0.45">
      <c r="A996" s="4">
        <v>43853</v>
      </c>
      <c r="B996" s="3">
        <v>172.95</v>
      </c>
      <c r="C996" s="3">
        <v>251.59</v>
      </c>
      <c r="D996" s="3">
        <v>114.2</v>
      </c>
      <c r="E996" s="3">
        <v>1.2172000000000001</v>
      </c>
      <c r="F996" s="3">
        <v>263.01</v>
      </c>
      <c r="G996" s="3">
        <v>261.64999999999998</v>
      </c>
      <c r="H996" s="3">
        <v>189.29</v>
      </c>
      <c r="I996" s="3">
        <v>230.54</v>
      </c>
      <c r="J996" s="3">
        <v>113.79</v>
      </c>
      <c r="K996" s="3">
        <v>219.4</v>
      </c>
      <c r="L996" s="3"/>
      <c r="N996" s="4"/>
    </row>
    <row r="997" spans="1:14" ht="17.5" thickBot="1" x14ac:dyDescent="0.45">
      <c r="A997" s="4">
        <v>43854</v>
      </c>
      <c r="B997" s="3">
        <v>173.54</v>
      </c>
      <c r="C997" s="3">
        <v>251.57</v>
      </c>
      <c r="D997" s="3">
        <v>114.29</v>
      </c>
      <c r="E997" s="3">
        <v>1.2153</v>
      </c>
      <c r="F997" s="3">
        <v>262.87</v>
      </c>
      <c r="G997" s="3">
        <v>259.27999999999997</v>
      </c>
      <c r="H997" s="3">
        <v>189.24</v>
      </c>
      <c r="I997" s="3">
        <v>228.3</v>
      </c>
      <c r="J997" s="3">
        <v>113.79</v>
      </c>
      <c r="K997" s="3">
        <v>219.49</v>
      </c>
      <c r="L997" s="3"/>
      <c r="N997" s="4"/>
    </row>
    <row r="998" spans="1:14" ht="17.5" thickBot="1" x14ac:dyDescent="0.45">
      <c r="A998" s="4">
        <v>43855</v>
      </c>
      <c r="B998" s="3">
        <v>173.54</v>
      </c>
      <c r="C998" s="3">
        <v>251.57</v>
      </c>
      <c r="D998" s="3">
        <v>114.29</v>
      </c>
      <c r="E998" s="3">
        <v>1.2153</v>
      </c>
      <c r="F998" s="3">
        <v>262.87</v>
      </c>
      <c r="G998" s="3">
        <v>259.27999999999997</v>
      </c>
      <c r="H998" s="3">
        <v>189.24</v>
      </c>
      <c r="I998" s="3">
        <v>228.3</v>
      </c>
      <c r="J998" s="3">
        <v>113.79</v>
      </c>
      <c r="K998" s="3">
        <v>219.49</v>
      </c>
      <c r="L998" s="3"/>
      <c r="N998" s="4"/>
    </row>
    <row r="999" spans="1:14" ht="17.5" thickBot="1" x14ac:dyDescent="0.45">
      <c r="A999" s="4">
        <v>43856</v>
      </c>
      <c r="B999" s="3">
        <v>173.54</v>
      </c>
      <c r="C999" s="3">
        <v>251.57</v>
      </c>
      <c r="D999" s="3">
        <v>114.29</v>
      </c>
      <c r="E999" s="3">
        <v>1.2153</v>
      </c>
      <c r="F999" s="3">
        <v>262.87</v>
      </c>
      <c r="G999" s="3">
        <v>259.27999999999997</v>
      </c>
      <c r="H999" s="3">
        <v>189.24</v>
      </c>
      <c r="I999" s="3">
        <v>228.3</v>
      </c>
      <c r="J999" s="3">
        <v>113.79</v>
      </c>
      <c r="K999" s="3">
        <v>219.49</v>
      </c>
      <c r="L999" s="3"/>
      <c r="N999" s="4"/>
    </row>
    <row r="1000" spans="1:14" ht="17.5" thickBot="1" x14ac:dyDescent="0.45">
      <c r="A1000" s="4">
        <v>43857</v>
      </c>
      <c r="B1000" s="3">
        <v>173.54</v>
      </c>
      <c r="C1000" s="3">
        <v>251.57</v>
      </c>
      <c r="D1000" s="3">
        <v>114.29</v>
      </c>
      <c r="E1000" s="3">
        <v>1.2153</v>
      </c>
      <c r="F1000" s="3">
        <v>262.87</v>
      </c>
      <c r="G1000" s="3">
        <v>259.27999999999997</v>
      </c>
      <c r="H1000" s="3">
        <v>189.24</v>
      </c>
      <c r="I1000" s="3">
        <v>228.3</v>
      </c>
      <c r="J1000" s="3">
        <v>113.79</v>
      </c>
      <c r="K1000" s="3">
        <v>219.49</v>
      </c>
      <c r="L1000" s="3"/>
      <c r="N1000" s="4"/>
    </row>
    <row r="1001" spans="1:14" ht="17.5" thickBot="1" x14ac:dyDescent="0.45">
      <c r="A1001" s="4">
        <v>43858</v>
      </c>
      <c r="B1001" s="3">
        <v>173.54</v>
      </c>
      <c r="C1001" s="3">
        <v>251.57</v>
      </c>
      <c r="D1001" s="3">
        <v>114.29</v>
      </c>
      <c r="E1001" s="3">
        <v>1.2153</v>
      </c>
      <c r="F1001" s="3">
        <v>262.87</v>
      </c>
      <c r="G1001" s="3">
        <v>259.27999999999997</v>
      </c>
      <c r="H1001" s="3">
        <v>189.24</v>
      </c>
      <c r="I1001" s="3">
        <v>228.3</v>
      </c>
      <c r="J1001" s="3">
        <v>113.79</v>
      </c>
      <c r="K1001" s="3">
        <v>219.49</v>
      </c>
      <c r="L1001" s="3"/>
      <c r="N1001" s="4"/>
    </row>
    <row r="1002" spans="1:14" ht="17.5" thickBot="1" x14ac:dyDescent="0.45">
      <c r="A1002" s="4">
        <v>43859</v>
      </c>
      <c r="B1002" s="3">
        <v>168.44</v>
      </c>
      <c r="C1002" s="3">
        <v>246.86</v>
      </c>
      <c r="D1002" s="3">
        <v>114.1</v>
      </c>
      <c r="E1002" s="3">
        <v>1.2102999999999999</v>
      </c>
      <c r="F1002" s="3">
        <v>258.62</v>
      </c>
      <c r="G1002" s="3">
        <v>257.49</v>
      </c>
      <c r="H1002" s="3">
        <v>186.23</v>
      </c>
      <c r="I1002" s="3">
        <v>225.83</v>
      </c>
      <c r="J1002" s="3">
        <v>113.79</v>
      </c>
      <c r="K1002" s="3">
        <v>217.56</v>
      </c>
      <c r="L1002" s="3"/>
      <c r="N1002" s="4"/>
    </row>
    <row r="1003" spans="1:14" ht="17.5" thickBot="1" x14ac:dyDescent="0.45">
      <c r="A1003" s="4">
        <v>43860</v>
      </c>
      <c r="B1003" s="3">
        <v>164.32</v>
      </c>
      <c r="C1003" s="3">
        <v>239.94</v>
      </c>
      <c r="D1003" s="3">
        <v>114.1</v>
      </c>
      <c r="E1003" s="3">
        <v>1.2083999999999999</v>
      </c>
      <c r="F1003" s="3">
        <v>255.2</v>
      </c>
      <c r="G1003" s="3">
        <v>258.33999999999997</v>
      </c>
      <c r="H1003" s="3">
        <v>183.78</v>
      </c>
      <c r="I1003" s="3">
        <v>226.22</v>
      </c>
      <c r="J1003" s="3">
        <v>113.79</v>
      </c>
      <c r="K1003" s="3">
        <v>216.04</v>
      </c>
      <c r="L1003" s="3"/>
      <c r="N1003" s="4"/>
    </row>
    <row r="1004" spans="1:14" ht="17.5" thickBot="1" x14ac:dyDescent="0.45">
      <c r="A1004" s="4">
        <v>43861</v>
      </c>
      <c r="B1004" s="3">
        <v>163.32</v>
      </c>
      <c r="C1004" s="3">
        <v>238.98</v>
      </c>
      <c r="D1004" s="3">
        <v>114</v>
      </c>
      <c r="E1004" s="3">
        <v>1.2003999999999999</v>
      </c>
      <c r="F1004" s="3">
        <v>253.67</v>
      </c>
      <c r="G1004" s="3">
        <v>253.5</v>
      </c>
      <c r="H1004" s="3">
        <v>182.84</v>
      </c>
      <c r="I1004" s="3">
        <v>221.96</v>
      </c>
      <c r="J1004" s="3">
        <v>113.87</v>
      </c>
      <c r="K1004" s="3">
        <v>215.64</v>
      </c>
      <c r="L1004" s="3"/>
      <c r="N1004" s="4"/>
    </row>
    <row r="1005" spans="1:14" ht="17.5" thickBot="1" x14ac:dyDescent="0.45">
      <c r="A1005" s="4">
        <v>43862</v>
      </c>
      <c r="B1005" s="3">
        <v>163.32</v>
      </c>
      <c r="C1005" s="3">
        <v>238.98</v>
      </c>
      <c r="D1005" s="3">
        <v>114</v>
      </c>
      <c r="E1005" s="3">
        <v>1.2003999999999999</v>
      </c>
      <c r="F1005" s="3">
        <v>253.67</v>
      </c>
      <c r="G1005" s="3">
        <v>253.5</v>
      </c>
      <c r="H1005" s="3">
        <v>182.84</v>
      </c>
      <c r="I1005" s="3">
        <v>221.96</v>
      </c>
      <c r="J1005" s="3">
        <v>113.87</v>
      </c>
      <c r="K1005" s="3">
        <v>215.64</v>
      </c>
      <c r="L1005" s="3"/>
      <c r="N1005" s="4"/>
    </row>
    <row r="1006" spans="1:14" ht="17.5" thickBot="1" x14ac:dyDescent="0.45">
      <c r="A1006" s="4">
        <v>43863</v>
      </c>
      <c r="B1006" s="3">
        <v>163.32</v>
      </c>
      <c r="C1006" s="3">
        <v>238.98</v>
      </c>
      <c r="D1006" s="3">
        <v>114</v>
      </c>
      <c r="E1006" s="3">
        <v>1.2003999999999999</v>
      </c>
      <c r="F1006" s="3">
        <v>253.67</v>
      </c>
      <c r="G1006" s="3">
        <v>253.5</v>
      </c>
      <c r="H1006" s="3">
        <v>182.84</v>
      </c>
      <c r="I1006" s="3">
        <v>221.96</v>
      </c>
      <c r="J1006" s="3">
        <v>113.87</v>
      </c>
      <c r="K1006" s="3">
        <v>215.64</v>
      </c>
      <c r="L1006" s="3"/>
      <c r="N1006" s="4"/>
    </row>
    <row r="1007" spans="1:14" ht="17.5" thickBot="1" x14ac:dyDescent="0.45">
      <c r="A1007" s="4">
        <v>43864</v>
      </c>
      <c r="B1007" s="3">
        <v>163.31</v>
      </c>
      <c r="C1007" s="3">
        <v>235.63</v>
      </c>
      <c r="D1007" s="3">
        <v>114.09</v>
      </c>
      <c r="E1007" s="3">
        <v>1.2030000000000001</v>
      </c>
      <c r="F1007" s="3">
        <v>253.66</v>
      </c>
      <c r="G1007" s="3">
        <v>255.19</v>
      </c>
      <c r="H1007" s="3">
        <v>182.7</v>
      </c>
      <c r="I1007" s="3">
        <v>223.93</v>
      </c>
      <c r="J1007" s="3">
        <v>113.87</v>
      </c>
      <c r="K1007" s="3">
        <v>215.41</v>
      </c>
      <c r="L1007" s="3"/>
      <c r="N1007" s="4"/>
    </row>
    <row r="1008" spans="1:14" ht="17.5" thickBot="1" x14ac:dyDescent="0.45">
      <c r="A1008" s="4">
        <v>43865</v>
      </c>
      <c r="B1008" s="3">
        <v>165.57</v>
      </c>
      <c r="C1008" s="3">
        <v>240.86</v>
      </c>
      <c r="D1008" s="3">
        <v>114.08</v>
      </c>
      <c r="E1008" s="3">
        <v>1.2114</v>
      </c>
      <c r="F1008" s="3">
        <v>257.11</v>
      </c>
      <c r="G1008" s="3">
        <v>258.67</v>
      </c>
      <c r="H1008" s="3">
        <v>185.07</v>
      </c>
      <c r="I1008" s="3">
        <v>227.29</v>
      </c>
      <c r="J1008" s="3">
        <v>113.87</v>
      </c>
      <c r="K1008" s="3">
        <v>216.77</v>
      </c>
      <c r="L1008" s="3"/>
      <c r="N1008" s="4"/>
    </row>
    <row r="1009" spans="1:14" ht="17.5" thickBot="1" x14ac:dyDescent="0.45">
      <c r="A1009" s="4">
        <v>43866</v>
      </c>
      <c r="B1009" s="3">
        <v>166.21</v>
      </c>
      <c r="C1009" s="3">
        <v>242.57</v>
      </c>
      <c r="D1009" s="3">
        <v>113.9</v>
      </c>
      <c r="E1009" s="3">
        <v>1.2165999999999999</v>
      </c>
      <c r="F1009" s="3">
        <v>258.82</v>
      </c>
      <c r="G1009" s="3">
        <v>261.89999999999998</v>
      </c>
      <c r="H1009" s="3">
        <v>186.27</v>
      </c>
      <c r="I1009" s="3">
        <v>229.45</v>
      </c>
      <c r="J1009" s="3">
        <v>113.87</v>
      </c>
      <c r="K1009" s="3">
        <v>217.33</v>
      </c>
      <c r="L1009" s="3"/>
      <c r="N1009" s="4"/>
    </row>
    <row r="1010" spans="1:14" ht="17.5" thickBot="1" x14ac:dyDescent="0.45">
      <c r="A1010" s="4">
        <v>43867</v>
      </c>
      <c r="B1010" s="3">
        <v>170.76</v>
      </c>
      <c r="C1010" s="3">
        <v>246.82</v>
      </c>
      <c r="D1010" s="3">
        <v>113.72</v>
      </c>
      <c r="E1010" s="3">
        <v>1.2212000000000001</v>
      </c>
      <c r="F1010" s="3">
        <v>261.8</v>
      </c>
      <c r="G1010" s="3">
        <v>262.64</v>
      </c>
      <c r="H1010" s="3">
        <v>188.36</v>
      </c>
      <c r="I1010" s="3">
        <v>229.66</v>
      </c>
      <c r="J1010" s="3">
        <v>113.87</v>
      </c>
      <c r="K1010" s="3">
        <v>218.7</v>
      </c>
      <c r="L1010" s="3"/>
      <c r="N1010" s="4"/>
    </row>
    <row r="1011" spans="1:14" ht="17.5" thickBot="1" x14ac:dyDescent="0.45">
      <c r="A1011" s="4">
        <v>43868</v>
      </c>
      <c r="B1011" s="3">
        <v>169.9</v>
      </c>
      <c r="C1011" s="3">
        <v>243.97</v>
      </c>
      <c r="D1011" s="3">
        <v>113.62</v>
      </c>
      <c r="E1011" s="3">
        <v>1.2189000000000001</v>
      </c>
      <c r="F1011" s="3">
        <v>260.77999999999997</v>
      </c>
      <c r="G1011" s="3">
        <v>261.25</v>
      </c>
      <c r="H1011" s="3">
        <v>187.64</v>
      </c>
      <c r="I1011" s="3">
        <v>228.22</v>
      </c>
      <c r="J1011" s="3">
        <v>113.87</v>
      </c>
      <c r="K1011" s="3">
        <v>218.41</v>
      </c>
      <c r="L1011" s="3"/>
      <c r="N1011" s="4"/>
    </row>
    <row r="1012" spans="1:14" ht="17.5" thickBot="1" x14ac:dyDescent="0.45">
      <c r="A1012" s="4">
        <v>43869</v>
      </c>
      <c r="B1012" s="3">
        <v>169.9</v>
      </c>
      <c r="C1012" s="3">
        <v>243.97</v>
      </c>
      <c r="D1012" s="3">
        <v>113.62</v>
      </c>
      <c r="E1012" s="3">
        <v>1.2189000000000001</v>
      </c>
      <c r="F1012" s="3">
        <v>260.77999999999997</v>
      </c>
      <c r="G1012" s="3">
        <v>261.25</v>
      </c>
      <c r="H1012" s="3">
        <v>187.64</v>
      </c>
      <c r="I1012" s="3">
        <v>228.22</v>
      </c>
      <c r="J1012" s="3">
        <v>113.87</v>
      </c>
      <c r="K1012" s="3">
        <v>218.41</v>
      </c>
      <c r="L1012" s="3"/>
      <c r="N1012" s="4"/>
    </row>
    <row r="1013" spans="1:14" ht="17.5" thickBot="1" x14ac:dyDescent="0.45">
      <c r="A1013" s="4">
        <v>43870</v>
      </c>
      <c r="B1013" s="3">
        <v>169.9</v>
      </c>
      <c r="C1013" s="3">
        <v>243.97</v>
      </c>
      <c r="D1013" s="3">
        <v>113.62</v>
      </c>
      <c r="E1013" s="3">
        <v>1.2189000000000001</v>
      </c>
      <c r="F1013" s="3">
        <v>260.77999999999997</v>
      </c>
      <c r="G1013" s="3">
        <v>261.25</v>
      </c>
      <c r="H1013" s="3">
        <v>187.64</v>
      </c>
      <c r="I1013" s="3">
        <v>228.22</v>
      </c>
      <c r="J1013" s="3">
        <v>113.87</v>
      </c>
      <c r="K1013" s="3">
        <v>218.41</v>
      </c>
      <c r="L1013" s="3"/>
      <c r="N1013" s="4"/>
    </row>
    <row r="1014" spans="1:14" ht="17.5" thickBot="1" x14ac:dyDescent="0.45">
      <c r="A1014" s="4">
        <v>43871</v>
      </c>
      <c r="B1014" s="3">
        <v>168.96</v>
      </c>
      <c r="C1014" s="3">
        <v>243.17</v>
      </c>
      <c r="D1014" s="3">
        <v>113.71</v>
      </c>
      <c r="E1014" s="3">
        <v>1.2217</v>
      </c>
      <c r="F1014" s="3">
        <v>260.22000000000003</v>
      </c>
      <c r="G1014" s="3">
        <v>262.95</v>
      </c>
      <c r="H1014" s="3">
        <v>187.21</v>
      </c>
      <c r="I1014" s="3">
        <v>229.5</v>
      </c>
      <c r="J1014" s="3">
        <v>113.87</v>
      </c>
      <c r="K1014" s="3">
        <v>218.14</v>
      </c>
      <c r="L1014" s="3"/>
      <c r="N1014" s="4"/>
    </row>
    <row r="1015" spans="1:14" ht="17.5" thickBot="1" x14ac:dyDescent="0.45">
      <c r="A1015" s="4">
        <v>43872</v>
      </c>
      <c r="B1015" s="3">
        <v>171.15</v>
      </c>
      <c r="C1015" s="3">
        <v>245.28</v>
      </c>
      <c r="D1015" s="3">
        <v>113.98</v>
      </c>
      <c r="E1015" s="3">
        <v>1.2238</v>
      </c>
      <c r="F1015" s="3">
        <v>261.99</v>
      </c>
      <c r="G1015" s="3">
        <v>263.39999999999998</v>
      </c>
      <c r="H1015" s="3">
        <v>188.42</v>
      </c>
      <c r="I1015" s="3">
        <v>230.46</v>
      </c>
      <c r="J1015" s="3">
        <v>113.87</v>
      </c>
      <c r="K1015" s="3">
        <v>218.88</v>
      </c>
      <c r="L1015" s="3"/>
      <c r="N1015" s="4"/>
    </row>
    <row r="1016" spans="1:14" ht="17.5" thickBot="1" x14ac:dyDescent="0.45">
      <c r="A1016" s="4">
        <v>43873</v>
      </c>
      <c r="B1016" s="3">
        <v>172.88</v>
      </c>
      <c r="C1016" s="3">
        <v>247.53</v>
      </c>
      <c r="D1016" s="3">
        <v>114.07</v>
      </c>
      <c r="E1016" s="3">
        <v>1.2281</v>
      </c>
      <c r="F1016" s="3">
        <v>263.89999999999998</v>
      </c>
      <c r="G1016" s="3">
        <v>265.19</v>
      </c>
      <c r="H1016" s="3">
        <v>189.73</v>
      </c>
      <c r="I1016" s="3">
        <v>232.05</v>
      </c>
      <c r="J1016" s="3">
        <v>113.87</v>
      </c>
      <c r="K1016" s="3">
        <v>219.7</v>
      </c>
      <c r="L1016" s="3"/>
      <c r="N1016" s="4"/>
    </row>
    <row r="1017" spans="1:14" ht="17.5" thickBot="1" x14ac:dyDescent="0.45">
      <c r="A1017" s="4">
        <v>43874</v>
      </c>
      <c r="B1017" s="3">
        <v>172.29</v>
      </c>
      <c r="C1017" s="3">
        <v>247.06</v>
      </c>
      <c r="D1017" s="3">
        <v>113.97</v>
      </c>
      <c r="E1017" s="3">
        <v>1.2263999999999999</v>
      </c>
      <c r="F1017" s="3">
        <v>263.31</v>
      </c>
      <c r="G1017" s="3">
        <v>264.58</v>
      </c>
      <c r="H1017" s="3">
        <v>189.29</v>
      </c>
      <c r="I1017" s="3">
        <v>231.31</v>
      </c>
      <c r="J1017" s="3">
        <v>113.87</v>
      </c>
      <c r="K1017" s="3">
        <v>219.34</v>
      </c>
      <c r="L1017" s="3"/>
      <c r="N1017" s="4"/>
    </row>
    <row r="1018" spans="1:14" ht="17.5" thickBot="1" x14ac:dyDescent="0.45">
      <c r="A1018" s="4">
        <v>43875</v>
      </c>
      <c r="B1018" s="3">
        <v>172.63</v>
      </c>
      <c r="C1018" s="3">
        <v>247.32</v>
      </c>
      <c r="D1018" s="3">
        <v>113.97</v>
      </c>
      <c r="E1018" s="3">
        <v>1.2271000000000001</v>
      </c>
      <c r="F1018" s="3">
        <v>263.58999999999997</v>
      </c>
      <c r="G1018" s="3">
        <v>265.17</v>
      </c>
      <c r="H1018" s="3">
        <v>189.45</v>
      </c>
      <c r="I1018" s="3">
        <v>231.66</v>
      </c>
      <c r="J1018" s="3">
        <v>113.87</v>
      </c>
      <c r="K1018" s="3">
        <v>219.51</v>
      </c>
      <c r="L1018" s="3"/>
      <c r="N1018" s="4"/>
    </row>
    <row r="1019" spans="1:14" ht="17.5" thickBot="1" x14ac:dyDescent="0.45">
      <c r="A1019" s="4">
        <v>43876</v>
      </c>
      <c r="B1019" s="3">
        <v>172.63</v>
      </c>
      <c r="C1019" s="3">
        <v>247.32</v>
      </c>
      <c r="D1019" s="3">
        <v>113.97</v>
      </c>
      <c r="E1019" s="3">
        <v>1.2271000000000001</v>
      </c>
      <c r="F1019" s="3">
        <v>263.58999999999997</v>
      </c>
      <c r="G1019" s="3">
        <v>265.17</v>
      </c>
      <c r="H1019" s="3">
        <v>189.45</v>
      </c>
      <c r="I1019" s="3">
        <v>231.66</v>
      </c>
      <c r="J1019" s="3">
        <v>113.87</v>
      </c>
      <c r="K1019" s="3">
        <v>219.51</v>
      </c>
      <c r="L1019" s="3"/>
      <c r="N1019" s="4"/>
    </row>
    <row r="1020" spans="1:14" ht="17.5" thickBot="1" x14ac:dyDescent="0.45">
      <c r="A1020" s="4">
        <v>43877</v>
      </c>
      <c r="B1020" s="3">
        <v>172.63</v>
      </c>
      <c r="C1020" s="3">
        <v>247.32</v>
      </c>
      <c r="D1020" s="3">
        <v>113.97</v>
      </c>
      <c r="E1020" s="3">
        <v>1.2271000000000001</v>
      </c>
      <c r="F1020" s="3">
        <v>263.58999999999997</v>
      </c>
      <c r="G1020" s="3">
        <v>265.17</v>
      </c>
      <c r="H1020" s="3">
        <v>189.45</v>
      </c>
      <c r="I1020" s="3">
        <v>231.66</v>
      </c>
      <c r="J1020" s="3">
        <v>113.87</v>
      </c>
      <c r="K1020" s="3">
        <v>219.51</v>
      </c>
      <c r="L1020" s="3"/>
      <c r="N1020" s="4"/>
    </row>
    <row r="1021" spans="1:14" ht="17.5" thickBot="1" x14ac:dyDescent="0.45">
      <c r="A1021" s="4">
        <v>43878</v>
      </c>
      <c r="B1021" s="3">
        <v>173.64</v>
      </c>
      <c r="C1021" s="3">
        <v>246.58</v>
      </c>
      <c r="D1021" s="3">
        <v>114.06</v>
      </c>
      <c r="E1021" s="3">
        <v>1.2271000000000001</v>
      </c>
      <c r="F1021" s="3">
        <v>263.87</v>
      </c>
      <c r="G1021" s="3">
        <v>265.22000000000003</v>
      </c>
      <c r="H1021" s="3">
        <v>189.59</v>
      </c>
      <c r="I1021" s="3">
        <v>231.63</v>
      </c>
      <c r="J1021" s="3">
        <v>113.87</v>
      </c>
      <c r="K1021" s="3">
        <v>219.59</v>
      </c>
      <c r="L1021" s="3"/>
      <c r="N1021" s="4"/>
    </row>
    <row r="1022" spans="1:14" ht="17.5" thickBot="1" x14ac:dyDescent="0.45">
      <c r="A1022" s="4">
        <v>43879</v>
      </c>
      <c r="B1022" s="3">
        <v>170.91</v>
      </c>
      <c r="C1022" s="3">
        <v>243.45</v>
      </c>
      <c r="D1022" s="3">
        <v>114.15</v>
      </c>
      <c r="E1022" s="3">
        <v>1.2242</v>
      </c>
      <c r="F1022" s="3">
        <v>261.49</v>
      </c>
      <c r="G1022" s="3">
        <v>264.60000000000002</v>
      </c>
      <c r="H1022" s="3">
        <v>187.89</v>
      </c>
      <c r="I1022" s="3">
        <v>230.76</v>
      </c>
      <c r="J1022" s="3">
        <v>113.87</v>
      </c>
      <c r="K1022" s="3">
        <v>218.53</v>
      </c>
      <c r="L1022" s="3"/>
      <c r="N1022" s="4"/>
    </row>
    <row r="1023" spans="1:14" ht="17.5" thickBot="1" x14ac:dyDescent="0.45">
      <c r="A1023" s="4">
        <v>43880</v>
      </c>
      <c r="B1023" s="3">
        <v>171.93</v>
      </c>
      <c r="C1023" s="3">
        <v>245.55</v>
      </c>
      <c r="D1023" s="3">
        <v>114.05</v>
      </c>
      <c r="E1023" s="3">
        <v>1.228</v>
      </c>
      <c r="F1023" s="3">
        <v>262.44</v>
      </c>
      <c r="G1023" s="3">
        <v>265.81</v>
      </c>
      <c r="H1023" s="3">
        <v>188.53</v>
      </c>
      <c r="I1023" s="3">
        <v>232.11</v>
      </c>
      <c r="J1023" s="3">
        <v>113.87</v>
      </c>
      <c r="K1023" s="3">
        <v>218.83</v>
      </c>
      <c r="L1023" s="3"/>
      <c r="N1023" s="4"/>
    </row>
    <row r="1024" spans="1:14" ht="17.5" thickBot="1" x14ac:dyDescent="0.45">
      <c r="A1024" s="4">
        <v>43881</v>
      </c>
      <c r="B1024" s="3">
        <v>171.46</v>
      </c>
      <c r="C1024" s="3">
        <v>243.72</v>
      </c>
      <c r="D1024" s="3">
        <v>113.87</v>
      </c>
      <c r="E1024" s="3">
        <v>1.2264999999999999</v>
      </c>
      <c r="F1024" s="3">
        <v>261.83999999999997</v>
      </c>
      <c r="G1024" s="3">
        <v>265.29000000000002</v>
      </c>
      <c r="H1024" s="3">
        <v>188.06</v>
      </c>
      <c r="I1024" s="3">
        <v>230.71</v>
      </c>
      <c r="J1024" s="3">
        <v>113.94</v>
      </c>
      <c r="K1024" s="3">
        <v>218.72</v>
      </c>
      <c r="L1024" s="3"/>
      <c r="N1024" s="4"/>
    </row>
    <row r="1025" spans="1:14" ht="17.5" thickBot="1" x14ac:dyDescent="0.45">
      <c r="A1025" s="4">
        <v>43882</v>
      </c>
      <c r="B1025" s="3">
        <v>169.85</v>
      </c>
      <c r="C1025" s="3">
        <v>242.16</v>
      </c>
      <c r="D1025" s="3">
        <v>113.96</v>
      </c>
      <c r="E1025" s="3">
        <v>1.2225999999999999</v>
      </c>
      <c r="F1025" s="3">
        <v>260.3</v>
      </c>
      <c r="G1025" s="3">
        <v>262.49</v>
      </c>
      <c r="H1025" s="3">
        <v>187.08</v>
      </c>
      <c r="I1025" s="3">
        <v>228.53</v>
      </c>
      <c r="J1025" s="3">
        <v>113.94</v>
      </c>
      <c r="K1025" s="3">
        <v>218.37</v>
      </c>
      <c r="L1025" s="3"/>
      <c r="N1025" s="4"/>
    </row>
    <row r="1026" spans="1:14" ht="17.5" thickBot="1" x14ac:dyDescent="0.45">
      <c r="A1026" s="4">
        <v>43883</v>
      </c>
      <c r="B1026" s="3">
        <v>169.85</v>
      </c>
      <c r="C1026" s="3">
        <v>242.16</v>
      </c>
      <c r="D1026" s="3">
        <v>113.96</v>
      </c>
      <c r="E1026" s="3">
        <v>1.2225999999999999</v>
      </c>
      <c r="F1026" s="3">
        <v>260.3</v>
      </c>
      <c r="G1026" s="3">
        <v>262.49</v>
      </c>
      <c r="H1026" s="3">
        <v>187.08</v>
      </c>
      <c r="I1026" s="3">
        <v>228.53</v>
      </c>
      <c r="J1026" s="3">
        <v>113.94</v>
      </c>
      <c r="K1026" s="3">
        <v>218.37</v>
      </c>
      <c r="L1026" s="3"/>
      <c r="N1026" s="4"/>
    </row>
    <row r="1027" spans="1:14" ht="17.5" thickBot="1" x14ac:dyDescent="0.45">
      <c r="A1027" s="4">
        <v>43884</v>
      </c>
      <c r="B1027" s="3">
        <v>169.85</v>
      </c>
      <c r="C1027" s="3">
        <v>242.16</v>
      </c>
      <c r="D1027" s="3">
        <v>113.96</v>
      </c>
      <c r="E1027" s="3">
        <v>1.2225999999999999</v>
      </c>
      <c r="F1027" s="3">
        <v>260.3</v>
      </c>
      <c r="G1027" s="3">
        <v>262.49</v>
      </c>
      <c r="H1027" s="3">
        <v>187.08</v>
      </c>
      <c r="I1027" s="3">
        <v>228.53</v>
      </c>
      <c r="J1027" s="3">
        <v>113.94</v>
      </c>
      <c r="K1027" s="3">
        <v>218.37</v>
      </c>
      <c r="L1027" s="3"/>
      <c r="N1027" s="4"/>
    </row>
    <row r="1028" spans="1:14" ht="17.5" thickBot="1" x14ac:dyDescent="0.45">
      <c r="A1028" s="4">
        <v>43885</v>
      </c>
      <c r="B1028" s="3">
        <v>167</v>
      </c>
      <c r="C1028" s="3">
        <v>235.35</v>
      </c>
      <c r="D1028" s="3">
        <v>114.04</v>
      </c>
      <c r="E1028" s="3">
        <v>1.2034</v>
      </c>
      <c r="F1028" s="3">
        <v>254.47</v>
      </c>
      <c r="G1028" s="3">
        <v>254.11</v>
      </c>
      <c r="H1028" s="3">
        <v>183.19</v>
      </c>
      <c r="I1028" s="3">
        <v>220.53</v>
      </c>
      <c r="J1028" s="3">
        <v>113.94</v>
      </c>
      <c r="K1028" s="3">
        <v>215.93</v>
      </c>
      <c r="L1028" s="3"/>
      <c r="N1028" s="4"/>
    </row>
    <row r="1029" spans="1:14" ht="17.5" thickBot="1" x14ac:dyDescent="0.45">
      <c r="A1029" s="4">
        <v>43886</v>
      </c>
      <c r="B1029" s="3">
        <v>167.18</v>
      </c>
      <c r="C1029" s="3">
        <v>230.51</v>
      </c>
      <c r="D1029" s="3">
        <v>113.95</v>
      </c>
      <c r="E1029" s="3">
        <v>1.1878</v>
      </c>
      <c r="F1029" s="3">
        <v>249.59</v>
      </c>
      <c r="G1029" s="3">
        <v>246.42</v>
      </c>
      <c r="H1029" s="3">
        <v>180.07</v>
      </c>
      <c r="I1029" s="3">
        <v>214.37</v>
      </c>
      <c r="J1029" s="3">
        <v>113.94</v>
      </c>
      <c r="K1029" s="3">
        <v>213.93</v>
      </c>
      <c r="L1029" s="3"/>
      <c r="N1029" s="4"/>
    </row>
    <row r="1030" spans="1:14" ht="17.5" thickBot="1" x14ac:dyDescent="0.45">
      <c r="A1030" s="4">
        <v>43887</v>
      </c>
      <c r="B1030" s="3">
        <v>166.25</v>
      </c>
      <c r="C1030" s="3">
        <v>230.5</v>
      </c>
      <c r="D1030" s="3">
        <v>114.04</v>
      </c>
      <c r="E1030" s="3">
        <v>1.1833</v>
      </c>
      <c r="F1030" s="3">
        <v>249.98</v>
      </c>
      <c r="G1030" s="3">
        <v>245.25</v>
      </c>
      <c r="H1030" s="3">
        <v>179.98</v>
      </c>
      <c r="I1030" s="3">
        <v>213.21</v>
      </c>
      <c r="J1030" s="3">
        <v>113.94</v>
      </c>
      <c r="K1030" s="3">
        <v>213.66</v>
      </c>
      <c r="L1030" s="3"/>
      <c r="N1030" s="4"/>
    </row>
    <row r="1031" spans="1:14" ht="17.5" thickBot="1" x14ac:dyDescent="0.45">
      <c r="A1031" s="4">
        <v>43888</v>
      </c>
      <c r="B1031" s="3">
        <v>167.54</v>
      </c>
      <c r="C1031" s="3">
        <v>228.58</v>
      </c>
      <c r="D1031" s="3">
        <v>114.22</v>
      </c>
      <c r="E1031" s="3">
        <v>1.1611</v>
      </c>
      <c r="F1031" s="3">
        <v>244.66</v>
      </c>
      <c r="G1031" s="3">
        <v>234.64</v>
      </c>
      <c r="H1031" s="3">
        <v>177.18</v>
      </c>
      <c r="I1031" s="3">
        <v>204.12</v>
      </c>
      <c r="J1031" s="3">
        <v>113.94</v>
      </c>
      <c r="K1031" s="3">
        <v>211.69</v>
      </c>
      <c r="L1031" s="3"/>
      <c r="N1031" s="4"/>
    </row>
    <row r="1032" spans="1:14" ht="17.5" thickBot="1" x14ac:dyDescent="0.45">
      <c r="A1032" s="4">
        <v>43889</v>
      </c>
      <c r="B1032" s="3">
        <v>163.30000000000001</v>
      </c>
      <c r="C1032" s="3">
        <v>221.22</v>
      </c>
      <c r="D1032" s="3">
        <v>114.22</v>
      </c>
      <c r="E1032" s="3">
        <v>1.1520999999999999</v>
      </c>
      <c r="F1032" s="3">
        <v>241.03</v>
      </c>
      <c r="G1032" s="3">
        <v>232.7</v>
      </c>
      <c r="H1032" s="3">
        <v>174.78</v>
      </c>
      <c r="I1032" s="3">
        <v>202.69</v>
      </c>
      <c r="J1032" s="3">
        <v>113.94</v>
      </c>
      <c r="K1032" s="3">
        <v>210.02</v>
      </c>
      <c r="L1032" s="3"/>
      <c r="N1032" s="4"/>
    </row>
    <row r="1033" spans="1:14" ht="17.5" thickBot="1" x14ac:dyDescent="0.45">
      <c r="A1033" s="4">
        <v>43890</v>
      </c>
      <c r="B1033" s="3">
        <v>163.30000000000001</v>
      </c>
      <c r="C1033" s="3">
        <v>221.22</v>
      </c>
      <c r="D1033" s="3">
        <v>114.22</v>
      </c>
      <c r="E1033" s="3">
        <v>1.1520999999999999</v>
      </c>
      <c r="F1033" s="3">
        <v>241.03</v>
      </c>
      <c r="G1033" s="3">
        <v>232.7</v>
      </c>
      <c r="H1033" s="3">
        <v>174.78</v>
      </c>
      <c r="I1033" s="3">
        <v>202.69</v>
      </c>
      <c r="J1033" s="3">
        <v>113.94</v>
      </c>
      <c r="K1033" s="3">
        <v>210.02</v>
      </c>
      <c r="L1033" s="3"/>
      <c r="N1033" s="4"/>
    </row>
    <row r="1034" spans="1:14" ht="17.5" thickBot="1" x14ac:dyDescent="0.45">
      <c r="A1034" s="4">
        <v>43891</v>
      </c>
      <c r="B1034" s="3">
        <v>163.30000000000001</v>
      </c>
      <c r="C1034" s="3">
        <v>221.22</v>
      </c>
      <c r="D1034" s="3">
        <v>114.22</v>
      </c>
      <c r="E1034" s="3">
        <v>1.1520999999999999</v>
      </c>
      <c r="F1034" s="3">
        <v>241.03</v>
      </c>
      <c r="G1034" s="3">
        <v>232.7</v>
      </c>
      <c r="H1034" s="3">
        <v>174.78</v>
      </c>
      <c r="I1034" s="3">
        <v>202.69</v>
      </c>
      <c r="J1034" s="3">
        <v>113.94</v>
      </c>
      <c r="K1034" s="3">
        <v>210.02</v>
      </c>
      <c r="L1034" s="3"/>
      <c r="N1034" s="4"/>
    </row>
    <row r="1035" spans="1:14" ht="17.5" thickBot="1" x14ac:dyDescent="0.45">
      <c r="A1035" s="4">
        <v>43892</v>
      </c>
      <c r="B1035" s="3">
        <v>164.64</v>
      </c>
      <c r="C1035" s="3">
        <v>225.68</v>
      </c>
      <c r="D1035" s="3">
        <v>114.76</v>
      </c>
      <c r="E1035" s="3">
        <v>1.1727000000000001</v>
      </c>
      <c r="F1035" s="3">
        <v>245.09</v>
      </c>
      <c r="G1035" s="3">
        <v>243.26</v>
      </c>
      <c r="H1035" s="3">
        <v>177.1</v>
      </c>
      <c r="I1035" s="3">
        <v>211.62</v>
      </c>
      <c r="J1035" s="3">
        <v>113.94</v>
      </c>
      <c r="K1035" s="3">
        <v>212.16</v>
      </c>
      <c r="L1035" s="3"/>
      <c r="N1035" s="4"/>
    </row>
    <row r="1036" spans="1:14" ht="17.5" thickBot="1" x14ac:dyDescent="0.45">
      <c r="A1036" s="4">
        <v>43893</v>
      </c>
      <c r="B1036" s="3">
        <v>164.52</v>
      </c>
      <c r="C1036" s="3">
        <v>224.62</v>
      </c>
      <c r="D1036" s="3">
        <v>114.75</v>
      </c>
      <c r="E1036" s="3">
        <v>1.1639999999999999</v>
      </c>
      <c r="F1036" s="3">
        <v>244.06</v>
      </c>
      <c r="G1036" s="3">
        <v>236.06</v>
      </c>
      <c r="H1036" s="3">
        <v>176.71</v>
      </c>
      <c r="I1036" s="3">
        <v>206.05</v>
      </c>
      <c r="J1036" s="3">
        <v>113.94</v>
      </c>
      <c r="K1036" s="3">
        <v>211.89</v>
      </c>
      <c r="L1036" s="3"/>
      <c r="N1036" s="4"/>
    </row>
    <row r="1037" spans="1:14" ht="17.5" thickBot="1" x14ac:dyDescent="0.45">
      <c r="A1037" s="4">
        <v>43894</v>
      </c>
      <c r="B1037" s="3">
        <v>164.33</v>
      </c>
      <c r="C1037" s="3">
        <v>225.81</v>
      </c>
      <c r="D1037" s="3">
        <v>115.67</v>
      </c>
      <c r="E1037" s="3">
        <v>1.1830000000000001</v>
      </c>
      <c r="F1037" s="3">
        <v>246.84</v>
      </c>
      <c r="G1037" s="3">
        <v>245.89</v>
      </c>
      <c r="H1037" s="3">
        <v>178.15</v>
      </c>
      <c r="I1037" s="3">
        <v>213.81</v>
      </c>
      <c r="J1037" s="3">
        <v>113.94</v>
      </c>
      <c r="K1037" s="3">
        <v>213.37</v>
      </c>
      <c r="L1037" s="3"/>
      <c r="N1037" s="4"/>
    </row>
    <row r="1038" spans="1:14" ht="17.5" thickBot="1" x14ac:dyDescent="0.45">
      <c r="A1038" s="4">
        <v>43895</v>
      </c>
      <c r="B1038" s="3">
        <v>167.35</v>
      </c>
      <c r="C1038" s="3">
        <v>227.75</v>
      </c>
      <c r="D1038" s="3">
        <v>115.57</v>
      </c>
      <c r="E1038" s="3">
        <v>1.1701999999999999</v>
      </c>
      <c r="F1038" s="3">
        <v>246.75</v>
      </c>
      <c r="G1038" s="3">
        <v>238.06</v>
      </c>
      <c r="H1038" s="3">
        <v>178.24</v>
      </c>
      <c r="I1038" s="3">
        <v>205.91</v>
      </c>
      <c r="J1038" s="3">
        <v>113.94</v>
      </c>
      <c r="K1038" s="3">
        <v>213.57</v>
      </c>
      <c r="L1038" s="3"/>
      <c r="N1038" s="4"/>
    </row>
    <row r="1039" spans="1:14" ht="17.5" thickBot="1" x14ac:dyDescent="0.45">
      <c r="A1039" s="4">
        <v>43896</v>
      </c>
      <c r="B1039" s="3">
        <v>163.96</v>
      </c>
      <c r="C1039" s="3">
        <v>221.67</v>
      </c>
      <c r="D1039" s="3">
        <v>115.93</v>
      </c>
      <c r="E1039" s="3">
        <v>1.1608000000000001</v>
      </c>
      <c r="F1039" s="3">
        <v>242.24</v>
      </c>
      <c r="G1039" s="3">
        <v>234.28</v>
      </c>
      <c r="H1039" s="3">
        <v>176.47</v>
      </c>
      <c r="I1039" s="3">
        <v>201.67</v>
      </c>
      <c r="J1039" s="3">
        <v>113.94</v>
      </c>
      <c r="K1039" s="3">
        <v>212.12</v>
      </c>
      <c r="L1039" s="3"/>
      <c r="N1039" s="4"/>
    </row>
    <row r="1040" spans="1:14" ht="17.5" thickBot="1" x14ac:dyDescent="0.45">
      <c r="A1040" s="4">
        <v>43897</v>
      </c>
      <c r="B1040" s="3">
        <v>163.96</v>
      </c>
      <c r="C1040" s="3">
        <v>221.67</v>
      </c>
      <c r="D1040" s="3">
        <v>115.93</v>
      </c>
      <c r="E1040" s="3">
        <v>1.1608000000000001</v>
      </c>
      <c r="F1040" s="3">
        <v>242.24</v>
      </c>
      <c r="G1040" s="3">
        <v>234.28</v>
      </c>
      <c r="H1040" s="3">
        <v>176.47</v>
      </c>
      <c r="I1040" s="3">
        <v>201.67</v>
      </c>
      <c r="J1040" s="3">
        <v>113.94</v>
      </c>
      <c r="K1040" s="3">
        <v>212.12</v>
      </c>
      <c r="L1040" s="3"/>
      <c r="N1040" s="4"/>
    </row>
    <row r="1041" spans="1:14" ht="17.5" thickBot="1" x14ac:dyDescent="0.45">
      <c r="A1041" s="4">
        <v>43898</v>
      </c>
      <c r="B1041" s="3">
        <v>163.96</v>
      </c>
      <c r="C1041" s="3">
        <v>221.67</v>
      </c>
      <c r="D1041" s="3">
        <v>115.93</v>
      </c>
      <c r="E1041" s="3">
        <v>1.1608000000000001</v>
      </c>
      <c r="F1041" s="3">
        <v>242.24</v>
      </c>
      <c r="G1041" s="3">
        <v>234.28</v>
      </c>
      <c r="H1041" s="3">
        <v>176.47</v>
      </c>
      <c r="I1041" s="3">
        <v>201.67</v>
      </c>
      <c r="J1041" s="3">
        <v>113.94</v>
      </c>
      <c r="K1041" s="3">
        <v>212.12</v>
      </c>
      <c r="L1041" s="3"/>
      <c r="N1041" s="4"/>
    </row>
    <row r="1042" spans="1:14" ht="17.5" thickBot="1" x14ac:dyDescent="0.45">
      <c r="A1042" s="4">
        <v>43899</v>
      </c>
      <c r="B1042" s="3">
        <v>157.22999999999999</v>
      </c>
      <c r="C1042" s="3">
        <v>208.2</v>
      </c>
      <c r="D1042" s="3">
        <v>116.38</v>
      </c>
      <c r="E1042" s="3">
        <v>1.1173999999999999</v>
      </c>
      <c r="F1042" s="3">
        <v>228.99</v>
      </c>
      <c r="G1042" s="3">
        <v>217.43</v>
      </c>
      <c r="H1042" s="3">
        <v>170.65</v>
      </c>
      <c r="I1042" s="3">
        <v>183.53</v>
      </c>
      <c r="J1042" s="3">
        <v>113.94</v>
      </c>
      <c r="K1042" s="3">
        <v>206.47</v>
      </c>
      <c r="L1042" s="3"/>
      <c r="N1042" s="4"/>
    </row>
    <row r="1043" spans="1:14" ht="17.5" thickBot="1" x14ac:dyDescent="0.45">
      <c r="A1043" s="4">
        <v>43900</v>
      </c>
      <c r="B1043" s="3">
        <v>158.97</v>
      </c>
      <c r="C1043" s="3">
        <v>210.26</v>
      </c>
      <c r="D1043" s="3">
        <v>115.29</v>
      </c>
      <c r="E1043" s="3">
        <v>1.1289</v>
      </c>
      <c r="F1043" s="3">
        <v>232.51</v>
      </c>
      <c r="G1043" s="3">
        <v>228.03</v>
      </c>
      <c r="H1043" s="3">
        <v>171.41</v>
      </c>
      <c r="I1043" s="3">
        <v>194.24</v>
      </c>
      <c r="J1043" s="3">
        <v>113.94</v>
      </c>
      <c r="K1043" s="3">
        <v>206.69</v>
      </c>
      <c r="L1043" s="3"/>
      <c r="N1043" s="4"/>
    </row>
    <row r="1044" spans="1:14" ht="17.5" thickBot="1" x14ac:dyDescent="0.45">
      <c r="A1044" s="4">
        <v>43901</v>
      </c>
      <c r="B1044" s="3">
        <v>158.16999999999999</v>
      </c>
      <c r="C1044" s="3">
        <v>206.05</v>
      </c>
      <c r="D1044" s="3">
        <v>115.29</v>
      </c>
      <c r="E1044" s="3">
        <v>1.1036999999999999</v>
      </c>
      <c r="F1044" s="3">
        <v>228</v>
      </c>
      <c r="G1044" s="3">
        <v>216.85</v>
      </c>
      <c r="H1044" s="3">
        <v>168.96</v>
      </c>
      <c r="I1044" s="3">
        <v>183.49</v>
      </c>
      <c r="J1044" s="3">
        <v>113.94</v>
      </c>
      <c r="K1044" s="3">
        <v>204.1</v>
      </c>
      <c r="L1044" s="3"/>
      <c r="N1044" s="4"/>
    </row>
    <row r="1045" spans="1:14" ht="17.5" thickBot="1" x14ac:dyDescent="0.45">
      <c r="A1045" s="4">
        <v>43902</v>
      </c>
      <c r="B1045" s="3">
        <v>152.44</v>
      </c>
      <c r="C1045" s="3">
        <v>185.23</v>
      </c>
      <c r="D1045" s="3">
        <v>113.83</v>
      </c>
      <c r="E1045" s="3">
        <v>1.0396000000000001</v>
      </c>
      <c r="F1045" s="3">
        <v>210.62</v>
      </c>
      <c r="G1045" s="3">
        <v>196.86</v>
      </c>
      <c r="H1045" s="3">
        <v>159.86000000000001</v>
      </c>
      <c r="I1045" s="3">
        <v>164.64</v>
      </c>
      <c r="J1045" s="3">
        <v>113.94</v>
      </c>
      <c r="K1045" s="3">
        <v>194.51</v>
      </c>
      <c r="L1045" s="3"/>
      <c r="N1045" s="4"/>
    </row>
    <row r="1046" spans="1:14" ht="17.5" thickBot="1" x14ac:dyDescent="0.45">
      <c r="A1046" s="4">
        <v>43903</v>
      </c>
      <c r="B1046" s="3">
        <v>150.79</v>
      </c>
      <c r="C1046" s="3">
        <v>193.06</v>
      </c>
      <c r="D1046" s="3">
        <v>111.83</v>
      </c>
      <c r="E1046" s="3">
        <v>1.0649999999999999</v>
      </c>
      <c r="F1046" s="3">
        <v>215.11</v>
      </c>
      <c r="G1046" s="3">
        <v>214.92</v>
      </c>
      <c r="H1046" s="3">
        <v>161.06</v>
      </c>
      <c r="I1046" s="3">
        <v>180.57</v>
      </c>
      <c r="J1046" s="3">
        <v>113.94</v>
      </c>
      <c r="K1046" s="3">
        <v>195.32</v>
      </c>
      <c r="L1046" s="3"/>
      <c r="N1046" s="4"/>
    </row>
    <row r="1047" spans="1:14" ht="17.5" thickBot="1" x14ac:dyDescent="0.45">
      <c r="A1047" s="4">
        <v>43904</v>
      </c>
      <c r="B1047" s="3">
        <v>150.79</v>
      </c>
      <c r="C1047" s="3">
        <v>193.06</v>
      </c>
      <c r="D1047" s="3">
        <v>111.83</v>
      </c>
      <c r="E1047" s="3">
        <v>1.0649999999999999</v>
      </c>
      <c r="F1047" s="3">
        <v>215.11</v>
      </c>
      <c r="G1047" s="3">
        <v>214.92</v>
      </c>
      <c r="H1047" s="3">
        <v>161.06</v>
      </c>
      <c r="I1047" s="3">
        <v>180.57</v>
      </c>
      <c r="J1047" s="3">
        <v>113.94</v>
      </c>
      <c r="K1047" s="3">
        <v>195.32</v>
      </c>
      <c r="L1047" s="3"/>
      <c r="N1047" s="4"/>
    </row>
    <row r="1048" spans="1:14" ht="17.5" thickBot="1" x14ac:dyDescent="0.45">
      <c r="A1048" s="4">
        <v>43905</v>
      </c>
      <c r="B1048" s="3">
        <v>150.79</v>
      </c>
      <c r="C1048" s="3">
        <v>193.06</v>
      </c>
      <c r="D1048" s="3">
        <v>111.83</v>
      </c>
      <c r="E1048" s="3">
        <v>1.0649999999999999</v>
      </c>
      <c r="F1048" s="3">
        <v>215.11</v>
      </c>
      <c r="G1048" s="3">
        <v>214.92</v>
      </c>
      <c r="H1048" s="3">
        <v>161.06</v>
      </c>
      <c r="I1048" s="3">
        <v>180.57</v>
      </c>
      <c r="J1048" s="3">
        <v>113.94</v>
      </c>
      <c r="K1048" s="3">
        <v>195.32</v>
      </c>
      <c r="L1048" s="3"/>
      <c r="N1048" s="4"/>
    </row>
    <row r="1049" spans="1:14" ht="17.5" thickBot="1" x14ac:dyDescent="0.45">
      <c r="A1049" s="4">
        <v>43906</v>
      </c>
      <c r="B1049" s="3">
        <v>145.36000000000001</v>
      </c>
      <c r="C1049" s="3">
        <v>174.66</v>
      </c>
      <c r="D1049" s="3">
        <v>111.92</v>
      </c>
      <c r="E1049" s="3">
        <v>1.0071000000000001</v>
      </c>
      <c r="F1049" s="3">
        <v>202.67</v>
      </c>
      <c r="G1049" s="3">
        <v>189.59</v>
      </c>
      <c r="H1049" s="3">
        <v>154.94</v>
      </c>
      <c r="I1049" s="3">
        <v>157.85</v>
      </c>
      <c r="J1049" s="3">
        <v>113.94</v>
      </c>
      <c r="K1049" s="3">
        <v>189.17</v>
      </c>
      <c r="L1049" s="3"/>
      <c r="N1049" s="4"/>
    </row>
    <row r="1050" spans="1:14" ht="17.5" thickBot="1" x14ac:dyDescent="0.45">
      <c r="A1050" s="4">
        <v>43907</v>
      </c>
      <c r="B1050" s="3">
        <v>145.69999999999999</v>
      </c>
      <c r="C1050" s="3">
        <v>181.11</v>
      </c>
      <c r="D1050" s="3">
        <v>110.55</v>
      </c>
      <c r="E1050" s="3">
        <v>1.0238</v>
      </c>
      <c r="F1050" s="3">
        <v>205.11</v>
      </c>
      <c r="G1050" s="3">
        <v>200.19</v>
      </c>
      <c r="H1050" s="3">
        <v>155.27000000000001</v>
      </c>
      <c r="I1050" s="3">
        <v>168</v>
      </c>
      <c r="J1050" s="3">
        <v>113.99</v>
      </c>
      <c r="K1050" s="3">
        <v>188.83</v>
      </c>
      <c r="L1050" s="3"/>
      <c r="N1050" s="4"/>
    </row>
    <row r="1051" spans="1:14" ht="17.5" thickBot="1" x14ac:dyDescent="0.45">
      <c r="A1051" s="4">
        <v>43908</v>
      </c>
      <c r="B1051" s="3">
        <v>139.9</v>
      </c>
      <c r="C1051" s="3">
        <v>168.43</v>
      </c>
      <c r="D1051" s="3">
        <v>108.99</v>
      </c>
      <c r="E1051" s="3">
        <v>0.98809999999999998</v>
      </c>
      <c r="F1051" s="3">
        <v>196.45</v>
      </c>
      <c r="G1051" s="3">
        <v>189.3</v>
      </c>
      <c r="H1051" s="3">
        <v>149.91</v>
      </c>
      <c r="I1051" s="3">
        <v>156.97</v>
      </c>
      <c r="J1051" s="3">
        <v>113.99</v>
      </c>
      <c r="K1051" s="3">
        <v>182.66</v>
      </c>
      <c r="L1051" s="3"/>
      <c r="N1051" s="4"/>
    </row>
    <row r="1052" spans="1:14" ht="17.5" thickBot="1" x14ac:dyDescent="0.45">
      <c r="A1052" s="4">
        <v>43909</v>
      </c>
      <c r="B1052" s="3">
        <v>135.88999999999999</v>
      </c>
      <c r="C1052" s="3">
        <v>160.33000000000001</v>
      </c>
      <c r="D1052" s="3">
        <v>107.62</v>
      </c>
      <c r="E1052" s="3">
        <v>0.99239999999999995</v>
      </c>
      <c r="F1052" s="3">
        <v>194.61</v>
      </c>
      <c r="G1052" s="3">
        <v>189.78</v>
      </c>
      <c r="H1052" s="3">
        <v>148.61000000000001</v>
      </c>
      <c r="I1052" s="3">
        <v>158.11000000000001</v>
      </c>
      <c r="J1052" s="3">
        <v>113.99</v>
      </c>
      <c r="K1052" s="3">
        <v>181.22</v>
      </c>
      <c r="L1052" s="3"/>
      <c r="N1052" s="4"/>
    </row>
    <row r="1053" spans="1:14" ht="17.5" thickBot="1" x14ac:dyDescent="0.45">
      <c r="A1053" s="4">
        <v>43910</v>
      </c>
      <c r="B1053" s="3">
        <v>142.88999999999999</v>
      </c>
      <c r="C1053" s="3">
        <v>165.18</v>
      </c>
      <c r="D1053" s="3">
        <v>108.53</v>
      </c>
      <c r="E1053" s="3">
        <v>0.98719999999999997</v>
      </c>
      <c r="F1053" s="3">
        <v>196.65</v>
      </c>
      <c r="G1053" s="3">
        <v>181.36</v>
      </c>
      <c r="H1053" s="3">
        <v>150.13</v>
      </c>
      <c r="I1053" s="3">
        <v>151.26</v>
      </c>
      <c r="J1053" s="3">
        <v>113.99</v>
      </c>
      <c r="K1053" s="3">
        <v>183.08</v>
      </c>
      <c r="L1053" s="3"/>
      <c r="N1053" s="4"/>
    </row>
    <row r="1054" spans="1:14" ht="17.5" thickBot="1" x14ac:dyDescent="0.45">
      <c r="A1054" s="4">
        <v>43911</v>
      </c>
      <c r="B1054" s="3">
        <v>142.88999999999999</v>
      </c>
      <c r="C1054" s="3">
        <v>165.18</v>
      </c>
      <c r="D1054" s="3">
        <v>108.53</v>
      </c>
      <c r="E1054" s="3">
        <v>0.98719999999999997</v>
      </c>
      <c r="F1054" s="3">
        <v>196.65</v>
      </c>
      <c r="G1054" s="3">
        <v>181.36</v>
      </c>
      <c r="H1054" s="3">
        <v>150.13</v>
      </c>
      <c r="I1054" s="3">
        <v>151.26</v>
      </c>
      <c r="J1054" s="3">
        <v>113.99</v>
      </c>
      <c r="K1054" s="3">
        <v>183.08</v>
      </c>
      <c r="L1054" s="3"/>
      <c r="N1054" s="4"/>
    </row>
    <row r="1055" spans="1:14" ht="17.5" thickBot="1" x14ac:dyDescent="0.45">
      <c r="A1055" s="4">
        <v>43912</v>
      </c>
      <c r="B1055" s="3">
        <v>142.88999999999999</v>
      </c>
      <c r="C1055" s="3">
        <v>165.18</v>
      </c>
      <c r="D1055" s="3">
        <v>108.53</v>
      </c>
      <c r="E1055" s="3">
        <v>0.98719999999999997</v>
      </c>
      <c r="F1055" s="3">
        <v>196.65</v>
      </c>
      <c r="G1055" s="3">
        <v>181.36</v>
      </c>
      <c r="H1055" s="3">
        <v>150.13</v>
      </c>
      <c r="I1055" s="3">
        <v>151.26</v>
      </c>
      <c r="J1055" s="3">
        <v>113.99</v>
      </c>
      <c r="K1055" s="3">
        <v>183.08</v>
      </c>
      <c r="L1055" s="3"/>
      <c r="N1055" s="4"/>
    </row>
    <row r="1056" spans="1:14" ht="17.5" thickBot="1" x14ac:dyDescent="0.45">
      <c r="A1056" s="4">
        <v>43913</v>
      </c>
      <c r="B1056" s="3">
        <v>136.38</v>
      </c>
      <c r="C1056" s="3">
        <v>155.9</v>
      </c>
      <c r="D1056" s="3">
        <v>108.16</v>
      </c>
      <c r="E1056" s="3">
        <v>0.97209999999999996</v>
      </c>
      <c r="F1056" s="3">
        <v>191.65</v>
      </c>
      <c r="G1056" s="3">
        <v>175.4</v>
      </c>
      <c r="H1056" s="3">
        <v>147.68</v>
      </c>
      <c r="I1056" s="3">
        <v>146</v>
      </c>
      <c r="J1056" s="3">
        <v>113.99</v>
      </c>
      <c r="K1056" s="3">
        <v>180.77</v>
      </c>
      <c r="L1056" s="3"/>
      <c r="N1056" s="4"/>
    </row>
    <row r="1057" spans="1:14" ht="17.5" thickBot="1" x14ac:dyDescent="0.45">
      <c r="A1057" s="4">
        <v>43914</v>
      </c>
      <c r="B1057" s="3">
        <v>142.99</v>
      </c>
      <c r="C1057" s="3">
        <v>169.63</v>
      </c>
      <c r="D1057" s="3">
        <v>108.8</v>
      </c>
      <c r="E1057" s="3">
        <v>1.0182</v>
      </c>
      <c r="F1057" s="3">
        <v>203.39</v>
      </c>
      <c r="G1057" s="3">
        <v>191.31</v>
      </c>
      <c r="H1057" s="3">
        <v>153.44</v>
      </c>
      <c r="I1057" s="3">
        <v>160.13</v>
      </c>
      <c r="J1057" s="3">
        <v>113.99</v>
      </c>
      <c r="K1057" s="3">
        <v>186.57</v>
      </c>
      <c r="L1057" s="3"/>
      <c r="N1057" s="4"/>
    </row>
    <row r="1058" spans="1:14" ht="17.5" thickBot="1" x14ac:dyDescent="0.45">
      <c r="A1058" s="4">
        <v>43915</v>
      </c>
      <c r="B1058" s="3">
        <v>147.69999999999999</v>
      </c>
      <c r="C1058" s="3">
        <v>175.72</v>
      </c>
      <c r="D1058" s="3">
        <v>109.34</v>
      </c>
      <c r="E1058" s="3">
        <v>1.0334000000000001</v>
      </c>
      <c r="F1058" s="3">
        <v>208.62</v>
      </c>
      <c r="G1058" s="3">
        <v>193.9</v>
      </c>
      <c r="H1058" s="3">
        <v>155.53</v>
      </c>
      <c r="I1058" s="3">
        <v>163.16</v>
      </c>
      <c r="J1058" s="3">
        <v>113.99</v>
      </c>
      <c r="K1058" s="3">
        <v>189.67</v>
      </c>
      <c r="L1058" s="3"/>
      <c r="N1058" s="4"/>
    </row>
    <row r="1059" spans="1:14" ht="17.5" thickBot="1" x14ac:dyDescent="0.45">
      <c r="A1059" s="4">
        <v>43916</v>
      </c>
      <c r="B1059" s="3">
        <v>146.35</v>
      </c>
      <c r="C1059" s="3">
        <v>185.59</v>
      </c>
      <c r="D1059" s="3">
        <v>110.44</v>
      </c>
      <c r="E1059" s="3">
        <v>1.0644</v>
      </c>
      <c r="F1059" s="3">
        <v>215.17</v>
      </c>
      <c r="G1059" s="3">
        <v>205.59</v>
      </c>
      <c r="H1059" s="3">
        <v>158.44</v>
      </c>
      <c r="I1059" s="3">
        <v>172.44</v>
      </c>
      <c r="J1059" s="3">
        <v>113.99</v>
      </c>
      <c r="K1059" s="3">
        <v>193.65</v>
      </c>
      <c r="L1059" s="3"/>
      <c r="N1059" s="4"/>
    </row>
    <row r="1060" spans="1:14" ht="17.5" thickBot="1" x14ac:dyDescent="0.45">
      <c r="A1060" s="4">
        <v>43917</v>
      </c>
      <c r="B1060" s="3">
        <v>147.34</v>
      </c>
      <c r="C1060" s="3">
        <v>179.24</v>
      </c>
      <c r="D1060" s="3">
        <v>111.35</v>
      </c>
      <c r="E1060" s="3">
        <v>1.0504</v>
      </c>
      <c r="F1060" s="3">
        <v>212.06</v>
      </c>
      <c r="G1060" s="3">
        <v>198.34</v>
      </c>
      <c r="H1060" s="3">
        <v>158.1</v>
      </c>
      <c r="I1060" s="3">
        <v>166.04</v>
      </c>
      <c r="J1060" s="3">
        <v>113.99</v>
      </c>
      <c r="K1060" s="3">
        <v>192.88</v>
      </c>
      <c r="L1060" s="3"/>
      <c r="N1060" s="4"/>
    </row>
    <row r="1061" spans="1:14" ht="17.5" thickBot="1" x14ac:dyDescent="0.45">
      <c r="A1061" s="4">
        <v>43918</v>
      </c>
      <c r="B1061" s="3">
        <v>147.34</v>
      </c>
      <c r="C1061" s="3">
        <v>179.24</v>
      </c>
      <c r="D1061" s="3">
        <v>111.35</v>
      </c>
      <c r="E1061" s="3">
        <v>1.0504</v>
      </c>
      <c r="F1061" s="3">
        <v>212.06</v>
      </c>
      <c r="G1061" s="3">
        <v>198.34</v>
      </c>
      <c r="H1061" s="3">
        <v>158.1</v>
      </c>
      <c r="I1061" s="3">
        <v>166.04</v>
      </c>
      <c r="J1061" s="3">
        <v>113.99</v>
      </c>
      <c r="K1061" s="3">
        <v>192.88</v>
      </c>
      <c r="L1061" s="3"/>
      <c r="N1061" s="4"/>
    </row>
    <row r="1062" spans="1:14" ht="17.5" thickBot="1" x14ac:dyDescent="0.45">
      <c r="A1062" s="4">
        <v>43919</v>
      </c>
      <c r="B1062" s="3">
        <v>147.34</v>
      </c>
      <c r="C1062" s="3">
        <v>179.24</v>
      </c>
      <c r="D1062" s="3">
        <v>111.35</v>
      </c>
      <c r="E1062" s="3">
        <v>1.0504</v>
      </c>
      <c r="F1062" s="3">
        <v>212.06</v>
      </c>
      <c r="G1062" s="3">
        <v>198.34</v>
      </c>
      <c r="H1062" s="3">
        <v>158.1</v>
      </c>
      <c r="I1062" s="3">
        <v>166.04</v>
      </c>
      <c r="J1062" s="3">
        <v>113.99</v>
      </c>
      <c r="K1062" s="3">
        <v>192.88</v>
      </c>
      <c r="L1062" s="3"/>
      <c r="N1062" s="4"/>
    </row>
    <row r="1063" spans="1:14" ht="17.5" thickBot="1" x14ac:dyDescent="0.45">
      <c r="A1063" s="4">
        <v>43920</v>
      </c>
      <c r="B1063" s="3">
        <v>145.24</v>
      </c>
      <c r="C1063" s="3">
        <v>179.03</v>
      </c>
      <c r="D1063" s="3">
        <v>111.34</v>
      </c>
      <c r="E1063" s="3">
        <v>1.0648</v>
      </c>
      <c r="F1063" s="3">
        <v>213.19</v>
      </c>
      <c r="G1063" s="3">
        <v>204.83</v>
      </c>
      <c r="H1063" s="3">
        <v>158.52000000000001</v>
      </c>
      <c r="I1063" s="3">
        <v>170.7</v>
      </c>
      <c r="J1063" s="3">
        <v>113.99</v>
      </c>
      <c r="K1063" s="3">
        <v>193.46</v>
      </c>
      <c r="L1063" s="3"/>
      <c r="N1063" s="4"/>
    </row>
    <row r="1064" spans="1:14" ht="17.5" thickBot="1" x14ac:dyDescent="0.45">
      <c r="A1064" s="4">
        <v>43921</v>
      </c>
      <c r="B1064" s="3">
        <v>147.99</v>
      </c>
      <c r="C1064" s="3">
        <v>180.07</v>
      </c>
      <c r="D1064" s="3">
        <v>111.34</v>
      </c>
      <c r="E1064" s="3">
        <v>1.0588</v>
      </c>
      <c r="F1064" s="3">
        <v>212.92</v>
      </c>
      <c r="G1064" s="3">
        <v>201.73</v>
      </c>
      <c r="H1064" s="3">
        <v>158.41</v>
      </c>
      <c r="I1064" s="3">
        <v>168.72</v>
      </c>
      <c r="J1064" s="3">
        <v>114.07</v>
      </c>
      <c r="K1064" s="3">
        <v>193.35</v>
      </c>
      <c r="L1064" s="3"/>
      <c r="N1064" s="4"/>
    </row>
    <row r="1065" spans="1:14" ht="17.5" thickBot="1" x14ac:dyDescent="0.45">
      <c r="A1065" s="4">
        <v>43922</v>
      </c>
      <c r="B1065" s="3">
        <v>144.69999999999999</v>
      </c>
      <c r="C1065" s="3">
        <v>177.94</v>
      </c>
      <c r="D1065" s="3">
        <v>111.15</v>
      </c>
      <c r="E1065" s="3">
        <v>1.0364</v>
      </c>
      <c r="F1065" s="3">
        <v>207.76</v>
      </c>
      <c r="G1065" s="3">
        <v>192.86</v>
      </c>
      <c r="H1065" s="3">
        <v>156.81</v>
      </c>
      <c r="I1065" s="3">
        <v>161.07</v>
      </c>
      <c r="J1065" s="3">
        <v>114.07</v>
      </c>
      <c r="K1065" s="3">
        <v>190.87</v>
      </c>
      <c r="L1065" s="3"/>
      <c r="N1065" s="4"/>
    </row>
    <row r="1066" spans="1:14" ht="17.5" thickBot="1" x14ac:dyDescent="0.45">
      <c r="A1066" s="4">
        <v>43923</v>
      </c>
      <c r="B1066" s="3">
        <v>146.07</v>
      </c>
      <c r="C1066" s="3">
        <v>177.58</v>
      </c>
      <c r="D1066" s="3">
        <v>110.88</v>
      </c>
      <c r="E1066" s="3">
        <v>1.0434000000000001</v>
      </c>
      <c r="F1066" s="3">
        <v>208.69</v>
      </c>
      <c r="G1066" s="3">
        <v>196.85</v>
      </c>
      <c r="H1066" s="3">
        <v>156.87</v>
      </c>
      <c r="I1066" s="3">
        <v>164.85</v>
      </c>
      <c r="J1066" s="3">
        <v>114.07</v>
      </c>
      <c r="K1066" s="3">
        <v>191.05</v>
      </c>
      <c r="L1066" s="3"/>
      <c r="N1066" s="4"/>
    </row>
    <row r="1067" spans="1:14" ht="17.5" thickBot="1" x14ac:dyDescent="0.45">
      <c r="A1067" s="4">
        <v>43924</v>
      </c>
      <c r="B1067" s="3">
        <v>145.77000000000001</v>
      </c>
      <c r="C1067" s="3">
        <v>175.65</v>
      </c>
      <c r="D1067" s="3">
        <v>110.79</v>
      </c>
      <c r="E1067" s="3">
        <v>1.0351999999999999</v>
      </c>
      <c r="F1067" s="3">
        <v>207.15</v>
      </c>
      <c r="G1067" s="3">
        <v>193.71</v>
      </c>
      <c r="H1067" s="3">
        <v>156.25</v>
      </c>
      <c r="I1067" s="3">
        <v>161.94999999999999</v>
      </c>
      <c r="J1067" s="3">
        <v>114.07</v>
      </c>
      <c r="K1067" s="3">
        <v>190.14</v>
      </c>
      <c r="L1067" s="3"/>
      <c r="N1067" s="4"/>
    </row>
    <row r="1068" spans="1:14" ht="17.5" thickBot="1" x14ac:dyDescent="0.45">
      <c r="A1068" s="4">
        <v>43925</v>
      </c>
      <c r="B1068" s="3">
        <v>145.77000000000001</v>
      </c>
      <c r="C1068" s="3">
        <v>175.65</v>
      </c>
      <c r="D1068" s="3">
        <v>110.79</v>
      </c>
      <c r="E1068" s="3">
        <v>1.0351999999999999</v>
      </c>
      <c r="F1068" s="3">
        <v>207.15</v>
      </c>
      <c r="G1068" s="3">
        <v>193.71</v>
      </c>
      <c r="H1068" s="3">
        <v>156.25</v>
      </c>
      <c r="I1068" s="3">
        <v>161.94999999999999</v>
      </c>
      <c r="J1068" s="3">
        <v>114.07</v>
      </c>
      <c r="K1068" s="3">
        <v>190.14</v>
      </c>
      <c r="L1068" s="3"/>
      <c r="N1068" s="4"/>
    </row>
    <row r="1069" spans="1:14" ht="17.5" thickBot="1" x14ac:dyDescent="0.45">
      <c r="A1069" s="4">
        <v>43926</v>
      </c>
      <c r="B1069" s="3">
        <v>145.77000000000001</v>
      </c>
      <c r="C1069" s="3">
        <v>175.65</v>
      </c>
      <c r="D1069" s="3">
        <v>110.79</v>
      </c>
      <c r="E1069" s="3">
        <v>1.0351999999999999</v>
      </c>
      <c r="F1069" s="3">
        <v>207.15</v>
      </c>
      <c r="G1069" s="3">
        <v>193.71</v>
      </c>
      <c r="H1069" s="3">
        <v>156.25</v>
      </c>
      <c r="I1069" s="3">
        <v>161.94999999999999</v>
      </c>
      <c r="J1069" s="3">
        <v>114.07</v>
      </c>
      <c r="K1069" s="3">
        <v>190.14</v>
      </c>
      <c r="L1069" s="3"/>
      <c r="N1069" s="4"/>
    </row>
    <row r="1070" spans="1:14" ht="17.5" thickBot="1" x14ac:dyDescent="0.45">
      <c r="A1070" s="4">
        <v>43927</v>
      </c>
      <c r="B1070" s="3">
        <v>148.69</v>
      </c>
      <c r="C1070" s="3">
        <v>181.56</v>
      </c>
      <c r="D1070" s="3">
        <v>110.96</v>
      </c>
      <c r="E1070" s="3">
        <v>1.0678000000000001</v>
      </c>
      <c r="F1070" s="3">
        <v>213.66</v>
      </c>
      <c r="G1070" s="3">
        <v>207.66</v>
      </c>
      <c r="H1070" s="3">
        <v>158.22</v>
      </c>
      <c r="I1070" s="3">
        <v>172.72</v>
      </c>
      <c r="J1070" s="3">
        <v>114.07</v>
      </c>
      <c r="K1070" s="3">
        <v>193.19</v>
      </c>
      <c r="L1070" s="3"/>
      <c r="N1070" s="4"/>
    </row>
    <row r="1071" spans="1:14" ht="17.5" thickBot="1" x14ac:dyDescent="0.45">
      <c r="A1071" s="4">
        <v>43928</v>
      </c>
      <c r="B1071" s="3">
        <v>152.02000000000001</v>
      </c>
      <c r="C1071" s="3">
        <v>186.86</v>
      </c>
      <c r="D1071" s="3">
        <v>111.14</v>
      </c>
      <c r="E1071" s="3">
        <v>1.0727</v>
      </c>
      <c r="F1071" s="3">
        <v>217.2</v>
      </c>
      <c r="G1071" s="3">
        <v>208.03</v>
      </c>
      <c r="H1071" s="3">
        <v>159.54</v>
      </c>
      <c r="I1071" s="3">
        <v>173.41</v>
      </c>
      <c r="J1071" s="3">
        <v>114.07</v>
      </c>
      <c r="K1071" s="3">
        <v>195.13</v>
      </c>
      <c r="L1071" s="3"/>
      <c r="N1071" s="4"/>
    </row>
    <row r="1072" spans="1:14" ht="17.5" thickBot="1" x14ac:dyDescent="0.45">
      <c r="A1072" s="4">
        <v>43929</v>
      </c>
      <c r="B1072" s="3">
        <v>150.07</v>
      </c>
      <c r="C1072" s="3">
        <v>186.42</v>
      </c>
      <c r="D1072" s="3">
        <v>111.23</v>
      </c>
      <c r="E1072" s="3">
        <v>1.0859000000000001</v>
      </c>
      <c r="F1072" s="3">
        <v>218.44</v>
      </c>
      <c r="G1072" s="3">
        <v>215.26</v>
      </c>
      <c r="H1072" s="3">
        <v>159.96</v>
      </c>
      <c r="I1072" s="3">
        <v>179.3</v>
      </c>
      <c r="J1072" s="3">
        <v>114.07</v>
      </c>
      <c r="K1072" s="3">
        <v>195.73</v>
      </c>
      <c r="L1072" s="3"/>
      <c r="N1072" s="4"/>
    </row>
    <row r="1073" spans="1:14" ht="17.5" thickBot="1" x14ac:dyDescent="0.45">
      <c r="A1073" s="4">
        <v>43930</v>
      </c>
      <c r="B1073" s="3">
        <v>151.86000000000001</v>
      </c>
      <c r="C1073" s="3">
        <v>191.28</v>
      </c>
      <c r="D1073" s="3">
        <v>111.87</v>
      </c>
      <c r="E1073" s="3">
        <v>1.0969</v>
      </c>
      <c r="F1073" s="3">
        <v>221.25</v>
      </c>
      <c r="G1073" s="3">
        <v>218.19</v>
      </c>
      <c r="H1073" s="3">
        <v>161.56</v>
      </c>
      <c r="I1073" s="3">
        <v>181.84</v>
      </c>
      <c r="J1073" s="3">
        <v>114.07</v>
      </c>
      <c r="K1073" s="3">
        <v>197.84</v>
      </c>
      <c r="L1073" s="3"/>
      <c r="N1073" s="4"/>
    </row>
    <row r="1074" spans="1:14" ht="17.5" thickBot="1" x14ac:dyDescent="0.45">
      <c r="A1074" s="4">
        <v>43931</v>
      </c>
      <c r="B1074" s="3">
        <v>151.86000000000001</v>
      </c>
      <c r="C1074" s="3">
        <v>191.28</v>
      </c>
      <c r="D1074" s="3">
        <v>111.87</v>
      </c>
      <c r="E1074" s="3">
        <v>1.0969</v>
      </c>
      <c r="F1074" s="3">
        <v>221.25</v>
      </c>
      <c r="G1074" s="3">
        <v>218.19</v>
      </c>
      <c r="H1074" s="3">
        <v>161.56</v>
      </c>
      <c r="I1074" s="3">
        <v>181.84</v>
      </c>
      <c r="J1074" s="3">
        <v>114.07</v>
      </c>
      <c r="K1074" s="3">
        <v>197.84</v>
      </c>
      <c r="L1074" s="3"/>
      <c r="N1074" s="4"/>
    </row>
    <row r="1075" spans="1:14" ht="17.5" thickBot="1" x14ac:dyDescent="0.45">
      <c r="A1075" s="4">
        <v>43932</v>
      </c>
      <c r="B1075" s="3">
        <v>151.86000000000001</v>
      </c>
      <c r="C1075" s="3">
        <v>191.28</v>
      </c>
      <c r="D1075" s="3">
        <v>111.87</v>
      </c>
      <c r="E1075" s="3">
        <v>1.0969</v>
      </c>
      <c r="F1075" s="3">
        <v>221.25</v>
      </c>
      <c r="G1075" s="3">
        <v>218.19</v>
      </c>
      <c r="H1075" s="3">
        <v>161.56</v>
      </c>
      <c r="I1075" s="3">
        <v>181.84</v>
      </c>
      <c r="J1075" s="3">
        <v>114.07</v>
      </c>
      <c r="K1075" s="3">
        <v>197.84</v>
      </c>
      <c r="L1075" s="3"/>
      <c r="N1075" s="4"/>
    </row>
    <row r="1076" spans="1:14" ht="17.5" thickBot="1" x14ac:dyDescent="0.45">
      <c r="A1076" s="4">
        <v>43933</v>
      </c>
      <c r="B1076" s="3">
        <v>151.86000000000001</v>
      </c>
      <c r="C1076" s="3">
        <v>191.28</v>
      </c>
      <c r="D1076" s="3">
        <v>111.87</v>
      </c>
      <c r="E1076" s="3">
        <v>1.0969</v>
      </c>
      <c r="F1076" s="3">
        <v>221.25</v>
      </c>
      <c r="G1076" s="3">
        <v>218.19</v>
      </c>
      <c r="H1076" s="3">
        <v>161.56</v>
      </c>
      <c r="I1076" s="3">
        <v>181.84</v>
      </c>
      <c r="J1076" s="3">
        <v>114.07</v>
      </c>
      <c r="K1076" s="3">
        <v>197.84</v>
      </c>
      <c r="L1076" s="3"/>
      <c r="N1076" s="4"/>
    </row>
    <row r="1077" spans="1:14" ht="17.5" thickBot="1" x14ac:dyDescent="0.45">
      <c r="A1077" s="4">
        <v>43934</v>
      </c>
      <c r="B1077" s="3">
        <v>151.86000000000001</v>
      </c>
      <c r="C1077" s="3">
        <v>191.28</v>
      </c>
      <c r="D1077" s="3">
        <v>111.87</v>
      </c>
      <c r="E1077" s="3">
        <v>1.0969</v>
      </c>
      <c r="F1077" s="3">
        <v>221.25</v>
      </c>
      <c r="G1077" s="3">
        <v>218.19</v>
      </c>
      <c r="H1077" s="3">
        <v>161.56</v>
      </c>
      <c r="I1077" s="3">
        <v>181.84</v>
      </c>
      <c r="J1077" s="3">
        <v>114.07</v>
      </c>
      <c r="K1077" s="3">
        <v>197.84</v>
      </c>
      <c r="L1077" s="3"/>
      <c r="N1077" s="4"/>
    </row>
    <row r="1078" spans="1:14" ht="17.5" thickBot="1" x14ac:dyDescent="0.45">
      <c r="A1078" s="4">
        <v>43935</v>
      </c>
      <c r="B1078" s="3">
        <v>152.91999999999999</v>
      </c>
      <c r="C1078" s="3">
        <v>193.8</v>
      </c>
      <c r="D1078" s="3">
        <v>112.49</v>
      </c>
      <c r="E1078" s="3">
        <v>1.1085</v>
      </c>
      <c r="F1078" s="3">
        <v>224.04</v>
      </c>
      <c r="G1078" s="3">
        <v>222.77</v>
      </c>
      <c r="H1078" s="3">
        <v>162.88999999999999</v>
      </c>
      <c r="I1078" s="3">
        <v>185.06</v>
      </c>
      <c r="J1078" s="3">
        <v>114.07</v>
      </c>
      <c r="K1078" s="3">
        <v>199.66</v>
      </c>
      <c r="L1078" s="3"/>
      <c r="N1078" s="4"/>
    </row>
    <row r="1079" spans="1:14" ht="17.5" thickBot="1" x14ac:dyDescent="0.45">
      <c r="A1079" s="4">
        <v>43936</v>
      </c>
      <c r="B1079" s="3">
        <v>150.65</v>
      </c>
      <c r="C1079" s="3">
        <v>192.57</v>
      </c>
      <c r="D1079" s="3">
        <v>112.49</v>
      </c>
      <c r="E1079" s="3">
        <v>1.0954999999999999</v>
      </c>
      <c r="F1079" s="3">
        <v>221.04</v>
      </c>
      <c r="G1079" s="3">
        <v>217.23</v>
      </c>
      <c r="H1079" s="3">
        <v>161.55000000000001</v>
      </c>
      <c r="I1079" s="3">
        <v>180.68</v>
      </c>
      <c r="J1079" s="3">
        <v>114.07</v>
      </c>
      <c r="K1079" s="3">
        <v>198.38</v>
      </c>
      <c r="L1079" s="3"/>
      <c r="N1079" s="4"/>
    </row>
    <row r="1080" spans="1:14" ht="17.5" thickBot="1" x14ac:dyDescent="0.45">
      <c r="A1080" s="4">
        <v>43937</v>
      </c>
      <c r="B1080" s="3">
        <v>150.27000000000001</v>
      </c>
      <c r="C1080" s="3">
        <v>190.9</v>
      </c>
      <c r="D1080" s="3">
        <v>112.4</v>
      </c>
      <c r="E1080" s="3">
        <v>1.0972</v>
      </c>
      <c r="F1080" s="3">
        <v>220.75</v>
      </c>
      <c r="G1080" s="3">
        <v>218.04</v>
      </c>
      <c r="H1080" s="3">
        <v>161.36000000000001</v>
      </c>
      <c r="I1080" s="3">
        <v>180.97</v>
      </c>
      <c r="J1080" s="3">
        <v>114.07</v>
      </c>
      <c r="K1080" s="3">
        <v>198.17</v>
      </c>
      <c r="L1080" s="3"/>
      <c r="N1080" s="4"/>
    </row>
    <row r="1081" spans="1:14" ht="17.5" thickBot="1" x14ac:dyDescent="0.45">
      <c r="A1081" s="4">
        <v>43938</v>
      </c>
      <c r="B1081" s="3">
        <v>152.18</v>
      </c>
      <c r="C1081" s="3">
        <v>197.34</v>
      </c>
      <c r="D1081" s="3">
        <v>112.85</v>
      </c>
      <c r="E1081" s="3">
        <v>1.1143000000000001</v>
      </c>
      <c r="F1081" s="3">
        <v>225.02</v>
      </c>
      <c r="G1081" s="3">
        <v>223.86</v>
      </c>
      <c r="H1081" s="3">
        <v>163.47</v>
      </c>
      <c r="I1081" s="3">
        <v>185.94</v>
      </c>
      <c r="J1081" s="3">
        <v>114.07</v>
      </c>
      <c r="K1081" s="3">
        <v>200.32</v>
      </c>
      <c r="L1081" s="3"/>
      <c r="N1081" s="4"/>
    </row>
    <row r="1082" spans="1:14" ht="17.5" thickBot="1" x14ac:dyDescent="0.45">
      <c r="A1082" s="4">
        <v>43939</v>
      </c>
      <c r="B1082" s="3">
        <v>152.18</v>
      </c>
      <c r="C1082" s="3">
        <v>197.34</v>
      </c>
      <c r="D1082" s="3">
        <v>112.85</v>
      </c>
      <c r="E1082" s="3">
        <v>1.1143000000000001</v>
      </c>
      <c r="F1082" s="3">
        <v>225.02</v>
      </c>
      <c r="G1082" s="3">
        <v>223.86</v>
      </c>
      <c r="H1082" s="3">
        <v>163.47</v>
      </c>
      <c r="I1082" s="3">
        <v>185.94</v>
      </c>
      <c r="J1082" s="3">
        <v>114.07</v>
      </c>
      <c r="K1082" s="3">
        <v>200.32</v>
      </c>
      <c r="L1082" s="3"/>
      <c r="N1082" s="4"/>
    </row>
    <row r="1083" spans="1:14" ht="17.5" thickBot="1" x14ac:dyDescent="0.45">
      <c r="A1083" s="4">
        <v>43940</v>
      </c>
      <c r="B1083" s="3">
        <v>152.18</v>
      </c>
      <c r="C1083" s="3">
        <v>197.34</v>
      </c>
      <c r="D1083" s="3">
        <v>112.85</v>
      </c>
      <c r="E1083" s="3">
        <v>1.1143000000000001</v>
      </c>
      <c r="F1083" s="3">
        <v>225.02</v>
      </c>
      <c r="G1083" s="3">
        <v>223.86</v>
      </c>
      <c r="H1083" s="3">
        <v>163.47</v>
      </c>
      <c r="I1083" s="3">
        <v>185.94</v>
      </c>
      <c r="J1083" s="3">
        <v>114.07</v>
      </c>
      <c r="K1083" s="3">
        <v>200.32</v>
      </c>
      <c r="L1083" s="3"/>
      <c r="N1083" s="4"/>
    </row>
    <row r="1084" spans="1:14" ht="17.5" thickBot="1" x14ac:dyDescent="0.45">
      <c r="A1084" s="4">
        <v>43941</v>
      </c>
      <c r="B1084" s="3">
        <v>152.38999999999999</v>
      </c>
      <c r="C1084" s="3">
        <v>195.67</v>
      </c>
      <c r="D1084" s="3">
        <v>113.02</v>
      </c>
      <c r="E1084" s="3">
        <v>1.1071</v>
      </c>
      <c r="F1084" s="3">
        <v>224.1</v>
      </c>
      <c r="G1084" s="3">
        <v>219.87</v>
      </c>
      <c r="H1084" s="3">
        <v>163.04</v>
      </c>
      <c r="I1084" s="3">
        <v>182.39</v>
      </c>
      <c r="J1084" s="3">
        <v>114.07</v>
      </c>
      <c r="K1084" s="3">
        <v>199.87</v>
      </c>
      <c r="L1084" s="3"/>
      <c r="N1084" s="4"/>
    </row>
    <row r="1085" spans="1:14" ht="17.5" thickBot="1" x14ac:dyDescent="0.45">
      <c r="A1085" s="4">
        <v>43942</v>
      </c>
      <c r="B1085" s="3">
        <v>148.79</v>
      </c>
      <c r="C1085" s="3">
        <v>189.63</v>
      </c>
      <c r="D1085" s="3">
        <v>112.66</v>
      </c>
      <c r="E1085" s="3">
        <v>1.0869</v>
      </c>
      <c r="F1085" s="3">
        <v>219.24</v>
      </c>
      <c r="G1085" s="3">
        <v>213.01</v>
      </c>
      <c r="H1085" s="3">
        <v>160.62</v>
      </c>
      <c r="I1085" s="3">
        <v>176.78</v>
      </c>
      <c r="J1085" s="3">
        <v>114.07</v>
      </c>
      <c r="K1085" s="3">
        <v>197.38</v>
      </c>
      <c r="L1085" s="3"/>
      <c r="N1085" s="4"/>
    </row>
    <row r="1086" spans="1:14" ht="17.5" thickBot="1" x14ac:dyDescent="0.45">
      <c r="A1086" s="4">
        <v>43943</v>
      </c>
      <c r="B1086" s="3">
        <v>149.47999999999999</v>
      </c>
      <c r="C1086" s="3">
        <v>191.19</v>
      </c>
      <c r="D1086" s="3">
        <v>112.93</v>
      </c>
      <c r="E1086" s="3">
        <v>1.0974999999999999</v>
      </c>
      <c r="F1086" s="3">
        <v>221.21</v>
      </c>
      <c r="G1086" s="3">
        <v>217.66</v>
      </c>
      <c r="H1086" s="3">
        <v>161.44</v>
      </c>
      <c r="I1086" s="3">
        <v>180.76</v>
      </c>
      <c r="J1086" s="3">
        <v>114.07</v>
      </c>
      <c r="K1086" s="3">
        <v>198.16</v>
      </c>
      <c r="L1086" s="3"/>
      <c r="N1086" s="4"/>
    </row>
    <row r="1087" spans="1:14" ht="17.5" thickBot="1" x14ac:dyDescent="0.45">
      <c r="A1087" s="4">
        <v>43944</v>
      </c>
      <c r="B1087" s="3">
        <v>149.80000000000001</v>
      </c>
      <c r="C1087" s="3">
        <v>193.51</v>
      </c>
      <c r="D1087" s="3">
        <v>113.2</v>
      </c>
      <c r="E1087" s="3">
        <v>1.101</v>
      </c>
      <c r="F1087" s="3">
        <v>222.31</v>
      </c>
      <c r="G1087" s="3">
        <v>217.86</v>
      </c>
      <c r="H1087" s="3">
        <v>162.18</v>
      </c>
      <c r="I1087" s="3">
        <v>180.25</v>
      </c>
      <c r="J1087" s="3">
        <v>114.07</v>
      </c>
      <c r="K1087" s="3">
        <v>199.01</v>
      </c>
      <c r="L1087" s="3"/>
      <c r="N1087" s="4"/>
    </row>
    <row r="1088" spans="1:14" ht="17.5" thickBot="1" x14ac:dyDescent="0.45">
      <c r="A1088" s="4">
        <v>43945</v>
      </c>
      <c r="B1088" s="3">
        <v>149.24</v>
      </c>
      <c r="C1088" s="3">
        <v>191.64</v>
      </c>
      <c r="D1088" s="3">
        <v>113.11</v>
      </c>
      <c r="E1088" s="3">
        <v>1.105</v>
      </c>
      <c r="F1088" s="3">
        <v>221.99</v>
      </c>
      <c r="G1088" s="3">
        <v>221.13</v>
      </c>
      <c r="H1088" s="3">
        <v>162.03</v>
      </c>
      <c r="I1088" s="3">
        <v>181.17</v>
      </c>
      <c r="J1088" s="3">
        <v>114.07</v>
      </c>
      <c r="K1088" s="3">
        <v>198.9</v>
      </c>
      <c r="L1088" s="3"/>
      <c r="N1088" s="4"/>
    </row>
    <row r="1089" spans="1:14" ht="17.5" thickBot="1" x14ac:dyDescent="0.45">
      <c r="A1089" s="4">
        <v>43946</v>
      </c>
      <c r="B1089" s="3">
        <v>149.24</v>
      </c>
      <c r="C1089" s="3">
        <v>191.64</v>
      </c>
      <c r="D1089" s="3">
        <v>113.11</v>
      </c>
      <c r="E1089" s="3">
        <v>1.105</v>
      </c>
      <c r="F1089" s="3">
        <v>221.99</v>
      </c>
      <c r="G1089" s="3">
        <v>221.13</v>
      </c>
      <c r="H1089" s="3">
        <v>162.03</v>
      </c>
      <c r="I1089" s="3">
        <v>181.17</v>
      </c>
      <c r="J1089" s="3">
        <v>114.07</v>
      </c>
      <c r="K1089" s="3">
        <v>198.9</v>
      </c>
      <c r="L1089" s="3"/>
      <c r="N1089" s="4"/>
    </row>
    <row r="1090" spans="1:14" ht="17.5" thickBot="1" x14ac:dyDescent="0.45">
      <c r="A1090" s="4">
        <v>43947</v>
      </c>
      <c r="B1090" s="3">
        <v>149.24</v>
      </c>
      <c r="C1090" s="3">
        <v>191.64</v>
      </c>
      <c r="D1090" s="3">
        <v>113.11</v>
      </c>
      <c r="E1090" s="3">
        <v>1.105</v>
      </c>
      <c r="F1090" s="3">
        <v>221.99</v>
      </c>
      <c r="G1090" s="3">
        <v>221.13</v>
      </c>
      <c r="H1090" s="3">
        <v>162.03</v>
      </c>
      <c r="I1090" s="3">
        <v>181.17</v>
      </c>
      <c r="J1090" s="3">
        <v>114.07</v>
      </c>
      <c r="K1090" s="3">
        <v>198.9</v>
      </c>
      <c r="L1090" s="3"/>
      <c r="N1090" s="4"/>
    </row>
    <row r="1091" spans="1:14" ht="17.5" thickBot="1" x14ac:dyDescent="0.45">
      <c r="A1091" s="4">
        <v>43948</v>
      </c>
      <c r="B1091" s="3">
        <v>152.08000000000001</v>
      </c>
      <c r="C1091" s="3">
        <v>195.67</v>
      </c>
      <c r="D1091" s="3">
        <v>113.37</v>
      </c>
      <c r="E1091" s="3">
        <v>1.1160000000000001</v>
      </c>
      <c r="F1091" s="3">
        <v>225.57</v>
      </c>
      <c r="G1091" s="3">
        <v>224.96</v>
      </c>
      <c r="H1091" s="3">
        <v>163.82</v>
      </c>
      <c r="I1091" s="3">
        <v>184.47</v>
      </c>
      <c r="J1091" s="3">
        <v>114.07</v>
      </c>
      <c r="K1091" s="3">
        <v>200.74</v>
      </c>
      <c r="L1091" s="3"/>
      <c r="N1091" s="4"/>
    </row>
    <row r="1092" spans="1:14" ht="17.5" thickBot="1" x14ac:dyDescent="0.45">
      <c r="A1092" s="4">
        <v>43949</v>
      </c>
      <c r="B1092" s="3">
        <v>154.13</v>
      </c>
      <c r="C1092" s="3">
        <v>196.22</v>
      </c>
      <c r="D1092" s="3">
        <v>113.46</v>
      </c>
      <c r="E1092" s="3">
        <v>1.1177999999999999</v>
      </c>
      <c r="F1092" s="3">
        <v>227.01</v>
      </c>
      <c r="G1092" s="3">
        <v>224.12</v>
      </c>
      <c r="H1092" s="3">
        <v>164.67</v>
      </c>
      <c r="I1092" s="3">
        <v>185.08</v>
      </c>
      <c r="J1092" s="3">
        <v>114.07</v>
      </c>
      <c r="K1092" s="3">
        <v>201.71</v>
      </c>
      <c r="L1092" s="3"/>
      <c r="N1092" s="4"/>
    </row>
    <row r="1093" spans="1:14" ht="17.5" thickBot="1" x14ac:dyDescent="0.45">
      <c r="A1093" s="4">
        <v>43950</v>
      </c>
      <c r="B1093" s="3">
        <v>154.19</v>
      </c>
      <c r="C1093" s="3">
        <v>200.17</v>
      </c>
      <c r="D1093" s="3">
        <v>113.91</v>
      </c>
      <c r="E1093" s="3">
        <v>1.1336999999999999</v>
      </c>
      <c r="F1093" s="3">
        <v>228.78</v>
      </c>
      <c r="G1093" s="3">
        <v>230.71</v>
      </c>
      <c r="H1093" s="3">
        <v>165.65</v>
      </c>
      <c r="I1093" s="3">
        <v>190.7</v>
      </c>
      <c r="J1093" s="3">
        <v>114.13</v>
      </c>
      <c r="K1093" s="3">
        <v>202.72</v>
      </c>
      <c r="L1093" s="3"/>
      <c r="N1093" s="4"/>
    </row>
    <row r="1094" spans="1:14" ht="17.5" thickBot="1" x14ac:dyDescent="0.45">
      <c r="A1094" s="4">
        <v>43951</v>
      </c>
      <c r="B1094" s="3">
        <v>154.19</v>
      </c>
      <c r="C1094" s="3">
        <v>200.17</v>
      </c>
      <c r="D1094" s="3">
        <v>113.91</v>
      </c>
      <c r="E1094" s="3">
        <v>1.1336999999999999</v>
      </c>
      <c r="F1094" s="3">
        <v>228.78</v>
      </c>
      <c r="G1094" s="3">
        <v>230.71</v>
      </c>
      <c r="H1094" s="3">
        <v>165.65</v>
      </c>
      <c r="I1094" s="3">
        <v>190.7</v>
      </c>
      <c r="J1094" s="3">
        <v>114.13</v>
      </c>
      <c r="K1094" s="3">
        <v>202.72</v>
      </c>
      <c r="L1094" s="3"/>
      <c r="N1094" s="4"/>
    </row>
    <row r="1095" spans="1:14" ht="17.5" thickBot="1" x14ac:dyDescent="0.45">
      <c r="A1095" s="4">
        <v>43952</v>
      </c>
      <c r="B1095" s="3">
        <v>154.19</v>
      </c>
      <c r="C1095" s="3">
        <v>200.17</v>
      </c>
      <c r="D1095" s="3">
        <v>113.91</v>
      </c>
      <c r="E1095" s="3">
        <v>1.1336999999999999</v>
      </c>
      <c r="F1095" s="3">
        <v>228.78</v>
      </c>
      <c r="G1095" s="3">
        <v>230.71</v>
      </c>
      <c r="H1095" s="3">
        <v>165.65</v>
      </c>
      <c r="I1095" s="3">
        <v>190.7</v>
      </c>
      <c r="J1095" s="3">
        <v>114.13</v>
      </c>
      <c r="K1095" s="3">
        <v>202.72</v>
      </c>
      <c r="L1095" s="3"/>
      <c r="N1095" s="4"/>
    </row>
    <row r="1096" spans="1:14" ht="17.5" thickBot="1" x14ac:dyDescent="0.45">
      <c r="A1096" s="4">
        <v>43953</v>
      </c>
      <c r="B1096" s="3">
        <v>154.19</v>
      </c>
      <c r="C1096" s="3">
        <v>200.17</v>
      </c>
      <c r="D1096" s="3">
        <v>113.91</v>
      </c>
      <c r="E1096" s="3">
        <v>1.1336999999999999</v>
      </c>
      <c r="F1096" s="3">
        <v>228.78</v>
      </c>
      <c r="G1096" s="3">
        <v>230.71</v>
      </c>
      <c r="H1096" s="3">
        <v>165.65</v>
      </c>
      <c r="I1096" s="3">
        <v>190.7</v>
      </c>
      <c r="J1096" s="3">
        <v>114.13</v>
      </c>
      <c r="K1096" s="3">
        <v>202.72</v>
      </c>
      <c r="L1096" s="3"/>
      <c r="N1096" s="4"/>
    </row>
    <row r="1097" spans="1:14" ht="17.5" thickBot="1" x14ac:dyDescent="0.45">
      <c r="A1097" s="4">
        <v>43954</v>
      </c>
      <c r="B1097" s="3">
        <v>154.19</v>
      </c>
      <c r="C1097" s="3">
        <v>200.17</v>
      </c>
      <c r="D1097" s="3">
        <v>113.91</v>
      </c>
      <c r="E1097" s="3">
        <v>1.1336999999999999</v>
      </c>
      <c r="F1097" s="3">
        <v>228.78</v>
      </c>
      <c r="G1097" s="3">
        <v>230.71</v>
      </c>
      <c r="H1097" s="3">
        <v>165.65</v>
      </c>
      <c r="I1097" s="3">
        <v>190.7</v>
      </c>
      <c r="J1097" s="3">
        <v>114.13</v>
      </c>
      <c r="K1097" s="3">
        <v>202.72</v>
      </c>
      <c r="L1097" s="3"/>
      <c r="N1097" s="4"/>
    </row>
    <row r="1098" spans="1:14" ht="17.5" thickBot="1" x14ac:dyDescent="0.45">
      <c r="A1098" s="4">
        <v>43955</v>
      </c>
      <c r="B1098" s="3">
        <v>147.85</v>
      </c>
      <c r="C1098" s="3">
        <v>195.69</v>
      </c>
      <c r="D1098" s="3">
        <v>113.81</v>
      </c>
      <c r="E1098" s="3">
        <v>1.1101000000000001</v>
      </c>
      <c r="F1098" s="3">
        <v>223.27</v>
      </c>
      <c r="G1098" s="3">
        <v>222.74</v>
      </c>
      <c r="H1098" s="3">
        <v>162.86000000000001</v>
      </c>
      <c r="I1098" s="3">
        <v>183.7</v>
      </c>
      <c r="J1098" s="3">
        <v>114.13</v>
      </c>
      <c r="K1098" s="3">
        <v>199.85</v>
      </c>
      <c r="L1098" s="3"/>
      <c r="N1098" s="4"/>
    </row>
    <row r="1099" spans="1:14" ht="17.5" thickBot="1" x14ac:dyDescent="0.45">
      <c r="A1099" s="4">
        <v>43956</v>
      </c>
      <c r="B1099" s="3">
        <v>149.46</v>
      </c>
      <c r="C1099" s="3">
        <v>197.66</v>
      </c>
      <c r="D1099" s="3">
        <v>113.99</v>
      </c>
      <c r="E1099" s="3">
        <v>1.1164000000000001</v>
      </c>
      <c r="F1099" s="3">
        <v>225.17</v>
      </c>
      <c r="G1099" s="3">
        <v>224.73</v>
      </c>
      <c r="H1099" s="3">
        <v>163.72999999999999</v>
      </c>
      <c r="I1099" s="3">
        <v>185.23</v>
      </c>
      <c r="J1099" s="3">
        <v>114.13</v>
      </c>
      <c r="K1099" s="3">
        <v>200.69</v>
      </c>
      <c r="L1099" s="3"/>
      <c r="N1099" s="4"/>
    </row>
    <row r="1100" spans="1:14" ht="17.5" thickBot="1" x14ac:dyDescent="0.45">
      <c r="A1100" s="4">
        <v>43957</v>
      </c>
      <c r="B1100" s="3">
        <v>151.56</v>
      </c>
      <c r="C1100" s="3">
        <v>198.74</v>
      </c>
      <c r="D1100" s="3">
        <v>113.72</v>
      </c>
      <c r="E1100" s="3">
        <v>1.1120000000000001</v>
      </c>
      <c r="F1100" s="3">
        <v>225.59</v>
      </c>
      <c r="G1100" s="3">
        <v>223.2</v>
      </c>
      <c r="H1100" s="3">
        <v>163.79</v>
      </c>
      <c r="I1100" s="3">
        <v>183.61</v>
      </c>
      <c r="J1100" s="3">
        <v>114.13</v>
      </c>
      <c r="K1100" s="3">
        <v>200.64</v>
      </c>
      <c r="L1100" s="3"/>
      <c r="N1100" s="4"/>
    </row>
    <row r="1101" spans="1:14" ht="17.5" thickBot="1" x14ac:dyDescent="0.45">
      <c r="A1101" s="4">
        <v>43958</v>
      </c>
      <c r="B1101" s="3">
        <v>150.38999999999999</v>
      </c>
      <c r="C1101" s="3">
        <v>198.55</v>
      </c>
      <c r="D1101" s="3">
        <v>113.72</v>
      </c>
      <c r="E1101" s="3">
        <v>1.1187</v>
      </c>
      <c r="F1101" s="3">
        <v>226.13</v>
      </c>
      <c r="G1101" s="3">
        <v>225.71</v>
      </c>
      <c r="H1101" s="3">
        <v>164.06</v>
      </c>
      <c r="I1101" s="3">
        <v>185.24</v>
      </c>
      <c r="J1101" s="3">
        <v>114.13</v>
      </c>
      <c r="K1101" s="3">
        <v>200.94</v>
      </c>
      <c r="L1101" s="3"/>
      <c r="N1101" s="4"/>
    </row>
    <row r="1102" spans="1:14" ht="17.5" thickBot="1" x14ac:dyDescent="0.45">
      <c r="A1102" s="4">
        <v>43959</v>
      </c>
      <c r="B1102" s="3">
        <v>151.97</v>
      </c>
      <c r="C1102" s="3">
        <v>201.16</v>
      </c>
      <c r="D1102" s="3">
        <v>114.35</v>
      </c>
      <c r="E1102" s="3">
        <v>1.1304000000000001</v>
      </c>
      <c r="F1102" s="3">
        <v>229.25</v>
      </c>
      <c r="G1102" s="3">
        <v>229.77</v>
      </c>
      <c r="H1102" s="3">
        <v>165.69</v>
      </c>
      <c r="I1102" s="3">
        <v>189.04</v>
      </c>
      <c r="J1102" s="3">
        <v>114.13</v>
      </c>
      <c r="K1102" s="3">
        <v>202.64</v>
      </c>
      <c r="L1102" s="3"/>
      <c r="N1102" s="4"/>
    </row>
    <row r="1103" spans="1:14" ht="17.5" thickBot="1" x14ac:dyDescent="0.45">
      <c r="A1103" s="4">
        <v>43960</v>
      </c>
      <c r="B1103" s="3">
        <v>151.97</v>
      </c>
      <c r="C1103" s="3">
        <v>201.16</v>
      </c>
      <c r="D1103" s="3">
        <v>114.35</v>
      </c>
      <c r="E1103" s="3">
        <v>1.1304000000000001</v>
      </c>
      <c r="F1103" s="3">
        <v>229.25</v>
      </c>
      <c r="G1103" s="3">
        <v>229.77</v>
      </c>
      <c r="H1103" s="3">
        <v>165.69</v>
      </c>
      <c r="I1103" s="3">
        <v>189.04</v>
      </c>
      <c r="J1103" s="3">
        <v>114.13</v>
      </c>
      <c r="K1103" s="3">
        <v>202.64</v>
      </c>
      <c r="L1103" s="3"/>
      <c r="N1103" s="4"/>
    </row>
    <row r="1104" spans="1:14" ht="17.5" thickBot="1" x14ac:dyDescent="0.45">
      <c r="A1104" s="4">
        <v>43961</v>
      </c>
      <c r="B1104" s="3">
        <v>151.97</v>
      </c>
      <c r="C1104" s="3">
        <v>201.16</v>
      </c>
      <c r="D1104" s="3">
        <v>114.35</v>
      </c>
      <c r="E1104" s="3">
        <v>1.1304000000000001</v>
      </c>
      <c r="F1104" s="3">
        <v>229.25</v>
      </c>
      <c r="G1104" s="3">
        <v>229.77</v>
      </c>
      <c r="H1104" s="3">
        <v>165.69</v>
      </c>
      <c r="I1104" s="3">
        <v>189.04</v>
      </c>
      <c r="J1104" s="3">
        <v>114.13</v>
      </c>
      <c r="K1104" s="3">
        <v>202.64</v>
      </c>
      <c r="L1104" s="3"/>
      <c r="N1104" s="4"/>
    </row>
    <row r="1105" spans="1:14" ht="17.5" thickBot="1" x14ac:dyDescent="0.45">
      <c r="A1105" s="4">
        <v>43962</v>
      </c>
      <c r="B1105" s="3">
        <v>154.28</v>
      </c>
      <c r="C1105" s="3">
        <v>202.04</v>
      </c>
      <c r="D1105" s="3">
        <v>114.07</v>
      </c>
      <c r="E1105" s="3">
        <v>1.1293</v>
      </c>
      <c r="F1105" s="3">
        <v>229.77</v>
      </c>
      <c r="G1105" s="3">
        <v>229.82</v>
      </c>
      <c r="H1105" s="3">
        <v>165.79</v>
      </c>
      <c r="I1105" s="3">
        <v>188.4</v>
      </c>
      <c r="J1105" s="3">
        <v>114.13</v>
      </c>
      <c r="K1105" s="3">
        <v>202.62</v>
      </c>
      <c r="L1105" s="3"/>
      <c r="N1105" s="4"/>
    </row>
    <row r="1106" spans="1:14" ht="17.5" thickBot="1" x14ac:dyDescent="0.45">
      <c r="A1106" s="4">
        <v>43963</v>
      </c>
      <c r="B1106" s="3">
        <v>152.11000000000001</v>
      </c>
      <c r="C1106" s="3">
        <v>200.38</v>
      </c>
      <c r="D1106" s="3">
        <v>114.34</v>
      </c>
      <c r="E1106" s="3">
        <v>1.1222000000000001</v>
      </c>
      <c r="F1106" s="3">
        <v>228.35</v>
      </c>
      <c r="G1106" s="3">
        <v>225.03</v>
      </c>
      <c r="H1106" s="3">
        <v>165.26</v>
      </c>
      <c r="I1106" s="3">
        <v>184.45</v>
      </c>
      <c r="J1106" s="3">
        <v>114.13</v>
      </c>
      <c r="K1106" s="3">
        <v>202.15</v>
      </c>
      <c r="L1106" s="3"/>
      <c r="N1106" s="4"/>
    </row>
    <row r="1107" spans="1:14" ht="17.5" thickBot="1" x14ac:dyDescent="0.45">
      <c r="A1107" s="4">
        <v>43964</v>
      </c>
      <c r="B1107" s="3">
        <v>151.6</v>
      </c>
      <c r="C1107" s="3">
        <v>201.18</v>
      </c>
      <c r="D1107" s="3">
        <v>114.34</v>
      </c>
      <c r="E1107" s="3">
        <v>1.1129</v>
      </c>
      <c r="F1107" s="3">
        <v>226.98</v>
      </c>
      <c r="G1107" s="3">
        <v>220.75</v>
      </c>
      <c r="H1107" s="3">
        <v>164.63</v>
      </c>
      <c r="I1107" s="3">
        <v>181.17</v>
      </c>
      <c r="J1107" s="3">
        <v>114.13</v>
      </c>
      <c r="K1107" s="3">
        <v>201.5</v>
      </c>
      <c r="L1107" s="3"/>
      <c r="N1107" s="4"/>
    </row>
    <row r="1108" spans="1:14" ht="17.5" thickBot="1" x14ac:dyDescent="0.45">
      <c r="A1108" s="4">
        <v>43965</v>
      </c>
      <c r="B1108" s="3">
        <v>149.44</v>
      </c>
      <c r="C1108" s="3">
        <v>196.87</v>
      </c>
      <c r="D1108" s="3">
        <v>114.25</v>
      </c>
      <c r="E1108" s="3">
        <v>1.1128</v>
      </c>
      <c r="F1108" s="3">
        <v>225.29</v>
      </c>
      <c r="G1108" s="3">
        <v>223.76</v>
      </c>
      <c r="H1108" s="3">
        <v>163.63999999999999</v>
      </c>
      <c r="I1108" s="3">
        <v>183.59</v>
      </c>
      <c r="J1108" s="3">
        <v>114.13</v>
      </c>
      <c r="K1108" s="3">
        <v>200.47</v>
      </c>
      <c r="L1108" s="3"/>
      <c r="N1108" s="4"/>
    </row>
    <row r="1109" spans="1:14" ht="17.5" thickBot="1" x14ac:dyDescent="0.45">
      <c r="A1109" s="4">
        <v>43966</v>
      </c>
      <c r="B1109" s="3">
        <v>149.47</v>
      </c>
      <c r="C1109" s="3">
        <v>197.71</v>
      </c>
      <c r="D1109" s="3">
        <v>114.24</v>
      </c>
      <c r="E1109" s="3">
        <v>1.1151</v>
      </c>
      <c r="F1109" s="3">
        <v>225.8</v>
      </c>
      <c r="G1109" s="3">
        <v>224.71</v>
      </c>
      <c r="H1109" s="3">
        <v>163.87</v>
      </c>
      <c r="I1109" s="3">
        <v>183.99</v>
      </c>
      <c r="J1109" s="3">
        <v>114.13</v>
      </c>
      <c r="K1109" s="3">
        <v>200.67</v>
      </c>
      <c r="L1109" s="3"/>
      <c r="N1109" s="4"/>
    </row>
    <row r="1110" spans="1:14" ht="17.5" thickBot="1" x14ac:dyDescent="0.45">
      <c r="A1110" s="4">
        <v>43967</v>
      </c>
      <c r="B1110" s="3">
        <v>149.47</v>
      </c>
      <c r="C1110" s="3">
        <v>197.71</v>
      </c>
      <c r="D1110" s="3">
        <v>114.24</v>
      </c>
      <c r="E1110" s="3">
        <v>1.1151</v>
      </c>
      <c r="F1110" s="3">
        <v>225.8</v>
      </c>
      <c r="G1110" s="3">
        <v>224.71</v>
      </c>
      <c r="H1110" s="3">
        <v>163.87</v>
      </c>
      <c r="I1110" s="3">
        <v>183.99</v>
      </c>
      <c r="J1110" s="3">
        <v>114.13</v>
      </c>
      <c r="K1110" s="3">
        <v>200.67</v>
      </c>
      <c r="L1110" s="3"/>
      <c r="N1110" s="4"/>
    </row>
    <row r="1111" spans="1:14" ht="17.5" thickBot="1" x14ac:dyDescent="0.45">
      <c r="A1111" s="4">
        <v>43968</v>
      </c>
      <c r="B1111" s="3">
        <v>149.47</v>
      </c>
      <c r="C1111" s="3">
        <v>197.71</v>
      </c>
      <c r="D1111" s="3">
        <v>114.24</v>
      </c>
      <c r="E1111" s="3">
        <v>1.1151</v>
      </c>
      <c r="F1111" s="3">
        <v>225.8</v>
      </c>
      <c r="G1111" s="3">
        <v>224.71</v>
      </c>
      <c r="H1111" s="3">
        <v>163.87</v>
      </c>
      <c r="I1111" s="3">
        <v>183.99</v>
      </c>
      <c r="J1111" s="3">
        <v>114.13</v>
      </c>
      <c r="K1111" s="3">
        <v>200.67</v>
      </c>
      <c r="L1111" s="3"/>
      <c r="N1111" s="4"/>
    </row>
    <row r="1112" spans="1:14" ht="17.5" thickBot="1" x14ac:dyDescent="0.45">
      <c r="A1112" s="4">
        <v>43969</v>
      </c>
      <c r="B1112" s="3">
        <v>150.61000000000001</v>
      </c>
      <c r="C1112" s="3">
        <v>198.75</v>
      </c>
      <c r="D1112" s="3">
        <v>114.42</v>
      </c>
      <c r="E1112" s="3">
        <v>1.1319999999999999</v>
      </c>
      <c r="F1112" s="3">
        <v>229.43</v>
      </c>
      <c r="G1112" s="3">
        <v>231.92</v>
      </c>
      <c r="H1112" s="3">
        <v>165.52</v>
      </c>
      <c r="I1112" s="3">
        <v>190.56</v>
      </c>
      <c r="J1112" s="3">
        <v>114.13</v>
      </c>
      <c r="K1112" s="3">
        <v>202.31</v>
      </c>
      <c r="L1112" s="3"/>
      <c r="N1112" s="4"/>
    </row>
    <row r="1113" spans="1:14" ht="17.5" thickBot="1" x14ac:dyDescent="0.45">
      <c r="A1113" s="4">
        <v>43970</v>
      </c>
      <c r="B1113" s="3">
        <v>153.03</v>
      </c>
      <c r="C1113" s="3">
        <v>203.21</v>
      </c>
      <c r="D1113" s="3">
        <v>114.69</v>
      </c>
      <c r="E1113" s="3">
        <v>1.1313</v>
      </c>
      <c r="F1113" s="3">
        <v>231.13</v>
      </c>
      <c r="G1113" s="3">
        <v>229.71</v>
      </c>
      <c r="H1113" s="3">
        <v>166.61</v>
      </c>
      <c r="I1113" s="3">
        <v>188.2</v>
      </c>
      <c r="J1113" s="3">
        <v>114.13</v>
      </c>
      <c r="K1113" s="3">
        <v>203.54</v>
      </c>
      <c r="L1113" s="3"/>
      <c r="N1113" s="4"/>
    </row>
    <row r="1114" spans="1:14" ht="17.5" thickBot="1" x14ac:dyDescent="0.45">
      <c r="A1114" s="4">
        <v>43971</v>
      </c>
      <c r="B1114" s="3">
        <v>153.27000000000001</v>
      </c>
      <c r="C1114" s="3">
        <v>204.79</v>
      </c>
      <c r="D1114" s="3">
        <v>114.87</v>
      </c>
      <c r="E1114" s="3">
        <v>1.1416999999999999</v>
      </c>
      <c r="F1114" s="3">
        <v>232.98</v>
      </c>
      <c r="G1114" s="3">
        <v>233.54</v>
      </c>
      <c r="H1114" s="3">
        <v>167.65</v>
      </c>
      <c r="I1114" s="3">
        <v>191.63</v>
      </c>
      <c r="J1114" s="3">
        <v>114.13</v>
      </c>
      <c r="K1114" s="3">
        <v>204.7</v>
      </c>
      <c r="L1114" s="3"/>
      <c r="N1114" s="4"/>
    </row>
    <row r="1115" spans="1:14" ht="17.5" thickBot="1" x14ac:dyDescent="0.45">
      <c r="A1115" s="4">
        <v>43972</v>
      </c>
      <c r="B1115" s="3">
        <v>152.11000000000001</v>
      </c>
      <c r="C1115" s="3">
        <v>204.96</v>
      </c>
      <c r="D1115" s="3">
        <v>115.05</v>
      </c>
      <c r="E1115" s="3">
        <v>1.1373</v>
      </c>
      <c r="F1115" s="3">
        <v>231.59</v>
      </c>
      <c r="G1115" s="3">
        <v>232.2</v>
      </c>
      <c r="H1115" s="3">
        <v>167.06</v>
      </c>
      <c r="I1115" s="3">
        <v>190.97</v>
      </c>
      <c r="J1115" s="3">
        <v>114.13</v>
      </c>
      <c r="K1115" s="3">
        <v>204.14</v>
      </c>
      <c r="L1115" s="3"/>
      <c r="N1115" s="4"/>
    </row>
    <row r="1116" spans="1:14" ht="17.5" thickBot="1" x14ac:dyDescent="0.45">
      <c r="A1116" s="4">
        <v>43973</v>
      </c>
      <c r="B1116" s="3">
        <v>144.58000000000001</v>
      </c>
      <c r="C1116" s="3">
        <v>201.37</v>
      </c>
      <c r="D1116" s="3">
        <v>114.5</v>
      </c>
      <c r="E1116" s="3">
        <v>1.135</v>
      </c>
      <c r="F1116" s="3">
        <v>227.36</v>
      </c>
      <c r="G1116" s="3">
        <v>232.55</v>
      </c>
      <c r="H1116" s="3">
        <v>164.94</v>
      </c>
      <c r="I1116" s="3">
        <v>191.31</v>
      </c>
      <c r="J1116" s="3">
        <v>114.13</v>
      </c>
      <c r="K1116" s="3">
        <v>201.91</v>
      </c>
      <c r="L1116" s="3"/>
      <c r="N1116" s="4"/>
    </row>
    <row r="1117" spans="1:14" ht="17.5" thickBot="1" x14ac:dyDescent="0.45">
      <c r="A1117" s="4">
        <v>43974</v>
      </c>
      <c r="B1117" s="3">
        <v>144.58000000000001</v>
      </c>
      <c r="C1117" s="3">
        <v>201.37</v>
      </c>
      <c r="D1117" s="3">
        <v>114.5</v>
      </c>
      <c r="E1117" s="3">
        <v>1.135</v>
      </c>
      <c r="F1117" s="3">
        <v>227.36</v>
      </c>
      <c r="G1117" s="3">
        <v>232.55</v>
      </c>
      <c r="H1117" s="3">
        <v>164.94</v>
      </c>
      <c r="I1117" s="3">
        <v>191.31</v>
      </c>
      <c r="J1117" s="3">
        <v>114.13</v>
      </c>
      <c r="K1117" s="3">
        <v>201.91</v>
      </c>
      <c r="L1117" s="3"/>
      <c r="N1117" s="4"/>
    </row>
    <row r="1118" spans="1:14" ht="17.5" thickBot="1" x14ac:dyDescent="0.45">
      <c r="A1118" s="4">
        <v>43975</v>
      </c>
      <c r="B1118" s="3">
        <v>144.58000000000001</v>
      </c>
      <c r="C1118" s="3">
        <v>201.37</v>
      </c>
      <c r="D1118" s="3">
        <v>114.5</v>
      </c>
      <c r="E1118" s="3">
        <v>1.135</v>
      </c>
      <c r="F1118" s="3">
        <v>227.36</v>
      </c>
      <c r="G1118" s="3">
        <v>232.55</v>
      </c>
      <c r="H1118" s="3">
        <v>164.94</v>
      </c>
      <c r="I1118" s="3">
        <v>191.31</v>
      </c>
      <c r="J1118" s="3">
        <v>114.13</v>
      </c>
      <c r="K1118" s="3">
        <v>201.91</v>
      </c>
      <c r="L1118" s="3"/>
      <c r="N1118" s="4"/>
    </row>
    <row r="1119" spans="1:14" ht="17.5" thickBot="1" x14ac:dyDescent="0.45">
      <c r="A1119" s="4">
        <v>43976</v>
      </c>
      <c r="B1119" s="3">
        <v>144.6</v>
      </c>
      <c r="C1119" s="3">
        <v>202.92</v>
      </c>
      <c r="D1119" s="3">
        <v>114.49</v>
      </c>
      <c r="E1119" s="3">
        <v>1.1385000000000001</v>
      </c>
      <c r="F1119" s="3">
        <v>228.97</v>
      </c>
      <c r="G1119" s="3">
        <v>232.34</v>
      </c>
      <c r="H1119" s="3">
        <v>165.73</v>
      </c>
      <c r="I1119" s="3">
        <v>191.18</v>
      </c>
      <c r="J1119" s="3">
        <v>114.13</v>
      </c>
      <c r="K1119" s="3">
        <v>202.73</v>
      </c>
      <c r="L1119" s="3"/>
      <c r="N1119" s="4"/>
    </row>
    <row r="1120" spans="1:14" ht="17.5" thickBot="1" x14ac:dyDescent="0.45">
      <c r="A1120" s="4">
        <v>43977</v>
      </c>
      <c r="B1120" s="3">
        <v>147.47</v>
      </c>
      <c r="C1120" s="3">
        <v>207.44</v>
      </c>
      <c r="D1120" s="3">
        <v>115.04</v>
      </c>
      <c r="E1120" s="3">
        <v>1.1477999999999999</v>
      </c>
      <c r="F1120" s="3">
        <v>232.69</v>
      </c>
      <c r="G1120" s="3">
        <v>235.2</v>
      </c>
      <c r="H1120" s="3">
        <v>167.68</v>
      </c>
      <c r="I1120" s="3">
        <v>194.55</v>
      </c>
      <c r="J1120" s="3">
        <v>114.13</v>
      </c>
      <c r="K1120" s="3">
        <v>204.78</v>
      </c>
      <c r="L1120" s="3"/>
      <c r="N1120" s="4"/>
    </row>
    <row r="1121" spans="1:14" ht="17.5" thickBot="1" x14ac:dyDescent="0.45">
      <c r="A1121" s="4">
        <v>43978</v>
      </c>
      <c r="B1121" s="3">
        <v>146.62</v>
      </c>
      <c r="C1121" s="3">
        <v>206.85</v>
      </c>
      <c r="D1121" s="3">
        <v>114.67</v>
      </c>
      <c r="E1121" s="3">
        <v>1.1549</v>
      </c>
      <c r="F1121" s="3">
        <v>232.82</v>
      </c>
      <c r="G1121" s="3">
        <v>238.63</v>
      </c>
      <c r="H1121" s="3">
        <v>167.78</v>
      </c>
      <c r="I1121" s="3">
        <v>197.85</v>
      </c>
      <c r="J1121" s="3">
        <v>114.13</v>
      </c>
      <c r="K1121" s="3">
        <v>204.92</v>
      </c>
      <c r="L1121" s="3"/>
      <c r="N1121" s="4"/>
    </row>
    <row r="1122" spans="1:14" ht="17.5" thickBot="1" x14ac:dyDescent="0.45">
      <c r="A1122" s="4">
        <v>43979</v>
      </c>
      <c r="B1122" s="3">
        <v>145.88</v>
      </c>
      <c r="C1122" s="3">
        <v>208.65</v>
      </c>
      <c r="D1122" s="3">
        <v>114.67</v>
      </c>
      <c r="E1122" s="3">
        <v>1.1583000000000001</v>
      </c>
      <c r="F1122" s="3">
        <v>233.75</v>
      </c>
      <c r="G1122" s="3">
        <v>237.94</v>
      </c>
      <c r="H1122" s="3">
        <v>168.49</v>
      </c>
      <c r="I1122" s="3">
        <v>196.74</v>
      </c>
      <c r="J1122" s="3">
        <v>114.13</v>
      </c>
      <c r="K1122" s="3">
        <v>205.71</v>
      </c>
      <c r="L1122" s="3"/>
      <c r="N1122" s="4"/>
    </row>
    <row r="1123" spans="1:14" ht="17.5" thickBot="1" x14ac:dyDescent="0.45">
      <c r="A1123" s="4">
        <v>43980</v>
      </c>
      <c r="B1123" s="3">
        <v>145.05000000000001</v>
      </c>
      <c r="C1123" s="3">
        <v>208.25</v>
      </c>
      <c r="D1123" s="3">
        <v>114.76</v>
      </c>
      <c r="E1123" s="3">
        <v>1.1593</v>
      </c>
      <c r="F1123" s="3">
        <v>233.89</v>
      </c>
      <c r="G1123" s="3">
        <v>238.96</v>
      </c>
      <c r="H1123" s="3">
        <v>168.63</v>
      </c>
      <c r="I1123" s="3">
        <v>197.42</v>
      </c>
      <c r="J1123" s="3">
        <v>114.14</v>
      </c>
      <c r="K1123" s="3">
        <v>205.95</v>
      </c>
      <c r="L1123" s="3"/>
      <c r="N1123" s="4"/>
    </row>
    <row r="1124" spans="1:14" ht="17.5" thickBot="1" x14ac:dyDescent="0.45">
      <c r="A1124" s="4">
        <v>43981</v>
      </c>
      <c r="B1124" s="3">
        <v>145.05000000000001</v>
      </c>
      <c r="C1124" s="3">
        <v>208.25</v>
      </c>
      <c r="D1124" s="3">
        <v>114.76</v>
      </c>
      <c r="E1124" s="3">
        <v>1.1593</v>
      </c>
      <c r="F1124" s="3">
        <v>233.89</v>
      </c>
      <c r="G1124" s="3">
        <v>238.96</v>
      </c>
      <c r="H1124" s="3">
        <v>168.63</v>
      </c>
      <c r="I1124" s="3">
        <v>197.42</v>
      </c>
      <c r="J1124" s="3">
        <v>114.14</v>
      </c>
      <c r="K1124" s="3">
        <v>205.95</v>
      </c>
      <c r="L1124" s="3"/>
      <c r="N1124" s="4"/>
    </row>
    <row r="1125" spans="1:14" ht="17.5" thickBot="1" x14ac:dyDescent="0.45">
      <c r="A1125" s="4">
        <v>43982</v>
      </c>
      <c r="B1125" s="3">
        <v>145.05000000000001</v>
      </c>
      <c r="C1125" s="3">
        <v>208.25</v>
      </c>
      <c r="D1125" s="3">
        <v>114.76</v>
      </c>
      <c r="E1125" s="3">
        <v>1.1593</v>
      </c>
      <c r="F1125" s="3">
        <v>233.89</v>
      </c>
      <c r="G1125" s="3">
        <v>238.96</v>
      </c>
      <c r="H1125" s="3">
        <v>168.63</v>
      </c>
      <c r="I1125" s="3">
        <v>197.42</v>
      </c>
      <c r="J1125" s="3">
        <v>114.14</v>
      </c>
      <c r="K1125" s="3">
        <v>205.95</v>
      </c>
      <c r="L1125" s="3"/>
      <c r="N1125" s="4"/>
    </row>
    <row r="1126" spans="1:14" ht="17.5" thickBot="1" x14ac:dyDescent="0.45">
      <c r="A1126" s="4">
        <v>43983</v>
      </c>
      <c r="B1126" s="3">
        <v>149.86000000000001</v>
      </c>
      <c r="C1126" s="3">
        <v>214.13</v>
      </c>
      <c r="D1126" s="3">
        <v>115.48</v>
      </c>
      <c r="E1126" s="3">
        <v>1.1646000000000001</v>
      </c>
      <c r="F1126" s="3">
        <v>237.63</v>
      </c>
      <c r="G1126" s="3">
        <v>239.63</v>
      </c>
      <c r="H1126" s="3">
        <v>170.5</v>
      </c>
      <c r="I1126" s="3">
        <v>199.01</v>
      </c>
      <c r="J1126" s="3">
        <v>114.14</v>
      </c>
      <c r="K1126" s="3">
        <v>207.84</v>
      </c>
      <c r="L1126" s="3"/>
      <c r="N1126" s="4"/>
    </row>
    <row r="1127" spans="1:14" ht="17.5" thickBot="1" x14ac:dyDescent="0.45">
      <c r="A1127" s="4">
        <v>43984</v>
      </c>
      <c r="B1127" s="3">
        <v>151.37</v>
      </c>
      <c r="C1127" s="3">
        <v>217.16</v>
      </c>
      <c r="D1127" s="3">
        <v>115.93</v>
      </c>
      <c r="E1127" s="3">
        <v>1.1722999999999999</v>
      </c>
      <c r="F1127" s="3">
        <v>239.73</v>
      </c>
      <c r="G1127" s="3">
        <v>241.64</v>
      </c>
      <c r="H1127" s="3">
        <v>171.67</v>
      </c>
      <c r="I1127" s="3">
        <v>201.87</v>
      </c>
      <c r="J1127" s="3">
        <v>114.14</v>
      </c>
      <c r="K1127" s="3">
        <v>209.1</v>
      </c>
      <c r="L1127" s="3"/>
      <c r="N1127" s="4"/>
    </row>
    <row r="1128" spans="1:14" ht="17.5" thickBot="1" x14ac:dyDescent="0.45">
      <c r="A1128" s="4">
        <v>43985</v>
      </c>
      <c r="B1128" s="3">
        <v>153.81</v>
      </c>
      <c r="C1128" s="3">
        <v>222.69</v>
      </c>
      <c r="D1128" s="3">
        <v>116.11</v>
      </c>
      <c r="E1128" s="3">
        <v>1.1825000000000001</v>
      </c>
      <c r="F1128" s="3">
        <v>243.44</v>
      </c>
      <c r="G1128" s="3">
        <v>244.81</v>
      </c>
      <c r="H1128" s="3">
        <v>173.53</v>
      </c>
      <c r="I1128" s="3">
        <v>205.34</v>
      </c>
      <c r="J1128" s="3">
        <v>114.14</v>
      </c>
      <c r="K1128" s="3">
        <v>211</v>
      </c>
      <c r="L1128" s="3"/>
      <c r="N1128" s="4"/>
    </row>
    <row r="1129" spans="1:14" ht="17.5" thickBot="1" x14ac:dyDescent="0.45">
      <c r="A1129" s="4">
        <v>43986</v>
      </c>
      <c r="B1129" s="3">
        <v>153.99</v>
      </c>
      <c r="C1129" s="3">
        <v>223.91</v>
      </c>
      <c r="D1129" s="3">
        <v>116.02</v>
      </c>
      <c r="E1129" s="3">
        <v>1.1815</v>
      </c>
      <c r="F1129" s="3">
        <v>244.08</v>
      </c>
      <c r="G1129" s="3">
        <v>243.99</v>
      </c>
      <c r="H1129" s="3">
        <v>173.98</v>
      </c>
      <c r="I1129" s="3">
        <v>204.89</v>
      </c>
      <c r="J1129" s="3">
        <v>114.14</v>
      </c>
      <c r="K1129" s="3">
        <v>211.53</v>
      </c>
      <c r="L1129" s="3"/>
      <c r="N1129" s="4"/>
    </row>
    <row r="1130" spans="1:14" ht="17.5" thickBot="1" x14ac:dyDescent="0.45">
      <c r="A1130" s="4">
        <v>43987</v>
      </c>
      <c r="B1130" s="3">
        <v>156.44999999999999</v>
      </c>
      <c r="C1130" s="3">
        <v>225.73</v>
      </c>
      <c r="D1130" s="3">
        <v>115.93</v>
      </c>
      <c r="E1130" s="3">
        <v>1.1953</v>
      </c>
      <c r="F1130" s="3">
        <v>247.14</v>
      </c>
      <c r="G1130" s="3">
        <v>250.45</v>
      </c>
      <c r="H1130" s="3">
        <v>175.46</v>
      </c>
      <c r="I1130" s="3">
        <v>210.79</v>
      </c>
      <c r="J1130" s="3">
        <v>114.14</v>
      </c>
      <c r="K1130" s="3">
        <v>213.06</v>
      </c>
      <c r="L1130" s="3"/>
      <c r="N1130" s="4"/>
    </row>
    <row r="1131" spans="1:14" ht="17.5" thickBot="1" x14ac:dyDescent="0.45">
      <c r="A1131" s="4">
        <v>43988</v>
      </c>
      <c r="B1131" s="3">
        <v>156.44999999999999</v>
      </c>
      <c r="C1131" s="3">
        <v>225.73</v>
      </c>
      <c r="D1131" s="3">
        <v>115.93</v>
      </c>
      <c r="E1131" s="3">
        <v>1.1953</v>
      </c>
      <c r="F1131" s="3">
        <v>247.14</v>
      </c>
      <c r="G1131" s="3">
        <v>250.45</v>
      </c>
      <c r="H1131" s="3">
        <v>175.46</v>
      </c>
      <c r="I1131" s="3">
        <v>210.79</v>
      </c>
      <c r="J1131" s="3">
        <v>114.14</v>
      </c>
      <c r="K1131" s="3">
        <v>213.06</v>
      </c>
      <c r="L1131" s="3"/>
      <c r="N1131" s="4"/>
    </row>
    <row r="1132" spans="1:14" ht="17.5" thickBot="1" x14ac:dyDescent="0.45">
      <c r="A1132" s="4">
        <v>43989</v>
      </c>
      <c r="B1132" s="3">
        <v>156.44999999999999</v>
      </c>
      <c r="C1132" s="3">
        <v>225.73</v>
      </c>
      <c r="D1132" s="3">
        <v>115.93</v>
      </c>
      <c r="E1132" s="3">
        <v>1.1953</v>
      </c>
      <c r="F1132" s="3">
        <v>247.14</v>
      </c>
      <c r="G1132" s="3">
        <v>250.45</v>
      </c>
      <c r="H1132" s="3">
        <v>175.46</v>
      </c>
      <c r="I1132" s="3">
        <v>210.79</v>
      </c>
      <c r="J1132" s="3">
        <v>114.14</v>
      </c>
      <c r="K1132" s="3">
        <v>213.06</v>
      </c>
      <c r="L1132" s="3"/>
      <c r="N1132" s="4"/>
    </row>
    <row r="1133" spans="1:14" ht="17.5" thickBot="1" x14ac:dyDescent="0.45">
      <c r="A1133" s="4">
        <v>43990</v>
      </c>
      <c r="B1133" s="3">
        <v>156.19</v>
      </c>
      <c r="C1133" s="3">
        <v>226.8</v>
      </c>
      <c r="D1133" s="3">
        <v>116.01</v>
      </c>
      <c r="E1133" s="3">
        <v>1.2025999999999999</v>
      </c>
      <c r="F1133" s="3">
        <v>248.15</v>
      </c>
      <c r="G1133" s="3">
        <v>253.45</v>
      </c>
      <c r="H1133" s="3">
        <v>176.07</v>
      </c>
      <c r="I1133" s="3">
        <v>214.34</v>
      </c>
      <c r="J1133" s="3">
        <v>114.14</v>
      </c>
      <c r="K1133" s="3">
        <v>213.78</v>
      </c>
      <c r="L1133" s="3"/>
      <c r="N1133" s="4"/>
    </row>
    <row r="1134" spans="1:14" ht="17.5" thickBot="1" x14ac:dyDescent="0.45">
      <c r="A1134" s="4">
        <v>43991</v>
      </c>
      <c r="B1134" s="3">
        <v>158.26</v>
      </c>
      <c r="C1134" s="3">
        <v>227.74</v>
      </c>
      <c r="D1134" s="3">
        <v>116.46</v>
      </c>
      <c r="E1134" s="3">
        <v>1.2</v>
      </c>
      <c r="F1134" s="3">
        <v>248.42</v>
      </c>
      <c r="G1134" s="3">
        <v>251.55</v>
      </c>
      <c r="H1134" s="3">
        <v>176.34</v>
      </c>
      <c r="I1134" s="3">
        <v>212.07</v>
      </c>
      <c r="J1134" s="3">
        <v>114.14</v>
      </c>
      <c r="K1134" s="3">
        <v>214.1</v>
      </c>
      <c r="L1134" s="3"/>
      <c r="N1134" s="4"/>
    </row>
    <row r="1135" spans="1:14" ht="17.5" thickBot="1" x14ac:dyDescent="0.45">
      <c r="A1135" s="4">
        <v>43992</v>
      </c>
      <c r="B1135" s="3">
        <v>158.19</v>
      </c>
      <c r="C1135" s="3">
        <v>228.95</v>
      </c>
      <c r="D1135" s="3">
        <v>116.82</v>
      </c>
      <c r="E1135" s="3">
        <v>1.1988000000000001</v>
      </c>
      <c r="F1135" s="3">
        <v>248.78</v>
      </c>
      <c r="G1135" s="3">
        <v>250.31</v>
      </c>
      <c r="H1135" s="3">
        <v>176.53</v>
      </c>
      <c r="I1135" s="3">
        <v>210.05</v>
      </c>
      <c r="J1135" s="3">
        <v>114.14</v>
      </c>
      <c r="K1135" s="3">
        <v>214.33</v>
      </c>
      <c r="L1135" s="3"/>
      <c r="N1135" s="4"/>
    </row>
    <row r="1136" spans="1:14" ht="17.5" thickBot="1" x14ac:dyDescent="0.45">
      <c r="A1136" s="4">
        <v>43993</v>
      </c>
      <c r="B1136" s="3">
        <v>154.63999999999999</v>
      </c>
      <c r="C1136" s="3">
        <v>217.76</v>
      </c>
      <c r="D1136" s="3">
        <v>117</v>
      </c>
      <c r="E1136" s="3">
        <v>1.1677</v>
      </c>
      <c r="F1136" s="3">
        <v>240.52</v>
      </c>
      <c r="G1136" s="3">
        <v>235.75</v>
      </c>
      <c r="H1136" s="3">
        <v>172.79</v>
      </c>
      <c r="I1136" s="3">
        <v>197.34</v>
      </c>
      <c r="J1136" s="3">
        <v>114.14</v>
      </c>
      <c r="K1136" s="3">
        <v>210.58</v>
      </c>
      <c r="L1136" s="3"/>
      <c r="N1136" s="4"/>
    </row>
    <row r="1137" spans="1:14" ht="17.5" thickBot="1" x14ac:dyDescent="0.45">
      <c r="A1137" s="4">
        <v>43994</v>
      </c>
      <c r="B1137" s="3">
        <v>153.47</v>
      </c>
      <c r="C1137" s="3">
        <v>219.58</v>
      </c>
      <c r="D1137" s="3">
        <v>116.55</v>
      </c>
      <c r="E1137" s="3">
        <v>1.169</v>
      </c>
      <c r="F1137" s="3">
        <v>241.3</v>
      </c>
      <c r="G1137" s="3">
        <v>238.62</v>
      </c>
      <c r="H1137" s="3">
        <v>172.71</v>
      </c>
      <c r="I1137" s="3">
        <v>200.62</v>
      </c>
      <c r="J1137" s="3">
        <v>114.14</v>
      </c>
      <c r="K1137" s="3">
        <v>210.36</v>
      </c>
      <c r="L1137" s="3"/>
      <c r="N1137" s="4"/>
    </row>
    <row r="1138" spans="1:14" ht="17.5" thickBot="1" x14ac:dyDescent="0.45">
      <c r="A1138" s="4">
        <v>43995</v>
      </c>
      <c r="B1138" s="3">
        <v>153.47</v>
      </c>
      <c r="C1138" s="3">
        <v>219.58</v>
      </c>
      <c r="D1138" s="3">
        <v>116.55</v>
      </c>
      <c r="E1138" s="3">
        <v>1.169</v>
      </c>
      <c r="F1138" s="3">
        <v>241.3</v>
      </c>
      <c r="G1138" s="3">
        <v>238.62</v>
      </c>
      <c r="H1138" s="3">
        <v>172.71</v>
      </c>
      <c r="I1138" s="3">
        <v>200.62</v>
      </c>
      <c r="J1138" s="3">
        <v>114.14</v>
      </c>
      <c r="K1138" s="3">
        <v>210.36</v>
      </c>
      <c r="L1138" s="3"/>
      <c r="N1138" s="4"/>
    </row>
    <row r="1139" spans="1:14" ht="17.5" thickBot="1" x14ac:dyDescent="0.45">
      <c r="A1139" s="4">
        <v>43996</v>
      </c>
      <c r="B1139" s="3">
        <v>153.47</v>
      </c>
      <c r="C1139" s="3">
        <v>219.58</v>
      </c>
      <c r="D1139" s="3">
        <v>116.55</v>
      </c>
      <c r="E1139" s="3">
        <v>1.169</v>
      </c>
      <c r="F1139" s="3">
        <v>241.3</v>
      </c>
      <c r="G1139" s="3">
        <v>238.62</v>
      </c>
      <c r="H1139" s="3">
        <v>172.71</v>
      </c>
      <c r="I1139" s="3">
        <v>200.62</v>
      </c>
      <c r="J1139" s="3">
        <v>114.14</v>
      </c>
      <c r="K1139" s="3">
        <v>210.36</v>
      </c>
      <c r="L1139" s="3"/>
      <c r="N1139" s="4"/>
    </row>
    <row r="1140" spans="1:14" ht="17.5" thickBot="1" x14ac:dyDescent="0.45">
      <c r="A1140" s="4">
        <v>43997</v>
      </c>
      <c r="B1140" s="3">
        <v>150.46</v>
      </c>
      <c r="C1140" s="3">
        <v>218.47</v>
      </c>
      <c r="D1140" s="3">
        <v>116.45</v>
      </c>
      <c r="E1140" s="3">
        <v>1.1688000000000001</v>
      </c>
      <c r="F1140" s="3">
        <v>238.69</v>
      </c>
      <c r="G1140" s="3">
        <v>240.61</v>
      </c>
      <c r="H1140" s="3">
        <v>171.57</v>
      </c>
      <c r="I1140" s="3">
        <v>201.35</v>
      </c>
      <c r="J1140" s="3">
        <v>114.14</v>
      </c>
      <c r="K1140" s="3">
        <v>209.19</v>
      </c>
      <c r="L1140" s="3"/>
      <c r="N1140" s="4"/>
    </row>
    <row r="1141" spans="1:14" ht="17.5" thickBot="1" x14ac:dyDescent="0.45">
      <c r="A1141" s="4">
        <v>43998</v>
      </c>
      <c r="B1141" s="3">
        <v>154.18</v>
      </c>
      <c r="C1141" s="3">
        <v>221.3</v>
      </c>
      <c r="D1141" s="3">
        <v>116.36</v>
      </c>
      <c r="E1141" s="3">
        <v>1.1839</v>
      </c>
      <c r="F1141" s="3">
        <v>244.43</v>
      </c>
      <c r="G1141" s="3">
        <v>245.14</v>
      </c>
      <c r="H1141" s="3">
        <v>174.55</v>
      </c>
      <c r="I1141" s="3">
        <v>204.86</v>
      </c>
      <c r="J1141" s="3">
        <v>114.14</v>
      </c>
      <c r="K1141" s="3">
        <v>211.99</v>
      </c>
      <c r="L1141" s="3"/>
      <c r="N1141" s="4"/>
    </row>
    <row r="1142" spans="1:14" ht="17.5" thickBot="1" x14ac:dyDescent="0.45">
      <c r="A1142" s="4">
        <v>43999</v>
      </c>
      <c r="B1142" s="3">
        <v>154.75</v>
      </c>
      <c r="C1142" s="3">
        <v>222.32</v>
      </c>
      <c r="D1142" s="3">
        <v>116.45</v>
      </c>
      <c r="E1142" s="3">
        <v>1.1841999999999999</v>
      </c>
      <c r="F1142" s="3">
        <v>245.28</v>
      </c>
      <c r="G1142" s="3">
        <v>244.29</v>
      </c>
      <c r="H1142" s="3">
        <v>174.95</v>
      </c>
      <c r="I1142" s="3">
        <v>204.22</v>
      </c>
      <c r="J1142" s="3">
        <v>114.14</v>
      </c>
      <c r="K1142" s="3">
        <v>212.36</v>
      </c>
      <c r="L1142" s="3"/>
      <c r="N1142" s="4"/>
    </row>
    <row r="1143" spans="1:14" ht="17.5" thickBot="1" x14ac:dyDescent="0.45">
      <c r="A1143" s="4">
        <v>44000</v>
      </c>
      <c r="B1143" s="3">
        <v>154.69</v>
      </c>
      <c r="C1143" s="3">
        <v>222.14</v>
      </c>
      <c r="D1143" s="3">
        <v>116.63</v>
      </c>
      <c r="E1143" s="3">
        <v>1.1841999999999999</v>
      </c>
      <c r="F1143" s="3">
        <v>245.36</v>
      </c>
      <c r="G1143" s="3">
        <v>244.47</v>
      </c>
      <c r="H1143" s="3">
        <v>174.99</v>
      </c>
      <c r="I1143" s="3">
        <v>203.69</v>
      </c>
      <c r="J1143" s="3">
        <v>114.14</v>
      </c>
      <c r="K1143" s="3">
        <v>212.43</v>
      </c>
      <c r="L1143" s="3"/>
      <c r="N1143" s="4"/>
    </row>
    <row r="1144" spans="1:14" ht="17.5" thickBot="1" x14ac:dyDescent="0.45">
      <c r="A1144" s="4">
        <v>44001</v>
      </c>
      <c r="B1144" s="3">
        <v>155.81</v>
      </c>
      <c r="C1144" s="3">
        <v>222.62</v>
      </c>
      <c r="D1144" s="3">
        <v>116.53</v>
      </c>
      <c r="E1144" s="3">
        <v>1.1828000000000001</v>
      </c>
      <c r="F1144" s="3">
        <v>246.12</v>
      </c>
      <c r="G1144" s="3">
        <v>243.44</v>
      </c>
      <c r="H1144" s="3">
        <v>175.28</v>
      </c>
      <c r="I1144" s="3">
        <v>203.01</v>
      </c>
      <c r="J1144" s="3">
        <v>114.14</v>
      </c>
      <c r="K1144" s="3">
        <v>212.65</v>
      </c>
      <c r="L1144" s="3"/>
      <c r="N1144" s="4"/>
    </row>
    <row r="1145" spans="1:14" ht="17.5" thickBot="1" x14ac:dyDescent="0.45">
      <c r="A1145" s="4">
        <v>44002</v>
      </c>
      <c r="B1145" s="3">
        <v>155.81</v>
      </c>
      <c r="C1145" s="3">
        <v>222.62</v>
      </c>
      <c r="D1145" s="3">
        <v>116.53</v>
      </c>
      <c r="E1145" s="3">
        <v>1.1828000000000001</v>
      </c>
      <c r="F1145" s="3">
        <v>246.12</v>
      </c>
      <c r="G1145" s="3">
        <v>243.44</v>
      </c>
      <c r="H1145" s="3">
        <v>175.28</v>
      </c>
      <c r="I1145" s="3">
        <v>203.01</v>
      </c>
      <c r="J1145" s="3">
        <v>114.14</v>
      </c>
      <c r="K1145" s="3">
        <v>212.65</v>
      </c>
      <c r="L1145" s="3"/>
      <c r="N1145" s="4"/>
    </row>
    <row r="1146" spans="1:14" ht="17.5" thickBot="1" x14ac:dyDescent="0.45">
      <c r="A1146" s="4">
        <v>44003</v>
      </c>
      <c r="B1146" s="3">
        <v>155.81</v>
      </c>
      <c r="C1146" s="3">
        <v>222.62</v>
      </c>
      <c r="D1146" s="3">
        <v>116.53</v>
      </c>
      <c r="E1146" s="3">
        <v>1.1828000000000001</v>
      </c>
      <c r="F1146" s="3">
        <v>246.12</v>
      </c>
      <c r="G1146" s="3">
        <v>243.44</v>
      </c>
      <c r="H1146" s="3">
        <v>175.28</v>
      </c>
      <c r="I1146" s="3">
        <v>203.01</v>
      </c>
      <c r="J1146" s="3">
        <v>114.14</v>
      </c>
      <c r="K1146" s="3">
        <v>212.65</v>
      </c>
      <c r="L1146" s="3"/>
      <c r="N1146" s="4"/>
    </row>
    <row r="1147" spans="1:14" ht="17.5" thickBot="1" x14ac:dyDescent="0.45">
      <c r="A1147" s="4">
        <v>44004</v>
      </c>
      <c r="B1147" s="3">
        <v>155.51</v>
      </c>
      <c r="C1147" s="3">
        <v>222.63</v>
      </c>
      <c r="D1147" s="3">
        <v>116.62</v>
      </c>
      <c r="E1147" s="3">
        <v>1.1859</v>
      </c>
      <c r="F1147" s="3">
        <v>246.2</v>
      </c>
      <c r="G1147" s="3">
        <v>244.82</v>
      </c>
      <c r="H1147" s="3">
        <v>175.41</v>
      </c>
      <c r="I1147" s="3">
        <v>204.1</v>
      </c>
      <c r="J1147" s="3">
        <v>114.19</v>
      </c>
      <c r="K1147" s="3">
        <v>212.84</v>
      </c>
      <c r="L1147" s="3"/>
      <c r="N1147" s="4"/>
    </row>
    <row r="1148" spans="1:14" ht="17.5" thickBot="1" x14ac:dyDescent="0.45">
      <c r="A1148" s="4">
        <v>44005</v>
      </c>
      <c r="B1148" s="3">
        <v>157.4</v>
      </c>
      <c r="C1148" s="3">
        <v>224.58</v>
      </c>
      <c r="D1148" s="3">
        <v>116.8</v>
      </c>
      <c r="E1148" s="3">
        <v>1.1918</v>
      </c>
      <c r="F1148" s="3">
        <v>249.34</v>
      </c>
      <c r="G1148" s="3">
        <v>245.91</v>
      </c>
      <c r="H1148" s="3">
        <v>177.11</v>
      </c>
      <c r="I1148" s="3">
        <v>205.45</v>
      </c>
      <c r="J1148" s="3">
        <v>114.19</v>
      </c>
      <c r="K1148" s="3">
        <v>214.46</v>
      </c>
      <c r="L1148" s="3"/>
      <c r="N1148" s="4"/>
    </row>
    <row r="1149" spans="1:14" ht="17.5" thickBot="1" x14ac:dyDescent="0.45">
      <c r="A1149" s="4">
        <v>44006</v>
      </c>
      <c r="B1149" s="3">
        <v>156.62</v>
      </c>
      <c r="C1149" s="3">
        <v>225.7</v>
      </c>
      <c r="D1149" s="3">
        <v>116.79</v>
      </c>
      <c r="E1149" s="3">
        <v>1.1760999999999999</v>
      </c>
      <c r="F1149" s="3">
        <v>246.46</v>
      </c>
      <c r="G1149" s="3">
        <v>239.63</v>
      </c>
      <c r="H1149" s="3">
        <v>175.51</v>
      </c>
      <c r="I1149" s="3">
        <v>199.86</v>
      </c>
      <c r="J1149" s="3">
        <v>114.19</v>
      </c>
      <c r="K1149" s="3">
        <v>212.93</v>
      </c>
      <c r="L1149" s="3"/>
      <c r="N1149" s="4"/>
    </row>
    <row r="1150" spans="1:14" ht="17.5" thickBot="1" x14ac:dyDescent="0.45">
      <c r="A1150" s="4">
        <v>44007</v>
      </c>
      <c r="B1150" s="3">
        <v>156.62</v>
      </c>
      <c r="C1150" s="3">
        <v>225.7</v>
      </c>
      <c r="D1150" s="3">
        <v>116.79</v>
      </c>
      <c r="E1150" s="3">
        <v>1.1760999999999999</v>
      </c>
      <c r="F1150" s="3">
        <v>246.46</v>
      </c>
      <c r="G1150" s="3">
        <v>239.63</v>
      </c>
      <c r="H1150" s="3">
        <v>175.51</v>
      </c>
      <c r="I1150" s="3">
        <v>199.86</v>
      </c>
      <c r="J1150" s="3">
        <v>114.19</v>
      </c>
      <c r="K1150" s="3">
        <v>212.93</v>
      </c>
      <c r="L1150" s="3"/>
      <c r="N1150" s="4"/>
    </row>
    <row r="1151" spans="1:14" ht="17.5" thickBot="1" x14ac:dyDescent="0.45">
      <c r="A1151" s="4">
        <v>44008</v>
      </c>
      <c r="B1151" s="3">
        <v>155.33000000000001</v>
      </c>
      <c r="C1151" s="3">
        <v>224.26</v>
      </c>
      <c r="D1151" s="3">
        <v>116.7</v>
      </c>
      <c r="E1151" s="3">
        <v>1.17</v>
      </c>
      <c r="F1151" s="3">
        <v>244.84</v>
      </c>
      <c r="G1151" s="3">
        <v>236.8</v>
      </c>
      <c r="H1151" s="3">
        <v>174.63</v>
      </c>
      <c r="I1151" s="3">
        <v>196.84</v>
      </c>
      <c r="J1151" s="3">
        <v>114.19</v>
      </c>
      <c r="K1151" s="3">
        <v>212.08</v>
      </c>
      <c r="L1151" s="3"/>
      <c r="N1151" s="4"/>
    </row>
    <row r="1152" spans="1:14" ht="17.5" thickBot="1" x14ac:dyDescent="0.45">
      <c r="A1152" s="4">
        <v>44009</v>
      </c>
      <c r="B1152" s="3">
        <v>155.33000000000001</v>
      </c>
      <c r="C1152" s="3">
        <v>224.26</v>
      </c>
      <c r="D1152" s="3">
        <v>116.7</v>
      </c>
      <c r="E1152" s="3">
        <v>1.17</v>
      </c>
      <c r="F1152" s="3">
        <v>244.84</v>
      </c>
      <c r="G1152" s="3">
        <v>236.8</v>
      </c>
      <c r="H1152" s="3">
        <v>174.63</v>
      </c>
      <c r="I1152" s="3">
        <v>196.84</v>
      </c>
      <c r="J1152" s="3">
        <v>114.19</v>
      </c>
      <c r="K1152" s="3">
        <v>212.08</v>
      </c>
      <c r="L1152" s="3"/>
      <c r="N1152" s="4"/>
    </row>
    <row r="1153" spans="1:14" ht="17.5" thickBot="1" x14ac:dyDescent="0.45">
      <c r="A1153" s="4">
        <v>44010</v>
      </c>
      <c r="B1153" s="3">
        <v>155.33000000000001</v>
      </c>
      <c r="C1153" s="3">
        <v>224.26</v>
      </c>
      <c r="D1153" s="3">
        <v>116.7</v>
      </c>
      <c r="E1153" s="3">
        <v>1.17</v>
      </c>
      <c r="F1153" s="3">
        <v>244.84</v>
      </c>
      <c r="G1153" s="3">
        <v>236.8</v>
      </c>
      <c r="H1153" s="3">
        <v>174.63</v>
      </c>
      <c r="I1153" s="3">
        <v>196.84</v>
      </c>
      <c r="J1153" s="3">
        <v>114.19</v>
      </c>
      <c r="K1153" s="3">
        <v>212.08</v>
      </c>
      <c r="L1153" s="3"/>
      <c r="N1153" s="4"/>
    </row>
    <row r="1154" spans="1:14" ht="17.5" thickBot="1" x14ac:dyDescent="0.45">
      <c r="A1154" s="4">
        <v>44011</v>
      </c>
      <c r="B1154" s="3">
        <v>153.83000000000001</v>
      </c>
      <c r="C1154" s="3">
        <v>221.84</v>
      </c>
      <c r="D1154" s="3">
        <v>116.78</v>
      </c>
      <c r="E1154" s="3">
        <v>1.175</v>
      </c>
      <c r="F1154" s="3">
        <v>244.25</v>
      </c>
      <c r="G1154" s="3">
        <v>240.39</v>
      </c>
      <c r="H1154" s="3">
        <v>174.36</v>
      </c>
      <c r="I1154" s="3">
        <v>200.01</v>
      </c>
      <c r="J1154" s="3">
        <v>114.19</v>
      </c>
      <c r="K1154" s="3">
        <v>211.87</v>
      </c>
      <c r="L1154" s="3"/>
      <c r="N1154" s="4"/>
    </row>
    <row r="1155" spans="1:14" ht="17.5" thickBot="1" x14ac:dyDescent="0.45">
      <c r="A1155" s="4">
        <v>44012</v>
      </c>
      <c r="B1155" s="3">
        <v>154.4</v>
      </c>
      <c r="C1155" s="3">
        <v>223.61</v>
      </c>
      <c r="D1155" s="3">
        <v>116.78</v>
      </c>
      <c r="E1155" s="3">
        <v>1.1819</v>
      </c>
      <c r="F1155" s="3">
        <v>245.71</v>
      </c>
      <c r="G1155" s="3">
        <v>243.91</v>
      </c>
      <c r="H1155" s="3">
        <v>175.14</v>
      </c>
      <c r="I1155" s="3">
        <v>202.06</v>
      </c>
      <c r="J1155" s="3">
        <v>114.19</v>
      </c>
      <c r="K1155" s="3">
        <v>212.57</v>
      </c>
      <c r="L1155" s="3"/>
      <c r="N1155" s="4"/>
    </row>
    <row r="1156" spans="1:14" ht="17.5" thickBot="1" x14ac:dyDescent="0.45">
      <c r="A1156" s="4">
        <v>44013</v>
      </c>
      <c r="B1156" s="3">
        <v>154.4</v>
      </c>
      <c r="C1156" s="3">
        <v>223.61</v>
      </c>
      <c r="D1156" s="3">
        <v>116.78</v>
      </c>
      <c r="E1156" s="3">
        <v>1.1819</v>
      </c>
      <c r="F1156" s="3">
        <v>245.71</v>
      </c>
      <c r="G1156" s="3">
        <v>243.91</v>
      </c>
      <c r="H1156" s="3">
        <v>175.14</v>
      </c>
      <c r="I1156" s="3">
        <v>202.06</v>
      </c>
      <c r="J1156" s="3">
        <v>114.19</v>
      </c>
      <c r="K1156" s="3">
        <v>212.57</v>
      </c>
      <c r="L1156" s="3"/>
      <c r="N1156" s="4"/>
    </row>
    <row r="1157" spans="1:14" ht="17.5" thickBot="1" x14ac:dyDescent="0.45">
      <c r="A1157" s="4">
        <v>44014</v>
      </c>
      <c r="B1157" s="3">
        <v>159.44</v>
      </c>
      <c r="C1157" s="3">
        <v>228.96</v>
      </c>
      <c r="D1157" s="3">
        <v>116.78</v>
      </c>
      <c r="E1157" s="3">
        <v>1.1907000000000001</v>
      </c>
      <c r="F1157" s="3">
        <v>249.98</v>
      </c>
      <c r="G1157" s="3">
        <v>245.96</v>
      </c>
      <c r="H1157" s="3">
        <v>177.4</v>
      </c>
      <c r="I1157" s="3">
        <v>205.09</v>
      </c>
      <c r="J1157" s="3">
        <v>114.19</v>
      </c>
      <c r="K1157" s="3">
        <v>214.72</v>
      </c>
      <c r="L1157" s="3"/>
      <c r="N1157" s="4"/>
    </row>
    <row r="1158" spans="1:14" ht="17.5" thickBot="1" x14ac:dyDescent="0.45">
      <c r="A1158" s="4">
        <v>44015</v>
      </c>
      <c r="B1158" s="3">
        <v>161.19999999999999</v>
      </c>
      <c r="C1158" s="3">
        <v>231.05</v>
      </c>
      <c r="D1158" s="3">
        <v>116.77</v>
      </c>
      <c r="E1158" s="3">
        <v>1.1915</v>
      </c>
      <c r="F1158" s="3">
        <v>251.57</v>
      </c>
      <c r="G1158" s="3">
        <v>245.95</v>
      </c>
      <c r="H1158" s="3">
        <v>178.23</v>
      </c>
      <c r="I1158" s="3">
        <v>205.08</v>
      </c>
      <c r="J1158" s="3">
        <v>114.19</v>
      </c>
      <c r="K1158" s="3">
        <v>215.51</v>
      </c>
      <c r="L1158" s="3"/>
      <c r="N1158" s="4"/>
    </row>
    <row r="1159" spans="1:14" ht="17.5" thickBot="1" x14ac:dyDescent="0.45">
      <c r="A1159" s="4">
        <v>44016</v>
      </c>
      <c r="B1159" s="3">
        <v>161.19999999999999</v>
      </c>
      <c r="C1159" s="3">
        <v>231.05</v>
      </c>
      <c r="D1159" s="3">
        <v>116.77</v>
      </c>
      <c r="E1159" s="3">
        <v>1.1915</v>
      </c>
      <c r="F1159" s="3">
        <v>251.57</v>
      </c>
      <c r="G1159" s="3">
        <v>245.95</v>
      </c>
      <c r="H1159" s="3">
        <v>178.23</v>
      </c>
      <c r="I1159" s="3">
        <v>205.08</v>
      </c>
      <c r="J1159" s="3">
        <v>114.19</v>
      </c>
      <c r="K1159" s="3">
        <v>215.51</v>
      </c>
      <c r="L1159" s="3"/>
      <c r="N1159" s="4"/>
    </row>
    <row r="1160" spans="1:14" ht="17.5" thickBot="1" x14ac:dyDescent="0.45">
      <c r="A1160" s="4">
        <v>44017</v>
      </c>
      <c r="B1160" s="3">
        <v>161.19999999999999</v>
      </c>
      <c r="C1160" s="3">
        <v>231.05</v>
      </c>
      <c r="D1160" s="3">
        <v>116.77</v>
      </c>
      <c r="E1160" s="3">
        <v>1.1915</v>
      </c>
      <c r="F1160" s="3">
        <v>251.57</v>
      </c>
      <c r="G1160" s="3">
        <v>245.95</v>
      </c>
      <c r="H1160" s="3">
        <v>178.23</v>
      </c>
      <c r="I1160" s="3">
        <v>205.08</v>
      </c>
      <c r="J1160" s="3">
        <v>114.19</v>
      </c>
      <c r="K1160" s="3">
        <v>215.51</v>
      </c>
      <c r="L1160" s="3"/>
      <c r="N1160" s="4"/>
    </row>
    <row r="1161" spans="1:14" ht="17.5" thickBot="1" x14ac:dyDescent="0.45">
      <c r="A1161" s="4">
        <v>44018</v>
      </c>
      <c r="B1161" s="3">
        <v>167.76</v>
      </c>
      <c r="C1161" s="3">
        <v>233.86</v>
      </c>
      <c r="D1161" s="3">
        <v>116.86</v>
      </c>
      <c r="E1161" s="3">
        <v>1.204</v>
      </c>
      <c r="F1161" s="3">
        <v>256.54000000000002</v>
      </c>
      <c r="G1161" s="3">
        <v>249.62</v>
      </c>
      <c r="H1161" s="3">
        <v>180.89</v>
      </c>
      <c r="I1161" s="3">
        <v>208.46</v>
      </c>
      <c r="J1161" s="3">
        <v>114.19</v>
      </c>
      <c r="K1161" s="3">
        <v>218.05</v>
      </c>
      <c r="L1161" s="3"/>
      <c r="N1161" s="4"/>
    </row>
    <row r="1162" spans="1:14" ht="17.5" thickBot="1" x14ac:dyDescent="0.45">
      <c r="A1162" s="4">
        <v>44019</v>
      </c>
      <c r="B1162" s="3">
        <v>165.95</v>
      </c>
      <c r="C1162" s="3">
        <v>233.04</v>
      </c>
      <c r="D1162" s="3">
        <v>117.04</v>
      </c>
      <c r="E1162" s="3">
        <v>1.1980999999999999</v>
      </c>
      <c r="F1162" s="3">
        <v>254.87</v>
      </c>
      <c r="G1162" s="3">
        <v>246.96</v>
      </c>
      <c r="H1162" s="3">
        <v>179.99</v>
      </c>
      <c r="I1162" s="3">
        <v>206</v>
      </c>
      <c r="J1162" s="3">
        <v>114.19</v>
      </c>
      <c r="K1162" s="3">
        <v>217.22</v>
      </c>
      <c r="L1162" s="3"/>
      <c r="N1162" s="4"/>
    </row>
    <row r="1163" spans="1:14" ht="17.5" thickBot="1" x14ac:dyDescent="0.45">
      <c r="A1163" s="4">
        <v>44020</v>
      </c>
      <c r="B1163" s="3">
        <v>166.97</v>
      </c>
      <c r="C1163" s="3">
        <v>232.07</v>
      </c>
      <c r="D1163" s="3">
        <v>117.13</v>
      </c>
      <c r="E1163" s="3">
        <v>1.2017</v>
      </c>
      <c r="F1163" s="3">
        <v>256.56</v>
      </c>
      <c r="G1163" s="3">
        <v>248.57</v>
      </c>
      <c r="H1163" s="3">
        <v>180.8</v>
      </c>
      <c r="I1163" s="3">
        <v>207.95</v>
      </c>
      <c r="J1163" s="3">
        <v>114.19</v>
      </c>
      <c r="K1163" s="3">
        <v>218.04</v>
      </c>
      <c r="L1163" s="3"/>
      <c r="N1163" s="4"/>
    </row>
    <row r="1164" spans="1:14" ht="17.5" thickBot="1" x14ac:dyDescent="0.45">
      <c r="A1164" s="4">
        <v>44021</v>
      </c>
      <c r="B1164" s="3">
        <v>167.78</v>
      </c>
      <c r="C1164" s="3">
        <v>233.14</v>
      </c>
      <c r="D1164" s="3">
        <v>117.12</v>
      </c>
      <c r="E1164" s="3">
        <v>1.1999</v>
      </c>
      <c r="F1164" s="3">
        <v>257.32</v>
      </c>
      <c r="G1164" s="3">
        <v>247.01</v>
      </c>
      <c r="H1164" s="3">
        <v>181.19</v>
      </c>
      <c r="I1164" s="3">
        <v>206.5</v>
      </c>
      <c r="J1164" s="3">
        <v>114.19</v>
      </c>
      <c r="K1164" s="3">
        <v>218.47</v>
      </c>
      <c r="L1164" s="3"/>
      <c r="N1164" s="4"/>
    </row>
    <row r="1165" spans="1:14" ht="17.5" thickBot="1" x14ac:dyDescent="0.45">
      <c r="A1165" s="4">
        <v>44022</v>
      </c>
      <c r="B1165" s="3">
        <v>164.3</v>
      </c>
      <c r="C1165" s="3">
        <v>231.32</v>
      </c>
      <c r="D1165" s="3">
        <v>117.21</v>
      </c>
      <c r="E1165" s="3">
        <v>1.2044999999999999</v>
      </c>
      <c r="F1165" s="3">
        <v>256.38</v>
      </c>
      <c r="G1165" s="3">
        <v>249.74</v>
      </c>
      <c r="H1165" s="3">
        <v>180.82</v>
      </c>
      <c r="I1165" s="3">
        <v>208.58</v>
      </c>
      <c r="J1165" s="3">
        <v>114.19</v>
      </c>
      <c r="K1165" s="3">
        <v>218.16</v>
      </c>
      <c r="L1165" s="3"/>
      <c r="N1165" s="4"/>
    </row>
    <row r="1166" spans="1:14" ht="17.5" thickBot="1" x14ac:dyDescent="0.45">
      <c r="A1166" s="4">
        <v>44023</v>
      </c>
      <c r="B1166" s="3">
        <v>164.3</v>
      </c>
      <c r="C1166" s="3">
        <v>231.32</v>
      </c>
      <c r="D1166" s="3">
        <v>117.21</v>
      </c>
      <c r="E1166" s="3">
        <v>1.2044999999999999</v>
      </c>
      <c r="F1166" s="3">
        <v>256.38</v>
      </c>
      <c r="G1166" s="3">
        <v>249.74</v>
      </c>
      <c r="H1166" s="3">
        <v>180.82</v>
      </c>
      <c r="I1166" s="3">
        <v>208.58</v>
      </c>
      <c r="J1166" s="3">
        <v>114.19</v>
      </c>
      <c r="K1166" s="3">
        <v>218.16</v>
      </c>
      <c r="L1166" s="3"/>
      <c r="N1166" s="4"/>
    </row>
    <row r="1167" spans="1:14" ht="17.5" thickBot="1" x14ac:dyDescent="0.45">
      <c r="A1167" s="4">
        <v>44024</v>
      </c>
      <c r="B1167" s="3">
        <v>164.3</v>
      </c>
      <c r="C1167" s="3">
        <v>231.32</v>
      </c>
      <c r="D1167" s="3">
        <v>117.21</v>
      </c>
      <c r="E1167" s="3">
        <v>1.2044999999999999</v>
      </c>
      <c r="F1167" s="3">
        <v>256.38</v>
      </c>
      <c r="G1167" s="3">
        <v>249.74</v>
      </c>
      <c r="H1167" s="3">
        <v>180.82</v>
      </c>
      <c r="I1167" s="3">
        <v>208.58</v>
      </c>
      <c r="J1167" s="3">
        <v>114.19</v>
      </c>
      <c r="K1167" s="3">
        <v>218.16</v>
      </c>
      <c r="L1167" s="3"/>
      <c r="N1167" s="4"/>
    </row>
    <row r="1168" spans="1:14" ht="17.5" thickBot="1" x14ac:dyDescent="0.45">
      <c r="A1168" s="4">
        <v>44025</v>
      </c>
      <c r="B1168" s="3">
        <v>165.16</v>
      </c>
      <c r="C1168" s="3">
        <v>234.42</v>
      </c>
      <c r="D1168" s="3">
        <v>117.3</v>
      </c>
      <c r="E1168" s="3">
        <v>1.2029000000000001</v>
      </c>
      <c r="F1168" s="3">
        <v>257.49</v>
      </c>
      <c r="G1168" s="3">
        <v>247.49</v>
      </c>
      <c r="H1168" s="3">
        <v>181.45</v>
      </c>
      <c r="I1168" s="3">
        <v>206.48</v>
      </c>
      <c r="J1168" s="3">
        <v>114.19</v>
      </c>
      <c r="K1168" s="3">
        <v>218.68</v>
      </c>
      <c r="L1168" s="3"/>
      <c r="N1168" s="4"/>
    </row>
    <row r="1169" spans="1:14" ht="17.5" thickBot="1" x14ac:dyDescent="0.45">
      <c r="A1169" s="4">
        <v>44026</v>
      </c>
      <c r="B1169" s="3">
        <v>163.01</v>
      </c>
      <c r="C1169" s="3">
        <v>233.51</v>
      </c>
      <c r="D1169" s="3">
        <v>117.2</v>
      </c>
      <c r="E1169" s="3">
        <v>1.2075</v>
      </c>
      <c r="F1169" s="3">
        <v>255.85</v>
      </c>
      <c r="G1169" s="3">
        <v>250.94</v>
      </c>
      <c r="H1169" s="3">
        <v>180.74</v>
      </c>
      <c r="I1169" s="3">
        <v>209.54</v>
      </c>
      <c r="J1169" s="3">
        <v>114.19</v>
      </c>
      <c r="K1169" s="3">
        <v>218.11</v>
      </c>
      <c r="L1169" s="3"/>
      <c r="N1169" s="4"/>
    </row>
    <row r="1170" spans="1:14" ht="17.5" thickBot="1" x14ac:dyDescent="0.45">
      <c r="A1170" s="4">
        <v>44027</v>
      </c>
      <c r="B1170" s="3">
        <v>163.07</v>
      </c>
      <c r="C1170" s="3">
        <v>236.76</v>
      </c>
      <c r="D1170" s="3">
        <v>117.47</v>
      </c>
      <c r="E1170" s="3">
        <v>1.216</v>
      </c>
      <c r="F1170" s="3">
        <v>258.27999999999997</v>
      </c>
      <c r="G1170" s="3">
        <v>253.06</v>
      </c>
      <c r="H1170" s="3">
        <v>182.17</v>
      </c>
      <c r="I1170" s="3">
        <v>211.44</v>
      </c>
      <c r="J1170" s="3">
        <v>114.19</v>
      </c>
      <c r="K1170" s="3">
        <v>219.48</v>
      </c>
      <c r="L1170" s="3"/>
      <c r="N1170" s="4"/>
    </row>
    <row r="1171" spans="1:14" ht="17.5" thickBot="1" x14ac:dyDescent="0.45">
      <c r="A1171" s="4">
        <v>44028</v>
      </c>
      <c r="B1171" s="3">
        <v>159.72999999999999</v>
      </c>
      <c r="C1171" s="3">
        <v>234.53</v>
      </c>
      <c r="D1171" s="3">
        <v>117.38</v>
      </c>
      <c r="E1171" s="3">
        <v>1.2129000000000001</v>
      </c>
      <c r="F1171" s="3">
        <v>254.46</v>
      </c>
      <c r="G1171" s="3">
        <v>252.15</v>
      </c>
      <c r="H1171" s="3">
        <v>180.35</v>
      </c>
      <c r="I1171" s="3">
        <v>210.51</v>
      </c>
      <c r="J1171" s="3">
        <v>114.19</v>
      </c>
      <c r="K1171" s="3">
        <v>217.9</v>
      </c>
      <c r="L1171" s="3"/>
      <c r="N1171" s="4"/>
    </row>
    <row r="1172" spans="1:14" ht="17.5" thickBot="1" x14ac:dyDescent="0.45">
      <c r="A1172" s="4">
        <v>44029</v>
      </c>
      <c r="B1172" s="3">
        <v>160.57</v>
      </c>
      <c r="C1172" s="3">
        <v>236.75</v>
      </c>
      <c r="D1172" s="3">
        <v>117.47</v>
      </c>
      <c r="E1172" s="3">
        <v>1.2141999999999999</v>
      </c>
      <c r="F1172" s="3">
        <v>255.75</v>
      </c>
      <c r="G1172" s="3">
        <v>252.88</v>
      </c>
      <c r="H1172" s="3">
        <v>181.04</v>
      </c>
      <c r="I1172" s="3">
        <v>211.1</v>
      </c>
      <c r="J1172" s="3">
        <v>114.19</v>
      </c>
      <c r="K1172" s="3">
        <v>218.5</v>
      </c>
      <c r="L1172" s="3"/>
      <c r="N1172" s="4"/>
    </row>
    <row r="1173" spans="1:14" ht="17.5" thickBot="1" x14ac:dyDescent="0.45">
      <c r="A1173" s="4">
        <v>44030</v>
      </c>
      <c r="B1173" s="3">
        <v>160.57</v>
      </c>
      <c r="C1173" s="3">
        <v>236.75</v>
      </c>
      <c r="D1173" s="3">
        <v>117.47</v>
      </c>
      <c r="E1173" s="3">
        <v>1.2141999999999999</v>
      </c>
      <c r="F1173" s="3">
        <v>255.75</v>
      </c>
      <c r="G1173" s="3">
        <v>252.88</v>
      </c>
      <c r="H1173" s="3">
        <v>181.04</v>
      </c>
      <c r="I1173" s="3">
        <v>211.1</v>
      </c>
      <c r="J1173" s="3">
        <v>114.19</v>
      </c>
      <c r="K1173" s="3">
        <v>218.5</v>
      </c>
      <c r="L1173" s="3"/>
      <c r="N1173" s="4"/>
    </row>
    <row r="1174" spans="1:14" ht="17.5" thickBot="1" x14ac:dyDescent="0.45">
      <c r="A1174" s="4">
        <v>44031</v>
      </c>
      <c r="B1174" s="3">
        <v>160.57</v>
      </c>
      <c r="C1174" s="3">
        <v>236.75</v>
      </c>
      <c r="D1174" s="3">
        <v>117.47</v>
      </c>
      <c r="E1174" s="3">
        <v>1.2141999999999999</v>
      </c>
      <c r="F1174" s="3">
        <v>255.75</v>
      </c>
      <c r="G1174" s="3">
        <v>252.88</v>
      </c>
      <c r="H1174" s="3">
        <v>181.04</v>
      </c>
      <c r="I1174" s="3">
        <v>211.1</v>
      </c>
      <c r="J1174" s="3">
        <v>114.19</v>
      </c>
      <c r="K1174" s="3">
        <v>218.5</v>
      </c>
      <c r="L1174" s="3"/>
      <c r="N1174" s="4"/>
    </row>
    <row r="1175" spans="1:14" ht="17.5" thickBot="1" x14ac:dyDescent="0.45">
      <c r="A1175" s="4">
        <v>44032</v>
      </c>
      <c r="B1175" s="3">
        <v>160.36000000000001</v>
      </c>
      <c r="C1175" s="3">
        <v>237.39</v>
      </c>
      <c r="D1175" s="3">
        <v>117.55</v>
      </c>
      <c r="E1175" s="3">
        <v>1.2204999999999999</v>
      </c>
      <c r="F1175" s="3">
        <v>256.85000000000002</v>
      </c>
      <c r="G1175" s="3">
        <v>254.85</v>
      </c>
      <c r="H1175" s="3">
        <v>181.76</v>
      </c>
      <c r="I1175" s="3">
        <v>213.01</v>
      </c>
      <c r="J1175" s="3">
        <v>114.19</v>
      </c>
      <c r="K1175" s="3">
        <v>219.25</v>
      </c>
      <c r="L1175" s="3"/>
      <c r="N1175" s="4"/>
    </row>
    <row r="1176" spans="1:14" ht="17.5" thickBot="1" x14ac:dyDescent="0.45">
      <c r="A1176" s="4">
        <v>44033</v>
      </c>
      <c r="B1176" s="3">
        <v>163.62</v>
      </c>
      <c r="C1176" s="3">
        <v>243.66</v>
      </c>
      <c r="D1176" s="3">
        <v>117.82</v>
      </c>
      <c r="E1176" s="3">
        <v>1.2250000000000001</v>
      </c>
      <c r="F1176" s="3">
        <v>260.82</v>
      </c>
      <c r="G1176" s="3">
        <v>255.23</v>
      </c>
      <c r="H1176" s="3">
        <v>183.87</v>
      </c>
      <c r="I1176" s="3">
        <v>214.05</v>
      </c>
      <c r="J1176" s="3">
        <v>114.19</v>
      </c>
      <c r="K1176" s="3">
        <v>221.33</v>
      </c>
      <c r="L1176" s="3"/>
      <c r="N1176" s="4"/>
    </row>
    <row r="1177" spans="1:14" ht="17.5" thickBot="1" x14ac:dyDescent="0.45">
      <c r="A1177" s="4">
        <v>44034</v>
      </c>
      <c r="B1177" s="3">
        <v>160.06</v>
      </c>
      <c r="C1177" s="3">
        <v>242.32</v>
      </c>
      <c r="D1177" s="3">
        <v>118.09</v>
      </c>
      <c r="E1177" s="3">
        <v>1.2269000000000001</v>
      </c>
      <c r="F1177" s="3">
        <v>258.87</v>
      </c>
      <c r="G1177" s="3">
        <v>256.83999999999997</v>
      </c>
      <c r="H1177" s="3">
        <v>183.06</v>
      </c>
      <c r="I1177" s="3">
        <v>215.73</v>
      </c>
      <c r="J1177" s="3">
        <v>114.19</v>
      </c>
      <c r="K1177" s="3">
        <v>220.72</v>
      </c>
      <c r="L1177" s="3"/>
      <c r="N1177" s="4"/>
    </row>
    <row r="1178" spans="1:14" ht="17.5" thickBot="1" x14ac:dyDescent="0.45">
      <c r="A1178" s="4">
        <v>44035</v>
      </c>
      <c r="B1178" s="3">
        <v>161.4</v>
      </c>
      <c r="C1178" s="3">
        <v>241.56</v>
      </c>
      <c r="D1178" s="3">
        <v>118.09</v>
      </c>
      <c r="E1178" s="3">
        <v>1.2219</v>
      </c>
      <c r="F1178" s="3">
        <v>259.26</v>
      </c>
      <c r="G1178" s="3">
        <v>253.43</v>
      </c>
      <c r="H1178" s="3">
        <v>183.25</v>
      </c>
      <c r="I1178" s="3">
        <v>212.62</v>
      </c>
      <c r="J1178" s="3">
        <v>114.19</v>
      </c>
      <c r="K1178" s="3">
        <v>220.95</v>
      </c>
      <c r="L1178" s="3"/>
      <c r="N1178" s="4"/>
    </row>
    <row r="1179" spans="1:14" ht="17.5" thickBot="1" x14ac:dyDescent="0.45">
      <c r="A1179" s="4">
        <v>44036</v>
      </c>
      <c r="B1179" s="3">
        <v>158.02000000000001</v>
      </c>
      <c r="C1179" s="3">
        <v>239.66</v>
      </c>
      <c r="D1179" s="3">
        <v>118.09</v>
      </c>
      <c r="E1179" s="3">
        <v>1.2156</v>
      </c>
      <c r="F1179" s="3">
        <v>255.46</v>
      </c>
      <c r="G1179" s="3">
        <v>251.8</v>
      </c>
      <c r="H1179" s="3">
        <v>181.44</v>
      </c>
      <c r="I1179" s="3">
        <v>211.62</v>
      </c>
      <c r="J1179" s="3">
        <v>114.19</v>
      </c>
      <c r="K1179" s="3">
        <v>219.3</v>
      </c>
      <c r="L1179" s="3"/>
      <c r="N1179" s="4"/>
    </row>
    <row r="1180" spans="1:14" ht="17.5" thickBot="1" x14ac:dyDescent="0.45">
      <c r="A1180" s="4">
        <v>44037</v>
      </c>
      <c r="B1180" s="3">
        <v>158.02000000000001</v>
      </c>
      <c r="C1180" s="3">
        <v>239.66</v>
      </c>
      <c r="D1180" s="3">
        <v>118.09</v>
      </c>
      <c r="E1180" s="3">
        <v>1.2156</v>
      </c>
      <c r="F1180" s="3">
        <v>255.46</v>
      </c>
      <c r="G1180" s="3">
        <v>251.8</v>
      </c>
      <c r="H1180" s="3">
        <v>181.44</v>
      </c>
      <c r="I1180" s="3">
        <v>211.62</v>
      </c>
      <c r="J1180" s="3">
        <v>114.19</v>
      </c>
      <c r="K1180" s="3">
        <v>219.3</v>
      </c>
      <c r="L1180" s="3"/>
      <c r="N1180" s="4"/>
    </row>
    <row r="1181" spans="1:14" ht="17.5" thickBot="1" x14ac:dyDescent="0.45">
      <c r="A1181" s="4">
        <v>44038</v>
      </c>
      <c r="B1181" s="3">
        <v>158.02000000000001</v>
      </c>
      <c r="C1181" s="3">
        <v>239.66</v>
      </c>
      <c r="D1181" s="3">
        <v>118.09</v>
      </c>
      <c r="E1181" s="3">
        <v>1.2156</v>
      </c>
      <c r="F1181" s="3">
        <v>255.46</v>
      </c>
      <c r="G1181" s="3">
        <v>251.8</v>
      </c>
      <c r="H1181" s="3">
        <v>181.44</v>
      </c>
      <c r="I1181" s="3">
        <v>211.62</v>
      </c>
      <c r="J1181" s="3">
        <v>114.19</v>
      </c>
      <c r="K1181" s="3">
        <v>219.3</v>
      </c>
      <c r="L1181" s="3"/>
      <c r="N1181" s="4"/>
    </row>
    <row r="1182" spans="1:14" ht="17.5" thickBot="1" x14ac:dyDescent="0.45">
      <c r="A1182" s="4">
        <v>44039</v>
      </c>
      <c r="B1182" s="3">
        <v>158.06</v>
      </c>
      <c r="C1182" s="3">
        <v>244.44</v>
      </c>
      <c r="D1182" s="3">
        <v>118.44</v>
      </c>
      <c r="E1182" s="3">
        <v>1.2222</v>
      </c>
      <c r="F1182" s="3">
        <v>256.86</v>
      </c>
      <c r="G1182" s="3">
        <v>253.54</v>
      </c>
      <c r="H1182" s="3">
        <v>182.46</v>
      </c>
      <c r="I1182" s="3">
        <v>213.99</v>
      </c>
      <c r="J1182" s="3">
        <v>114.19</v>
      </c>
      <c r="K1182" s="3">
        <v>220.43</v>
      </c>
      <c r="L1182" s="3"/>
      <c r="N1182" s="4"/>
    </row>
    <row r="1183" spans="1:14" ht="17.5" thickBot="1" x14ac:dyDescent="0.45">
      <c r="A1183" s="4">
        <v>44040</v>
      </c>
      <c r="B1183" s="3">
        <v>158.66999999999999</v>
      </c>
      <c r="C1183" s="3">
        <v>246.73</v>
      </c>
      <c r="D1183" s="3">
        <v>118.35</v>
      </c>
      <c r="E1183" s="3">
        <v>1.2201</v>
      </c>
      <c r="F1183" s="3">
        <v>258</v>
      </c>
      <c r="G1183" s="3">
        <v>251.99</v>
      </c>
      <c r="H1183" s="3">
        <v>182.96</v>
      </c>
      <c r="I1183" s="3">
        <v>212.56</v>
      </c>
      <c r="J1183" s="3">
        <v>114.19</v>
      </c>
      <c r="K1183" s="3">
        <v>220.86</v>
      </c>
      <c r="L1183" s="3"/>
      <c r="N1183" s="4"/>
    </row>
    <row r="1184" spans="1:14" ht="17.5" thickBot="1" x14ac:dyDescent="0.45">
      <c r="A1184" s="4">
        <v>44041</v>
      </c>
      <c r="B1184" s="3">
        <v>159.09</v>
      </c>
      <c r="C1184" s="3">
        <v>245.89</v>
      </c>
      <c r="D1184" s="3">
        <v>118.71</v>
      </c>
      <c r="E1184" s="3">
        <v>1.2252000000000001</v>
      </c>
      <c r="F1184" s="3">
        <v>258.88</v>
      </c>
      <c r="G1184" s="3">
        <v>255</v>
      </c>
      <c r="H1184" s="3">
        <v>183.37</v>
      </c>
      <c r="I1184" s="3">
        <v>215.07</v>
      </c>
      <c r="J1184" s="3">
        <v>114.19</v>
      </c>
      <c r="K1184" s="3">
        <v>221.27</v>
      </c>
      <c r="L1184" s="3"/>
      <c r="N1184" s="4"/>
    </row>
    <row r="1185" spans="1:14" ht="17.5" thickBot="1" x14ac:dyDescent="0.45">
      <c r="A1185" s="4">
        <v>44042</v>
      </c>
      <c r="B1185" s="3">
        <v>157.88</v>
      </c>
      <c r="C1185" s="3">
        <v>247.56</v>
      </c>
      <c r="D1185" s="3">
        <v>118.71</v>
      </c>
      <c r="E1185" s="3">
        <v>1.2215</v>
      </c>
      <c r="F1185" s="3">
        <v>257.47000000000003</v>
      </c>
      <c r="G1185" s="3">
        <v>254.03</v>
      </c>
      <c r="H1185" s="3">
        <v>182.75</v>
      </c>
      <c r="I1185" s="3">
        <v>213.93</v>
      </c>
      <c r="J1185" s="3">
        <v>114.19</v>
      </c>
      <c r="K1185" s="3">
        <v>220.81</v>
      </c>
      <c r="L1185" s="3"/>
      <c r="N1185" s="4"/>
    </row>
    <row r="1186" spans="1:14" ht="17.5" thickBot="1" x14ac:dyDescent="0.45">
      <c r="A1186" s="4">
        <v>44043</v>
      </c>
      <c r="B1186" s="3">
        <v>157.46</v>
      </c>
      <c r="C1186" s="3">
        <v>245.02</v>
      </c>
      <c r="D1186" s="3">
        <v>119.07</v>
      </c>
      <c r="E1186" s="3">
        <v>1.2208000000000001</v>
      </c>
      <c r="F1186" s="3">
        <v>256.64999999999998</v>
      </c>
      <c r="G1186" s="3">
        <v>256.16000000000003</v>
      </c>
      <c r="H1186" s="3">
        <v>182.19</v>
      </c>
      <c r="I1186" s="3">
        <v>214.49</v>
      </c>
      <c r="J1186" s="3">
        <v>114.2</v>
      </c>
      <c r="K1186" s="3">
        <v>220.31</v>
      </c>
      <c r="L1186" s="3"/>
      <c r="N1186" s="4"/>
    </row>
    <row r="1187" spans="1:14" ht="17.5" thickBot="1" x14ac:dyDescent="0.45">
      <c r="A1187" s="4">
        <v>44044</v>
      </c>
      <c r="B1187" s="3">
        <v>157.46</v>
      </c>
      <c r="C1187" s="3">
        <v>245.02</v>
      </c>
      <c r="D1187" s="3">
        <v>119.07</v>
      </c>
      <c r="E1187" s="3">
        <v>1.2208000000000001</v>
      </c>
      <c r="F1187" s="3">
        <v>256.64999999999998</v>
      </c>
      <c r="G1187" s="3">
        <v>256.16000000000003</v>
      </c>
      <c r="H1187" s="3">
        <v>182.19</v>
      </c>
      <c r="I1187" s="3">
        <v>214.49</v>
      </c>
      <c r="J1187" s="3">
        <v>114.2</v>
      </c>
      <c r="K1187" s="3">
        <v>220.31</v>
      </c>
      <c r="L1187" s="3"/>
      <c r="N1187" s="4"/>
    </row>
    <row r="1188" spans="1:14" ht="17.5" thickBot="1" x14ac:dyDescent="0.45">
      <c r="A1188" s="4">
        <v>44045</v>
      </c>
      <c r="B1188" s="3">
        <v>157.46</v>
      </c>
      <c r="C1188" s="3">
        <v>245.02</v>
      </c>
      <c r="D1188" s="3">
        <v>119.07</v>
      </c>
      <c r="E1188" s="3">
        <v>1.2208000000000001</v>
      </c>
      <c r="F1188" s="3">
        <v>256.64999999999998</v>
      </c>
      <c r="G1188" s="3">
        <v>256.16000000000003</v>
      </c>
      <c r="H1188" s="3">
        <v>182.19</v>
      </c>
      <c r="I1188" s="3">
        <v>214.49</v>
      </c>
      <c r="J1188" s="3">
        <v>114.2</v>
      </c>
      <c r="K1188" s="3">
        <v>220.31</v>
      </c>
      <c r="L1188" s="3"/>
      <c r="N1188" s="4"/>
    </row>
    <row r="1189" spans="1:14" ht="17.5" thickBot="1" x14ac:dyDescent="0.45">
      <c r="A1189" s="4">
        <v>44046</v>
      </c>
      <c r="B1189" s="3">
        <v>156.6</v>
      </c>
      <c r="C1189" s="3">
        <v>242.53</v>
      </c>
      <c r="D1189" s="3">
        <v>118.79</v>
      </c>
      <c r="E1189" s="3">
        <v>1.2254</v>
      </c>
      <c r="F1189" s="3">
        <v>258.27999999999997</v>
      </c>
      <c r="G1189" s="3">
        <v>258.12</v>
      </c>
      <c r="H1189" s="3">
        <v>182.86</v>
      </c>
      <c r="I1189" s="3">
        <v>215.33</v>
      </c>
      <c r="J1189" s="3">
        <v>114.2</v>
      </c>
      <c r="K1189" s="3">
        <v>220.77</v>
      </c>
      <c r="L1189" s="3"/>
      <c r="N1189" s="4"/>
    </row>
    <row r="1190" spans="1:14" ht="17.5" thickBot="1" x14ac:dyDescent="0.45">
      <c r="A1190" s="4">
        <v>44047</v>
      </c>
      <c r="B1190" s="3">
        <v>159.56</v>
      </c>
      <c r="C1190" s="3">
        <v>247.29</v>
      </c>
      <c r="D1190" s="3">
        <v>118.97</v>
      </c>
      <c r="E1190" s="3">
        <v>1.2313000000000001</v>
      </c>
      <c r="F1190" s="3">
        <v>261.33999999999997</v>
      </c>
      <c r="G1190" s="3">
        <v>258.99</v>
      </c>
      <c r="H1190" s="3">
        <v>184.58</v>
      </c>
      <c r="I1190" s="3">
        <v>215.73</v>
      </c>
      <c r="J1190" s="3">
        <v>114.2</v>
      </c>
      <c r="K1190" s="3">
        <v>222.48</v>
      </c>
      <c r="L1190" s="3"/>
      <c r="N1190" s="4"/>
    </row>
    <row r="1191" spans="1:14" ht="17.5" thickBot="1" x14ac:dyDescent="0.45">
      <c r="A1191" s="4">
        <v>44048</v>
      </c>
      <c r="B1191" s="3">
        <v>160.72</v>
      </c>
      <c r="C1191" s="3">
        <v>248.7</v>
      </c>
      <c r="D1191" s="3">
        <v>119.51</v>
      </c>
      <c r="E1191" s="3">
        <v>1.2367999999999999</v>
      </c>
      <c r="F1191" s="3">
        <v>263.52</v>
      </c>
      <c r="G1191" s="3">
        <v>260.45</v>
      </c>
      <c r="H1191" s="3">
        <v>185.8</v>
      </c>
      <c r="I1191" s="3">
        <v>217.48</v>
      </c>
      <c r="J1191" s="3">
        <v>114.2</v>
      </c>
      <c r="K1191" s="3">
        <v>223.69</v>
      </c>
      <c r="L1191" s="3"/>
      <c r="N1191" s="4"/>
    </row>
    <row r="1192" spans="1:14" ht="17.5" thickBot="1" x14ac:dyDescent="0.45">
      <c r="A1192" s="4">
        <v>44049</v>
      </c>
      <c r="B1192" s="3">
        <v>159.44999999999999</v>
      </c>
      <c r="C1192" s="3">
        <v>251.37</v>
      </c>
      <c r="D1192" s="3">
        <v>119.42</v>
      </c>
      <c r="E1192" s="3">
        <v>1.2392000000000001</v>
      </c>
      <c r="F1192" s="3">
        <v>263.52</v>
      </c>
      <c r="G1192" s="3">
        <v>262.36</v>
      </c>
      <c r="H1192" s="3">
        <v>185.9</v>
      </c>
      <c r="I1192" s="3">
        <v>218.66</v>
      </c>
      <c r="J1192" s="3">
        <v>114.2</v>
      </c>
      <c r="K1192" s="3">
        <v>223.82</v>
      </c>
      <c r="L1192" s="3"/>
      <c r="N1192" s="4"/>
    </row>
    <row r="1193" spans="1:14" ht="17.5" thickBot="1" x14ac:dyDescent="0.45">
      <c r="A1193" s="4">
        <v>44050</v>
      </c>
      <c r="B1193" s="3">
        <v>157</v>
      </c>
      <c r="C1193" s="3">
        <v>249.37</v>
      </c>
      <c r="D1193" s="3">
        <v>119.33</v>
      </c>
      <c r="E1193" s="3">
        <v>1.2366999999999999</v>
      </c>
      <c r="F1193" s="3">
        <v>261.77</v>
      </c>
      <c r="G1193" s="3">
        <v>262.42</v>
      </c>
      <c r="H1193" s="3">
        <v>184.88</v>
      </c>
      <c r="I1193" s="3">
        <v>218.27</v>
      </c>
      <c r="J1193" s="3">
        <v>114.2</v>
      </c>
      <c r="K1193" s="3">
        <v>222.77</v>
      </c>
      <c r="L1193" s="3"/>
      <c r="N1193" s="4"/>
    </row>
    <row r="1194" spans="1:14" ht="17.5" thickBot="1" x14ac:dyDescent="0.45">
      <c r="A1194" s="4">
        <v>44051</v>
      </c>
      <c r="B1194" s="3">
        <v>157</v>
      </c>
      <c r="C1194" s="3">
        <v>249.37</v>
      </c>
      <c r="D1194" s="3">
        <v>119.33</v>
      </c>
      <c r="E1194" s="3">
        <v>1.2366999999999999</v>
      </c>
      <c r="F1194" s="3">
        <v>261.77</v>
      </c>
      <c r="G1194" s="3">
        <v>262.42</v>
      </c>
      <c r="H1194" s="3">
        <v>184.88</v>
      </c>
      <c r="I1194" s="3">
        <v>218.27</v>
      </c>
      <c r="J1194" s="3">
        <v>114.2</v>
      </c>
      <c r="K1194" s="3">
        <v>222.77</v>
      </c>
      <c r="L1194" s="3"/>
      <c r="N1194" s="4"/>
    </row>
    <row r="1195" spans="1:14" ht="17.5" thickBot="1" x14ac:dyDescent="0.45">
      <c r="A1195" s="4">
        <v>44052</v>
      </c>
      <c r="B1195" s="3">
        <v>157</v>
      </c>
      <c r="C1195" s="3">
        <v>249.37</v>
      </c>
      <c r="D1195" s="3">
        <v>119.33</v>
      </c>
      <c r="E1195" s="3">
        <v>1.2366999999999999</v>
      </c>
      <c r="F1195" s="3">
        <v>261.77</v>
      </c>
      <c r="G1195" s="3">
        <v>262.42</v>
      </c>
      <c r="H1195" s="3">
        <v>184.88</v>
      </c>
      <c r="I1195" s="3">
        <v>218.27</v>
      </c>
      <c r="J1195" s="3">
        <v>114.2</v>
      </c>
      <c r="K1195" s="3">
        <v>222.77</v>
      </c>
      <c r="L1195" s="3"/>
      <c r="N1195" s="4"/>
    </row>
    <row r="1196" spans="1:14" ht="17.5" thickBot="1" x14ac:dyDescent="0.45">
      <c r="A1196" s="4">
        <v>44053</v>
      </c>
      <c r="B1196" s="3">
        <v>156.38999999999999</v>
      </c>
      <c r="C1196" s="3">
        <v>251.23</v>
      </c>
      <c r="D1196" s="3">
        <v>119.05</v>
      </c>
      <c r="E1196" s="3">
        <v>1.2381</v>
      </c>
      <c r="F1196" s="3">
        <v>261.36</v>
      </c>
      <c r="G1196" s="3">
        <v>263.33999999999997</v>
      </c>
      <c r="H1196" s="3">
        <v>184.71</v>
      </c>
      <c r="I1196" s="3">
        <v>218.93</v>
      </c>
      <c r="J1196" s="3">
        <v>114.2</v>
      </c>
      <c r="K1196" s="3">
        <v>222.61</v>
      </c>
      <c r="L1196" s="3"/>
      <c r="N1196" s="4"/>
    </row>
    <row r="1197" spans="1:14" ht="17.5" thickBot="1" x14ac:dyDescent="0.45">
      <c r="A1197" s="4">
        <v>44054</v>
      </c>
      <c r="B1197" s="3">
        <v>159.18</v>
      </c>
      <c r="C1197" s="3">
        <v>251.76</v>
      </c>
      <c r="D1197" s="3">
        <v>119.14</v>
      </c>
      <c r="E1197" s="3">
        <v>1.2365999999999999</v>
      </c>
      <c r="F1197" s="3">
        <v>263.13</v>
      </c>
      <c r="G1197" s="3">
        <v>261.27</v>
      </c>
      <c r="H1197" s="3">
        <v>185.48</v>
      </c>
      <c r="I1197" s="3">
        <v>217.23</v>
      </c>
      <c r="J1197" s="3">
        <v>114.2</v>
      </c>
      <c r="K1197" s="3">
        <v>223.16</v>
      </c>
      <c r="L1197" s="3"/>
      <c r="N1197" s="4"/>
    </row>
    <row r="1198" spans="1:14" ht="17.5" thickBot="1" x14ac:dyDescent="0.45">
      <c r="A1198" s="4">
        <v>44055</v>
      </c>
      <c r="B1198" s="3">
        <v>160.91</v>
      </c>
      <c r="C1198" s="3">
        <v>250.83</v>
      </c>
      <c r="D1198" s="3">
        <v>118.86</v>
      </c>
      <c r="E1198" s="3">
        <v>1.2448999999999999</v>
      </c>
      <c r="F1198" s="3">
        <v>264.62</v>
      </c>
      <c r="G1198" s="3">
        <v>264.94</v>
      </c>
      <c r="H1198" s="3">
        <v>186.26</v>
      </c>
      <c r="I1198" s="3">
        <v>219.87</v>
      </c>
      <c r="J1198" s="3">
        <v>114.2</v>
      </c>
      <c r="K1198" s="3">
        <v>223.83</v>
      </c>
      <c r="L1198" s="3"/>
      <c r="N1198" s="4"/>
    </row>
    <row r="1199" spans="1:14" ht="17.5" thickBot="1" x14ac:dyDescent="0.45">
      <c r="A1199" s="4">
        <v>44056</v>
      </c>
      <c r="B1199" s="3">
        <v>160.97</v>
      </c>
      <c r="C1199" s="3">
        <v>251.48</v>
      </c>
      <c r="D1199" s="3">
        <v>118.86</v>
      </c>
      <c r="E1199" s="3">
        <v>1.2436</v>
      </c>
      <c r="F1199" s="3">
        <v>265.11</v>
      </c>
      <c r="G1199" s="3">
        <v>264.27</v>
      </c>
      <c r="H1199" s="3">
        <v>186.49</v>
      </c>
      <c r="I1199" s="3">
        <v>219.5</v>
      </c>
      <c r="J1199" s="3">
        <v>114.2</v>
      </c>
      <c r="K1199" s="3">
        <v>223.97</v>
      </c>
      <c r="L1199" s="3"/>
      <c r="N1199" s="4"/>
    </row>
    <row r="1200" spans="1:14" ht="17.5" thickBot="1" x14ac:dyDescent="0.45">
      <c r="A1200" s="4">
        <v>44057</v>
      </c>
      <c r="B1200" s="3">
        <v>160.76</v>
      </c>
      <c r="C1200" s="3">
        <v>250.96</v>
      </c>
      <c r="D1200" s="3">
        <v>118.68</v>
      </c>
      <c r="E1200" s="3">
        <v>1.2418</v>
      </c>
      <c r="F1200" s="3">
        <v>264.81</v>
      </c>
      <c r="G1200" s="3">
        <v>264.55</v>
      </c>
      <c r="H1200" s="3">
        <v>186.31</v>
      </c>
      <c r="I1200" s="3">
        <v>219.54</v>
      </c>
      <c r="J1200" s="3">
        <v>114.2</v>
      </c>
      <c r="K1200" s="3">
        <v>223.78</v>
      </c>
      <c r="L1200" s="3"/>
      <c r="N1200" s="4"/>
    </row>
    <row r="1201" spans="1:14" ht="17.5" thickBot="1" x14ac:dyDescent="0.45">
      <c r="A1201" s="4">
        <v>44058</v>
      </c>
      <c r="B1201" s="3">
        <v>160.76</v>
      </c>
      <c r="C1201" s="3">
        <v>250.96</v>
      </c>
      <c r="D1201" s="3">
        <v>118.68</v>
      </c>
      <c r="E1201" s="3">
        <v>1.2418</v>
      </c>
      <c r="F1201" s="3">
        <v>264.81</v>
      </c>
      <c r="G1201" s="3">
        <v>264.55</v>
      </c>
      <c r="H1201" s="3">
        <v>186.31</v>
      </c>
      <c r="I1201" s="3">
        <v>219.54</v>
      </c>
      <c r="J1201" s="3">
        <v>114.2</v>
      </c>
      <c r="K1201" s="3">
        <v>223.78</v>
      </c>
      <c r="L1201" s="3"/>
      <c r="N1201" s="4"/>
    </row>
    <row r="1202" spans="1:14" ht="17.5" thickBot="1" x14ac:dyDescent="0.45">
      <c r="A1202" s="4">
        <v>44059</v>
      </c>
      <c r="B1202" s="3">
        <v>160.76</v>
      </c>
      <c r="C1202" s="3">
        <v>250.96</v>
      </c>
      <c r="D1202" s="3">
        <v>118.68</v>
      </c>
      <c r="E1202" s="3">
        <v>1.2418</v>
      </c>
      <c r="F1202" s="3">
        <v>264.81</v>
      </c>
      <c r="G1202" s="3">
        <v>264.55</v>
      </c>
      <c r="H1202" s="3">
        <v>186.31</v>
      </c>
      <c r="I1202" s="3">
        <v>219.54</v>
      </c>
      <c r="J1202" s="3">
        <v>114.2</v>
      </c>
      <c r="K1202" s="3">
        <v>223.78</v>
      </c>
      <c r="L1202" s="3"/>
      <c r="N1202" s="4"/>
    </row>
    <row r="1203" spans="1:14" ht="17.5" thickBot="1" x14ac:dyDescent="0.45">
      <c r="A1203" s="4">
        <v>44060</v>
      </c>
      <c r="B1203" s="3">
        <v>162.06</v>
      </c>
      <c r="C1203" s="3">
        <v>251.94</v>
      </c>
      <c r="D1203" s="3">
        <v>118.76</v>
      </c>
      <c r="E1203" s="3">
        <v>1.2452000000000001</v>
      </c>
      <c r="F1203" s="3">
        <v>265.88</v>
      </c>
      <c r="G1203" s="3">
        <v>265.39999999999998</v>
      </c>
      <c r="H1203" s="3">
        <v>187</v>
      </c>
      <c r="I1203" s="3">
        <v>219.57</v>
      </c>
      <c r="J1203" s="3">
        <v>114.2</v>
      </c>
      <c r="K1203" s="3">
        <v>224.53</v>
      </c>
      <c r="L1203" s="3"/>
      <c r="N1203" s="4"/>
    </row>
    <row r="1204" spans="1:14" ht="17.5" thickBot="1" x14ac:dyDescent="0.45">
      <c r="A1204" s="4">
        <v>44061</v>
      </c>
      <c r="B1204" s="3">
        <v>162.22999999999999</v>
      </c>
      <c r="C1204" s="3">
        <v>252.8</v>
      </c>
      <c r="D1204" s="3">
        <v>118.94</v>
      </c>
      <c r="E1204" s="3">
        <v>1.2476</v>
      </c>
      <c r="F1204" s="3">
        <v>267.04000000000002</v>
      </c>
      <c r="G1204" s="3">
        <v>266.05</v>
      </c>
      <c r="H1204" s="3">
        <v>187.71</v>
      </c>
      <c r="I1204" s="3">
        <v>220.6</v>
      </c>
      <c r="J1204" s="3">
        <v>114.2</v>
      </c>
      <c r="K1204" s="3">
        <v>225.27</v>
      </c>
      <c r="L1204" s="3"/>
      <c r="N1204" s="4"/>
    </row>
    <row r="1205" spans="1:14" ht="17.5" thickBot="1" x14ac:dyDescent="0.45">
      <c r="A1205" s="4">
        <v>44062</v>
      </c>
      <c r="B1205" s="3">
        <v>161.22999999999999</v>
      </c>
      <c r="C1205" s="3">
        <v>252.91</v>
      </c>
      <c r="D1205" s="3">
        <v>119.12</v>
      </c>
      <c r="E1205" s="3">
        <v>1.246</v>
      </c>
      <c r="F1205" s="3">
        <v>266.45</v>
      </c>
      <c r="G1205" s="3">
        <v>264.86</v>
      </c>
      <c r="H1205" s="3">
        <v>187.45</v>
      </c>
      <c r="I1205" s="3">
        <v>219.3</v>
      </c>
      <c r="J1205" s="3">
        <v>114.2</v>
      </c>
      <c r="K1205" s="3">
        <v>225.01</v>
      </c>
      <c r="L1205" s="3"/>
      <c r="N1205" s="4"/>
    </row>
    <row r="1206" spans="1:14" ht="17.5" thickBot="1" x14ac:dyDescent="0.45">
      <c r="A1206" s="4">
        <v>44063</v>
      </c>
      <c r="B1206" s="3">
        <v>158.49</v>
      </c>
      <c r="C1206" s="3">
        <v>246.04</v>
      </c>
      <c r="D1206" s="3">
        <v>118.66</v>
      </c>
      <c r="E1206" s="3">
        <v>1.2434000000000001</v>
      </c>
      <c r="F1206" s="3">
        <v>263.93</v>
      </c>
      <c r="G1206" s="3">
        <v>265.88</v>
      </c>
      <c r="H1206" s="3">
        <v>186.03</v>
      </c>
      <c r="I1206" s="3">
        <v>219.87</v>
      </c>
      <c r="J1206" s="3">
        <v>114.2</v>
      </c>
      <c r="K1206" s="3">
        <v>223.69</v>
      </c>
      <c r="L1206" s="3"/>
      <c r="N1206" s="4"/>
    </row>
    <row r="1207" spans="1:14" ht="17.5" thickBot="1" x14ac:dyDescent="0.45">
      <c r="A1207" s="4">
        <v>44064</v>
      </c>
      <c r="B1207" s="3">
        <v>160.47</v>
      </c>
      <c r="C1207" s="3">
        <v>247.87</v>
      </c>
      <c r="D1207" s="3">
        <v>118.57</v>
      </c>
      <c r="E1207" s="3">
        <v>1.2450000000000001</v>
      </c>
      <c r="F1207" s="3">
        <v>265.31</v>
      </c>
      <c r="G1207" s="3">
        <v>266.83</v>
      </c>
      <c r="H1207" s="3">
        <v>186.56</v>
      </c>
      <c r="I1207" s="3">
        <v>220.14</v>
      </c>
      <c r="J1207" s="3">
        <v>114.2</v>
      </c>
      <c r="K1207" s="3">
        <v>224.13</v>
      </c>
      <c r="L1207" s="3"/>
      <c r="N1207" s="4"/>
    </row>
    <row r="1208" spans="1:14" ht="17.5" thickBot="1" x14ac:dyDescent="0.45">
      <c r="A1208" s="4">
        <v>44065</v>
      </c>
      <c r="B1208" s="3">
        <v>160.47</v>
      </c>
      <c r="C1208" s="3">
        <v>247.87</v>
      </c>
      <c r="D1208" s="3">
        <v>118.57</v>
      </c>
      <c r="E1208" s="3">
        <v>1.2450000000000001</v>
      </c>
      <c r="F1208" s="3">
        <v>265.31</v>
      </c>
      <c r="G1208" s="3">
        <v>266.83</v>
      </c>
      <c r="H1208" s="3">
        <v>186.56</v>
      </c>
      <c r="I1208" s="3">
        <v>220.14</v>
      </c>
      <c r="J1208" s="3">
        <v>114.2</v>
      </c>
      <c r="K1208" s="3">
        <v>224.13</v>
      </c>
      <c r="L1208" s="3"/>
      <c r="N1208" s="4"/>
    </row>
    <row r="1209" spans="1:14" ht="17.5" thickBot="1" x14ac:dyDescent="0.45">
      <c r="A1209" s="4">
        <v>44066</v>
      </c>
      <c r="B1209" s="3">
        <v>160.47</v>
      </c>
      <c r="C1209" s="3">
        <v>247.87</v>
      </c>
      <c r="D1209" s="3">
        <v>118.57</v>
      </c>
      <c r="E1209" s="3">
        <v>1.2450000000000001</v>
      </c>
      <c r="F1209" s="3">
        <v>265.31</v>
      </c>
      <c r="G1209" s="3">
        <v>266.83</v>
      </c>
      <c r="H1209" s="3">
        <v>186.56</v>
      </c>
      <c r="I1209" s="3">
        <v>220.14</v>
      </c>
      <c r="J1209" s="3">
        <v>114.2</v>
      </c>
      <c r="K1209" s="3">
        <v>224.13</v>
      </c>
      <c r="L1209" s="3"/>
      <c r="N1209" s="4"/>
    </row>
    <row r="1210" spans="1:14" ht="17.5" thickBot="1" x14ac:dyDescent="0.45">
      <c r="A1210" s="4">
        <v>44067</v>
      </c>
      <c r="B1210" s="3">
        <v>162.65</v>
      </c>
      <c r="C1210" s="3">
        <v>249.85</v>
      </c>
      <c r="D1210" s="3">
        <v>118.66</v>
      </c>
      <c r="E1210" s="3">
        <v>1.2533000000000001</v>
      </c>
      <c r="F1210" s="3">
        <v>269.25</v>
      </c>
      <c r="G1210" s="3">
        <v>269.52</v>
      </c>
      <c r="H1210" s="3">
        <v>188.56</v>
      </c>
      <c r="I1210" s="3">
        <v>222.44</v>
      </c>
      <c r="J1210" s="3">
        <v>114.2</v>
      </c>
      <c r="K1210" s="3">
        <v>226.01</v>
      </c>
      <c r="L1210" s="3"/>
      <c r="N1210" s="4"/>
    </row>
    <row r="1211" spans="1:14" ht="17.5" thickBot="1" x14ac:dyDescent="0.45">
      <c r="A1211" s="4">
        <v>44068</v>
      </c>
      <c r="B1211" s="3">
        <v>162.57</v>
      </c>
      <c r="C1211" s="3">
        <v>251.62</v>
      </c>
      <c r="D1211" s="3">
        <v>118.65</v>
      </c>
      <c r="E1211" s="3">
        <v>1.2535000000000001</v>
      </c>
      <c r="F1211" s="3">
        <v>269.20999999999998</v>
      </c>
      <c r="G1211" s="3">
        <v>270.18</v>
      </c>
      <c r="H1211" s="3">
        <v>188.41</v>
      </c>
      <c r="I1211" s="3">
        <v>223.12</v>
      </c>
      <c r="J1211" s="3">
        <v>114.2</v>
      </c>
      <c r="K1211" s="3">
        <v>225.74</v>
      </c>
      <c r="L1211" s="3"/>
      <c r="N1211" s="4"/>
    </row>
    <row r="1212" spans="1:14" ht="17.5" thickBot="1" x14ac:dyDescent="0.45">
      <c r="A1212" s="4">
        <v>44069</v>
      </c>
      <c r="B1212" s="3">
        <v>162.22</v>
      </c>
      <c r="C1212" s="3">
        <v>252.77</v>
      </c>
      <c r="D1212" s="3">
        <v>118.65</v>
      </c>
      <c r="E1212" s="3">
        <v>1.2601</v>
      </c>
      <c r="F1212" s="3">
        <v>270.88</v>
      </c>
      <c r="G1212" s="3">
        <v>272.77</v>
      </c>
      <c r="H1212" s="3">
        <v>189.24</v>
      </c>
      <c r="I1212" s="3">
        <v>224.39</v>
      </c>
      <c r="J1212" s="3">
        <v>114.2</v>
      </c>
      <c r="K1212" s="3">
        <v>226.45</v>
      </c>
      <c r="L1212" s="3"/>
      <c r="N1212" s="4"/>
    </row>
    <row r="1213" spans="1:14" ht="17.5" thickBot="1" x14ac:dyDescent="0.45">
      <c r="A1213" s="4">
        <v>44070</v>
      </c>
      <c r="B1213" s="3">
        <v>161.24</v>
      </c>
      <c r="C1213" s="3">
        <v>253.12</v>
      </c>
      <c r="D1213" s="3">
        <v>118.74</v>
      </c>
      <c r="E1213" s="3">
        <v>1.2578</v>
      </c>
      <c r="F1213" s="3">
        <v>270.52999999999997</v>
      </c>
      <c r="G1213" s="3">
        <v>273.13</v>
      </c>
      <c r="H1213" s="3">
        <v>188.92</v>
      </c>
      <c r="I1213" s="3">
        <v>224.87</v>
      </c>
      <c r="J1213" s="3">
        <v>114.2</v>
      </c>
      <c r="K1213" s="3">
        <v>226.03</v>
      </c>
      <c r="L1213" s="3"/>
      <c r="N1213" s="4"/>
    </row>
    <row r="1214" spans="1:14" ht="17.5" thickBot="1" x14ac:dyDescent="0.45">
      <c r="A1214" s="4">
        <v>44071</v>
      </c>
      <c r="B1214" s="3">
        <v>161.97999999999999</v>
      </c>
      <c r="C1214" s="3">
        <v>253.39</v>
      </c>
      <c r="D1214" s="3">
        <v>118.83</v>
      </c>
      <c r="E1214" s="3">
        <v>1.2622</v>
      </c>
      <c r="F1214" s="3">
        <v>271.81</v>
      </c>
      <c r="G1214" s="3">
        <v>274.66000000000003</v>
      </c>
      <c r="H1214" s="3">
        <v>189.7</v>
      </c>
      <c r="I1214" s="3">
        <v>227.15</v>
      </c>
      <c r="J1214" s="3">
        <v>114.2</v>
      </c>
      <c r="K1214" s="3">
        <v>226.87</v>
      </c>
      <c r="L1214" s="3"/>
      <c r="N1214" s="4"/>
    </row>
    <row r="1215" spans="1:14" ht="17.5" thickBot="1" x14ac:dyDescent="0.45">
      <c r="A1215" s="4">
        <v>44072</v>
      </c>
      <c r="B1215" s="3">
        <v>161.97999999999999</v>
      </c>
      <c r="C1215" s="3">
        <v>253.39</v>
      </c>
      <c r="D1215" s="3">
        <v>118.83</v>
      </c>
      <c r="E1215" s="3">
        <v>1.2622</v>
      </c>
      <c r="F1215" s="3">
        <v>271.81</v>
      </c>
      <c r="G1215" s="3">
        <v>274.66000000000003</v>
      </c>
      <c r="H1215" s="3">
        <v>189.7</v>
      </c>
      <c r="I1215" s="3">
        <v>227.15</v>
      </c>
      <c r="J1215" s="3">
        <v>114.2</v>
      </c>
      <c r="K1215" s="3">
        <v>226.87</v>
      </c>
      <c r="L1215" s="3"/>
      <c r="N1215" s="4"/>
    </row>
    <row r="1216" spans="1:14" ht="17.5" thickBot="1" x14ac:dyDescent="0.45">
      <c r="A1216" s="4">
        <v>44073</v>
      </c>
      <c r="B1216" s="3">
        <v>161.97999999999999</v>
      </c>
      <c r="C1216" s="3">
        <v>253.39</v>
      </c>
      <c r="D1216" s="3">
        <v>118.83</v>
      </c>
      <c r="E1216" s="3">
        <v>1.2622</v>
      </c>
      <c r="F1216" s="3">
        <v>271.81</v>
      </c>
      <c r="G1216" s="3">
        <v>274.66000000000003</v>
      </c>
      <c r="H1216" s="3">
        <v>189.7</v>
      </c>
      <c r="I1216" s="3">
        <v>227.15</v>
      </c>
      <c r="J1216" s="3">
        <v>114.2</v>
      </c>
      <c r="K1216" s="3">
        <v>226.87</v>
      </c>
      <c r="L1216" s="3"/>
      <c r="N1216" s="4"/>
    </row>
    <row r="1217" spans="1:14" ht="17.5" thickBot="1" x14ac:dyDescent="0.45">
      <c r="A1217" s="4">
        <v>44074</v>
      </c>
      <c r="B1217" s="3">
        <v>160.01</v>
      </c>
      <c r="C1217" s="3">
        <v>250.53</v>
      </c>
      <c r="D1217" s="3">
        <v>118.91</v>
      </c>
      <c r="E1217" s="3">
        <v>1.2606999999999999</v>
      </c>
      <c r="F1217" s="3">
        <v>270.01</v>
      </c>
      <c r="G1217" s="3">
        <v>274.07</v>
      </c>
      <c r="H1217" s="3">
        <v>188.99</v>
      </c>
      <c r="I1217" s="3">
        <v>225.32</v>
      </c>
      <c r="J1217" s="3">
        <v>114.21</v>
      </c>
      <c r="K1217" s="3">
        <v>226.31</v>
      </c>
      <c r="L1217" s="3"/>
      <c r="N1217" s="4"/>
    </row>
    <row r="1218" spans="1:14" ht="17.5" thickBot="1" x14ac:dyDescent="0.45">
      <c r="A1218" s="4">
        <v>44075</v>
      </c>
      <c r="B1218" s="3">
        <v>160.27000000000001</v>
      </c>
      <c r="C1218" s="3">
        <v>251.58</v>
      </c>
      <c r="D1218" s="3">
        <v>119</v>
      </c>
      <c r="E1218" s="3">
        <v>1.2650999999999999</v>
      </c>
      <c r="F1218" s="3">
        <v>271.43</v>
      </c>
      <c r="G1218" s="3">
        <v>275.97000000000003</v>
      </c>
      <c r="H1218" s="3">
        <v>189.72</v>
      </c>
      <c r="I1218" s="3">
        <v>228.27</v>
      </c>
      <c r="J1218" s="3">
        <v>114.21</v>
      </c>
      <c r="K1218" s="3">
        <v>227.04</v>
      </c>
      <c r="L1218" s="3"/>
      <c r="N1218" s="4"/>
    </row>
    <row r="1219" spans="1:14" ht="17.5" thickBot="1" x14ac:dyDescent="0.45">
      <c r="A1219" s="4">
        <v>44076</v>
      </c>
      <c r="B1219" s="3">
        <v>159.91999999999999</v>
      </c>
      <c r="C1219" s="3">
        <v>252.38</v>
      </c>
      <c r="D1219" s="3">
        <v>119</v>
      </c>
      <c r="E1219" s="3">
        <v>1.2743</v>
      </c>
      <c r="F1219" s="3">
        <v>273.39</v>
      </c>
      <c r="G1219" s="3">
        <v>279.85000000000002</v>
      </c>
      <c r="H1219" s="3">
        <v>190.7</v>
      </c>
      <c r="I1219" s="3">
        <v>231.14</v>
      </c>
      <c r="J1219" s="3">
        <v>114.21</v>
      </c>
      <c r="K1219" s="3">
        <v>227.96</v>
      </c>
      <c r="L1219" s="3"/>
      <c r="N1219" s="4"/>
    </row>
    <row r="1220" spans="1:14" ht="17.5" thickBot="1" x14ac:dyDescent="0.45">
      <c r="A1220" s="4">
        <v>44077</v>
      </c>
      <c r="B1220" s="3">
        <v>159.33000000000001</v>
      </c>
      <c r="C1220" s="3">
        <v>253.21</v>
      </c>
      <c r="D1220" s="3">
        <v>118.81</v>
      </c>
      <c r="E1220" s="3">
        <v>1.2563</v>
      </c>
      <c r="F1220" s="3">
        <v>270.02</v>
      </c>
      <c r="G1220" s="3">
        <v>269.92</v>
      </c>
      <c r="H1220" s="3">
        <v>189</v>
      </c>
      <c r="I1220" s="3">
        <v>224.06</v>
      </c>
      <c r="J1220" s="3">
        <v>114.21</v>
      </c>
      <c r="K1220" s="3">
        <v>226.45</v>
      </c>
      <c r="L1220" s="3"/>
      <c r="N1220" s="4"/>
    </row>
    <row r="1221" spans="1:14" ht="17.5" thickBot="1" x14ac:dyDescent="0.45">
      <c r="A1221" s="4">
        <v>44078</v>
      </c>
      <c r="B1221" s="3">
        <v>158.09</v>
      </c>
      <c r="C1221" s="3">
        <v>247.92</v>
      </c>
      <c r="D1221" s="3">
        <v>118.63</v>
      </c>
      <c r="E1221" s="3">
        <v>1.2463</v>
      </c>
      <c r="F1221" s="3">
        <v>266.77</v>
      </c>
      <c r="G1221" s="3">
        <v>267.48</v>
      </c>
      <c r="H1221" s="3">
        <v>187.07</v>
      </c>
      <c r="I1221" s="3">
        <v>222.64</v>
      </c>
      <c r="J1221" s="3">
        <v>114.21</v>
      </c>
      <c r="K1221" s="3">
        <v>224.46</v>
      </c>
      <c r="L1221" s="3"/>
      <c r="N1221" s="4"/>
    </row>
    <row r="1222" spans="1:14" ht="17.5" thickBot="1" x14ac:dyDescent="0.45">
      <c r="A1222" s="4">
        <v>44079</v>
      </c>
      <c r="B1222" s="3">
        <v>158.09</v>
      </c>
      <c r="C1222" s="3">
        <v>247.92</v>
      </c>
      <c r="D1222" s="3">
        <v>118.63</v>
      </c>
      <c r="E1222" s="3">
        <v>1.2463</v>
      </c>
      <c r="F1222" s="3">
        <v>266.77</v>
      </c>
      <c r="G1222" s="3">
        <v>267.48</v>
      </c>
      <c r="H1222" s="3">
        <v>187.07</v>
      </c>
      <c r="I1222" s="3">
        <v>222.64</v>
      </c>
      <c r="J1222" s="3">
        <v>114.21</v>
      </c>
      <c r="K1222" s="3">
        <v>224.46</v>
      </c>
      <c r="L1222" s="3"/>
      <c r="N1222" s="4"/>
    </row>
    <row r="1223" spans="1:14" ht="17.5" thickBot="1" x14ac:dyDescent="0.45">
      <c r="A1223" s="4">
        <v>44080</v>
      </c>
      <c r="B1223" s="3">
        <v>158.09</v>
      </c>
      <c r="C1223" s="3">
        <v>247.92</v>
      </c>
      <c r="D1223" s="3">
        <v>118.63</v>
      </c>
      <c r="E1223" s="3">
        <v>1.2463</v>
      </c>
      <c r="F1223" s="3">
        <v>266.77</v>
      </c>
      <c r="G1223" s="3">
        <v>267.48</v>
      </c>
      <c r="H1223" s="3">
        <v>187.07</v>
      </c>
      <c r="I1223" s="3">
        <v>222.64</v>
      </c>
      <c r="J1223" s="3">
        <v>114.21</v>
      </c>
      <c r="K1223" s="3">
        <v>224.46</v>
      </c>
      <c r="L1223" s="3"/>
      <c r="N1223" s="4"/>
    </row>
    <row r="1224" spans="1:14" ht="17.5" thickBot="1" x14ac:dyDescent="0.45">
      <c r="A1224" s="4">
        <v>44081</v>
      </c>
      <c r="B1224" s="3">
        <v>157.31</v>
      </c>
      <c r="C1224" s="3">
        <v>249.19</v>
      </c>
      <c r="D1224" s="3">
        <v>118.62</v>
      </c>
      <c r="E1224" s="3">
        <v>1.2481</v>
      </c>
      <c r="F1224" s="3">
        <v>266.2</v>
      </c>
      <c r="G1224" s="3">
        <v>267.45999999999998</v>
      </c>
      <c r="H1224" s="3">
        <v>186.91</v>
      </c>
      <c r="I1224" s="3">
        <v>222.64</v>
      </c>
      <c r="J1224" s="3">
        <v>114.21</v>
      </c>
      <c r="K1224" s="3">
        <v>224.28</v>
      </c>
      <c r="L1224" s="3"/>
      <c r="N1224" s="4"/>
    </row>
    <row r="1225" spans="1:14" ht="17.5" thickBot="1" x14ac:dyDescent="0.45">
      <c r="A1225" s="4">
        <v>44082</v>
      </c>
      <c r="B1225" s="3">
        <v>157.19</v>
      </c>
      <c r="C1225" s="3">
        <v>250.92</v>
      </c>
      <c r="D1225" s="3">
        <v>118.53</v>
      </c>
      <c r="E1225" s="3">
        <v>1.2345999999999999</v>
      </c>
      <c r="F1225" s="3">
        <v>264.20999999999998</v>
      </c>
      <c r="G1225" s="3">
        <v>259.62</v>
      </c>
      <c r="H1225" s="3">
        <v>185.98</v>
      </c>
      <c r="I1225" s="3">
        <v>216.51</v>
      </c>
      <c r="J1225" s="3">
        <v>114.21</v>
      </c>
      <c r="K1225" s="3">
        <v>223.46</v>
      </c>
      <c r="L1225" s="3"/>
      <c r="N1225" s="4"/>
    </row>
    <row r="1226" spans="1:14" ht="17.5" thickBot="1" x14ac:dyDescent="0.45">
      <c r="A1226" s="4">
        <v>44083</v>
      </c>
      <c r="B1226" s="3">
        <v>156.19999999999999</v>
      </c>
      <c r="C1226" s="3">
        <v>248.29</v>
      </c>
      <c r="D1226" s="3">
        <v>118.8</v>
      </c>
      <c r="E1226" s="3">
        <v>1.2442</v>
      </c>
      <c r="F1226" s="3">
        <v>264.60000000000002</v>
      </c>
      <c r="G1226" s="3">
        <v>264.97000000000003</v>
      </c>
      <c r="H1226" s="3">
        <v>186.15</v>
      </c>
      <c r="I1226" s="3">
        <v>220.86</v>
      </c>
      <c r="J1226" s="3">
        <v>114.21</v>
      </c>
      <c r="K1226" s="3">
        <v>223.58</v>
      </c>
      <c r="L1226" s="3"/>
      <c r="N1226" s="4"/>
    </row>
    <row r="1227" spans="1:14" ht="17.5" thickBot="1" x14ac:dyDescent="0.45">
      <c r="A1227" s="4">
        <v>44084</v>
      </c>
      <c r="B1227" s="3">
        <v>155.6</v>
      </c>
      <c r="C1227" s="3">
        <v>250.74</v>
      </c>
      <c r="D1227" s="3">
        <v>118.8</v>
      </c>
      <c r="E1227" s="3">
        <v>1.2372000000000001</v>
      </c>
      <c r="F1227" s="3">
        <v>263.89999999999998</v>
      </c>
      <c r="G1227" s="3">
        <v>260.02999999999997</v>
      </c>
      <c r="H1227" s="3">
        <v>185.84</v>
      </c>
      <c r="I1227" s="3">
        <v>216.77</v>
      </c>
      <c r="J1227" s="3">
        <v>114.21</v>
      </c>
      <c r="K1227" s="3">
        <v>223.31</v>
      </c>
      <c r="L1227" s="3"/>
      <c r="N1227" s="4"/>
    </row>
    <row r="1228" spans="1:14" ht="17.5" thickBot="1" x14ac:dyDescent="0.45">
      <c r="A1228" s="4">
        <v>44085</v>
      </c>
      <c r="B1228" s="3">
        <v>156.38</v>
      </c>
      <c r="C1228" s="3">
        <v>249.85</v>
      </c>
      <c r="D1228" s="3">
        <v>118.8</v>
      </c>
      <c r="E1228" s="3">
        <v>1.2393000000000001</v>
      </c>
      <c r="F1228" s="3">
        <v>265.32</v>
      </c>
      <c r="G1228" s="3">
        <v>260.08999999999997</v>
      </c>
      <c r="H1228" s="3">
        <v>186.52</v>
      </c>
      <c r="I1228" s="3">
        <v>217.06</v>
      </c>
      <c r="J1228" s="3">
        <v>114.21</v>
      </c>
      <c r="K1228" s="3">
        <v>223.97</v>
      </c>
      <c r="L1228" s="3"/>
      <c r="N1228" s="4"/>
    </row>
    <row r="1229" spans="1:14" ht="17.5" thickBot="1" x14ac:dyDescent="0.45">
      <c r="A1229" s="4">
        <v>44086</v>
      </c>
      <c r="B1229" s="3">
        <v>156.38</v>
      </c>
      <c r="C1229" s="3">
        <v>249.85</v>
      </c>
      <c r="D1229" s="3">
        <v>118.8</v>
      </c>
      <c r="E1229" s="3">
        <v>1.2393000000000001</v>
      </c>
      <c r="F1229" s="3">
        <v>265.32</v>
      </c>
      <c r="G1229" s="3">
        <v>260.08999999999997</v>
      </c>
      <c r="H1229" s="3">
        <v>186.52</v>
      </c>
      <c r="I1229" s="3">
        <v>217.06</v>
      </c>
      <c r="J1229" s="3">
        <v>114.21</v>
      </c>
      <c r="K1229" s="3">
        <v>223.97</v>
      </c>
      <c r="L1229" s="3"/>
      <c r="N1229" s="4"/>
    </row>
    <row r="1230" spans="1:14" ht="17.5" thickBot="1" x14ac:dyDescent="0.45">
      <c r="A1230" s="4">
        <v>44087</v>
      </c>
      <c r="B1230" s="3">
        <v>156.38</v>
      </c>
      <c r="C1230" s="3">
        <v>249.85</v>
      </c>
      <c r="D1230" s="3">
        <v>118.8</v>
      </c>
      <c r="E1230" s="3">
        <v>1.2393000000000001</v>
      </c>
      <c r="F1230" s="3">
        <v>265.32</v>
      </c>
      <c r="G1230" s="3">
        <v>260.08999999999997</v>
      </c>
      <c r="H1230" s="3">
        <v>186.52</v>
      </c>
      <c r="I1230" s="3">
        <v>217.06</v>
      </c>
      <c r="J1230" s="3">
        <v>114.21</v>
      </c>
      <c r="K1230" s="3">
        <v>223.97</v>
      </c>
      <c r="L1230" s="3"/>
      <c r="N1230" s="4"/>
    </row>
    <row r="1231" spans="1:14" ht="17.5" thickBot="1" x14ac:dyDescent="0.45">
      <c r="A1231" s="4">
        <v>44088</v>
      </c>
      <c r="B1231" s="3">
        <v>157.16999999999999</v>
      </c>
      <c r="C1231" s="3">
        <v>253.63</v>
      </c>
      <c r="D1231" s="3">
        <v>118.97</v>
      </c>
      <c r="E1231" s="3">
        <v>1.2479</v>
      </c>
      <c r="F1231" s="3">
        <v>267.82</v>
      </c>
      <c r="G1231" s="3">
        <v>263.60000000000002</v>
      </c>
      <c r="H1231" s="3">
        <v>187.93</v>
      </c>
      <c r="I1231" s="3">
        <v>220.3</v>
      </c>
      <c r="J1231" s="3">
        <v>114.21</v>
      </c>
      <c r="K1231" s="3">
        <v>225.33</v>
      </c>
      <c r="L1231" s="3"/>
      <c r="N1231" s="4"/>
    </row>
    <row r="1232" spans="1:14" ht="17.5" thickBot="1" x14ac:dyDescent="0.45">
      <c r="A1232" s="4">
        <v>44089</v>
      </c>
      <c r="B1232" s="3">
        <v>157.9</v>
      </c>
      <c r="C1232" s="3">
        <v>254.76</v>
      </c>
      <c r="D1232" s="3">
        <v>119.15</v>
      </c>
      <c r="E1232" s="3">
        <v>1.2511000000000001</v>
      </c>
      <c r="F1232" s="3">
        <v>269.20999999999998</v>
      </c>
      <c r="G1232" s="3">
        <v>264.83999999999997</v>
      </c>
      <c r="H1232" s="3">
        <v>188.63</v>
      </c>
      <c r="I1232" s="3">
        <v>221.09</v>
      </c>
      <c r="J1232" s="3">
        <v>114.21</v>
      </c>
      <c r="K1232" s="3">
        <v>225.93</v>
      </c>
      <c r="L1232" s="3"/>
      <c r="N1232" s="4"/>
    </row>
    <row r="1233" spans="1:14" ht="17.5" thickBot="1" x14ac:dyDescent="0.45">
      <c r="A1233" s="4">
        <v>44090</v>
      </c>
      <c r="B1233" s="3">
        <v>157.78</v>
      </c>
      <c r="C1233" s="3">
        <v>256.85000000000002</v>
      </c>
      <c r="D1233" s="3">
        <v>119.33</v>
      </c>
      <c r="E1233" s="3">
        <v>1.2504</v>
      </c>
      <c r="F1233" s="3">
        <v>269.92</v>
      </c>
      <c r="G1233" s="3">
        <v>263.43</v>
      </c>
      <c r="H1233" s="3">
        <v>189.08</v>
      </c>
      <c r="I1233" s="3">
        <v>220.45</v>
      </c>
      <c r="J1233" s="3">
        <v>114.21</v>
      </c>
      <c r="K1233" s="3">
        <v>226.34</v>
      </c>
      <c r="L1233" s="3"/>
      <c r="N1233" s="4"/>
    </row>
    <row r="1234" spans="1:14" ht="17.5" thickBot="1" x14ac:dyDescent="0.45">
      <c r="A1234" s="4">
        <v>44091</v>
      </c>
      <c r="B1234" s="3">
        <v>155.19999999999999</v>
      </c>
      <c r="C1234" s="3">
        <v>253.42</v>
      </c>
      <c r="D1234" s="3">
        <v>119.14</v>
      </c>
      <c r="E1234" s="3">
        <v>1.2448999999999999</v>
      </c>
      <c r="F1234" s="3">
        <v>267.33</v>
      </c>
      <c r="G1234" s="3">
        <v>261.44</v>
      </c>
      <c r="H1234" s="3">
        <v>187.63</v>
      </c>
      <c r="I1234" s="3">
        <v>218.88</v>
      </c>
      <c r="J1234" s="3">
        <v>114.21</v>
      </c>
      <c r="K1234" s="3">
        <v>225.13</v>
      </c>
      <c r="L1234" s="3"/>
      <c r="N1234" s="4"/>
    </row>
    <row r="1235" spans="1:14" ht="17.5" thickBot="1" x14ac:dyDescent="0.45">
      <c r="A1235" s="4">
        <v>44092</v>
      </c>
      <c r="B1235" s="3">
        <v>155.94999999999999</v>
      </c>
      <c r="C1235" s="3">
        <v>254.33</v>
      </c>
      <c r="D1235" s="3">
        <v>119.51</v>
      </c>
      <c r="E1235" s="3">
        <v>1.2405999999999999</v>
      </c>
      <c r="F1235" s="3">
        <v>267.74</v>
      </c>
      <c r="G1235" s="3">
        <v>258.55</v>
      </c>
      <c r="H1235" s="3">
        <v>187.84</v>
      </c>
      <c r="I1235" s="3">
        <v>215.63</v>
      </c>
      <c r="J1235" s="3">
        <v>114.21</v>
      </c>
      <c r="K1235" s="3">
        <v>225.35</v>
      </c>
      <c r="L1235" s="3"/>
      <c r="N1235" s="4"/>
    </row>
    <row r="1236" spans="1:14" ht="17.5" thickBot="1" x14ac:dyDescent="0.45">
      <c r="A1236" s="4">
        <v>44093</v>
      </c>
      <c r="B1236" s="3">
        <v>155.94999999999999</v>
      </c>
      <c r="C1236" s="3">
        <v>254.33</v>
      </c>
      <c r="D1236" s="3">
        <v>119.51</v>
      </c>
      <c r="E1236" s="3">
        <v>1.2405999999999999</v>
      </c>
      <c r="F1236" s="3">
        <v>267.74</v>
      </c>
      <c r="G1236" s="3">
        <v>258.55</v>
      </c>
      <c r="H1236" s="3">
        <v>187.84</v>
      </c>
      <c r="I1236" s="3">
        <v>215.63</v>
      </c>
      <c r="J1236" s="3">
        <v>114.21</v>
      </c>
      <c r="K1236" s="3">
        <v>225.35</v>
      </c>
      <c r="L1236" s="3"/>
      <c r="N1236" s="4"/>
    </row>
    <row r="1237" spans="1:14" ht="17.5" thickBot="1" x14ac:dyDescent="0.45">
      <c r="A1237" s="4">
        <v>44094</v>
      </c>
      <c r="B1237" s="3">
        <v>155.94999999999999</v>
      </c>
      <c r="C1237" s="3">
        <v>254.33</v>
      </c>
      <c r="D1237" s="3">
        <v>119.51</v>
      </c>
      <c r="E1237" s="3">
        <v>1.2405999999999999</v>
      </c>
      <c r="F1237" s="3">
        <v>267.74</v>
      </c>
      <c r="G1237" s="3">
        <v>258.55</v>
      </c>
      <c r="H1237" s="3">
        <v>187.84</v>
      </c>
      <c r="I1237" s="3">
        <v>215.63</v>
      </c>
      <c r="J1237" s="3">
        <v>114.21</v>
      </c>
      <c r="K1237" s="3">
        <v>225.35</v>
      </c>
      <c r="L1237" s="3"/>
      <c r="N1237" s="4"/>
    </row>
    <row r="1238" spans="1:14" ht="17.5" thickBot="1" x14ac:dyDescent="0.45">
      <c r="A1238" s="4">
        <v>44095</v>
      </c>
      <c r="B1238" s="3">
        <v>153.12</v>
      </c>
      <c r="C1238" s="3">
        <v>251.62</v>
      </c>
      <c r="D1238" s="3">
        <v>119.23</v>
      </c>
      <c r="E1238" s="3">
        <v>1.2292000000000001</v>
      </c>
      <c r="F1238" s="3">
        <v>263.14</v>
      </c>
      <c r="G1238" s="3">
        <v>255.85</v>
      </c>
      <c r="H1238" s="3">
        <v>185.13</v>
      </c>
      <c r="I1238" s="3">
        <v>212.93</v>
      </c>
      <c r="J1238" s="3">
        <v>114.21</v>
      </c>
      <c r="K1238" s="3">
        <v>222.88</v>
      </c>
      <c r="L1238" s="3"/>
      <c r="N1238" s="4"/>
    </row>
    <row r="1239" spans="1:14" ht="17.5" thickBot="1" x14ac:dyDescent="0.45">
      <c r="A1239" s="4">
        <v>44096</v>
      </c>
      <c r="B1239" s="3">
        <v>152.11000000000001</v>
      </c>
      <c r="C1239" s="3">
        <v>247.49</v>
      </c>
      <c r="D1239" s="3">
        <v>119.04</v>
      </c>
      <c r="E1239" s="3">
        <v>1.2323</v>
      </c>
      <c r="F1239" s="3">
        <v>262.68</v>
      </c>
      <c r="G1239" s="3">
        <v>258.60000000000002</v>
      </c>
      <c r="H1239" s="3">
        <v>184.77</v>
      </c>
      <c r="I1239" s="3">
        <v>214.66</v>
      </c>
      <c r="J1239" s="3">
        <v>114.21</v>
      </c>
      <c r="K1239" s="3">
        <v>222.49</v>
      </c>
      <c r="L1239" s="3"/>
      <c r="N1239" s="4"/>
    </row>
    <row r="1240" spans="1:14" ht="17.5" thickBot="1" x14ac:dyDescent="0.45">
      <c r="A1240" s="4">
        <v>44097</v>
      </c>
      <c r="B1240" s="3">
        <v>152.12</v>
      </c>
      <c r="C1240" s="3">
        <v>248.45</v>
      </c>
      <c r="D1240" s="3">
        <v>118.86</v>
      </c>
      <c r="E1240" s="3">
        <v>1.2215</v>
      </c>
      <c r="F1240" s="3">
        <v>261.93</v>
      </c>
      <c r="G1240" s="3">
        <v>252.31</v>
      </c>
      <c r="H1240" s="3">
        <v>184.26</v>
      </c>
      <c r="I1240" s="3">
        <v>209.01</v>
      </c>
      <c r="J1240" s="3">
        <v>114.21</v>
      </c>
      <c r="K1240" s="3">
        <v>221.98</v>
      </c>
      <c r="L1240" s="3"/>
      <c r="N1240" s="4"/>
    </row>
    <row r="1241" spans="1:14" ht="17.5" thickBot="1" x14ac:dyDescent="0.45">
      <c r="A1241" s="4">
        <v>44098</v>
      </c>
      <c r="B1241" s="3">
        <v>149.54</v>
      </c>
      <c r="C1241" s="3">
        <v>241.96</v>
      </c>
      <c r="D1241" s="3">
        <v>118.49</v>
      </c>
      <c r="E1241" s="3">
        <v>1.2184999999999999</v>
      </c>
      <c r="F1241" s="3">
        <v>258.61</v>
      </c>
      <c r="G1241" s="3">
        <v>253.32</v>
      </c>
      <c r="H1241" s="3">
        <v>182.34</v>
      </c>
      <c r="I1241" s="3">
        <v>210.21</v>
      </c>
      <c r="J1241" s="3">
        <v>114.21</v>
      </c>
      <c r="K1241" s="3">
        <v>220.26</v>
      </c>
      <c r="L1241" s="3"/>
      <c r="N1241" s="4"/>
    </row>
    <row r="1242" spans="1:14" ht="17.5" thickBot="1" x14ac:dyDescent="0.45">
      <c r="A1242" s="4">
        <v>44099</v>
      </c>
      <c r="B1242" s="3">
        <v>149.02000000000001</v>
      </c>
      <c r="C1242" s="3">
        <v>244.25</v>
      </c>
      <c r="D1242" s="3">
        <v>118.49</v>
      </c>
      <c r="E1242" s="3">
        <v>1.2262</v>
      </c>
      <c r="F1242" s="3">
        <v>258.69</v>
      </c>
      <c r="G1242" s="3">
        <v>257.27999999999997</v>
      </c>
      <c r="H1242" s="3">
        <v>182.43</v>
      </c>
      <c r="I1242" s="3">
        <v>213</v>
      </c>
      <c r="J1242" s="3">
        <v>114.21</v>
      </c>
      <c r="K1242" s="3">
        <v>220.26</v>
      </c>
      <c r="L1242" s="3"/>
      <c r="N1242" s="4"/>
    </row>
    <row r="1243" spans="1:14" ht="17.5" thickBot="1" x14ac:dyDescent="0.45">
      <c r="A1243" s="4">
        <v>44100</v>
      </c>
      <c r="B1243" s="3">
        <v>149.02000000000001</v>
      </c>
      <c r="C1243" s="3">
        <v>244.25</v>
      </c>
      <c r="D1243" s="3">
        <v>118.49</v>
      </c>
      <c r="E1243" s="3">
        <v>1.2262</v>
      </c>
      <c r="F1243" s="3">
        <v>258.69</v>
      </c>
      <c r="G1243" s="3">
        <v>257.27999999999997</v>
      </c>
      <c r="H1243" s="3">
        <v>182.43</v>
      </c>
      <c r="I1243" s="3">
        <v>213</v>
      </c>
      <c r="J1243" s="3">
        <v>114.21</v>
      </c>
      <c r="K1243" s="3">
        <v>220.26</v>
      </c>
      <c r="L1243" s="3"/>
      <c r="N1243" s="4"/>
    </row>
    <row r="1244" spans="1:14" ht="17.5" thickBot="1" x14ac:dyDescent="0.45">
      <c r="A1244" s="4">
        <v>44101</v>
      </c>
      <c r="B1244" s="3">
        <v>149.02000000000001</v>
      </c>
      <c r="C1244" s="3">
        <v>244.25</v>
      </c>
      <c r="D1244" s="3">
        <v>118.49</v>
      </c>
      <c r="E1244" s="3">
        <v>1.2262</v>
      </c>
      <c r="F1244" s="3">
        <v>258.69</v>
      </c>
      <c r="G1244" s="3">
        <v>257.27999999999997</v>
      </c>
      <c r="H1244" s="3">
        <v>182.43</v>
      </c>
      <c r="I1244" s="3">
        <v>213</v>
      </c>
      <c r="J1244" s="3">
        <v>114.21</v>
      </c>
      <c r="K1244" s="3">
        <v>220.26</v>
      </c>
      <c r="L1244" s="3"/>
      <c r="N1244" s="4"/>
    </row>
    <row r="1245" spans="1:14" ht="17.5" thickBot="1" x14ac:dyDescent="0.45">
      <c r="A1245" s="4">
        <v>44102</v>
      </c>
      <c r="B1245" s="3">
        <v>150.41</v>
      </c>
      <c r="C1245" s="3">
        <v>246.51</v>
      </c>
      <c r="D1245" s="3">
        <v>118.49</v>
      </c>
      <c r="E1245" s="3">
        <v>1.238</v>
      </c>
      <c r="F1245" s="3">
        <v>262.12</v>
      </c>
      <c r="G1245" s="3">
        <v>261.3</v>
      </c>
      <c r="H1245" s="3">
        <v>184.43</v>
      </c>
      <c r="I1245" s="3">
        <v>215.58</v>
      </c>
      <c r="J1245" s="3">
        <v>114.21</v>
      </c>
      <c r="K1245" s="3">
        <v>222.01</v>
      </c>
      <c r="L1245" s="3"/>
      <c r="N1245" s="4"/>
    </row>
    <row r="1246" spans="1:14" ht="17.5" thickBot="1" x14ac:dyDescent="0.45">
      <c r="A1246" s="4">
        <v>44103</v>
      </c>
      <c r="B1246" s="3">
        <v>149.09</v>
      </c>
      <c r="C1246" s="3">
        <v>248.5</v>
      </c>
      <c r="D1246" s="3">
        <v>118.85</v>
      </c>
      <c r="E1246" s="3">
        <v>1.2371000000000001</v>
      </c>
      <c r="F1246" s="3">
        <v>261.89999999999998</v>
      </c>
      <c r="G1246" s="3">
        <v>259.95999999999998</v>
      </c>
      <c r="H1246" s="3">
        <v>184.46</v>
      </c>
      <c r="I1246" s="3">
        <v>214.17</v>
      </c>
      <c r="J1246" s="3">
        <v>114.21</v>
      </c>
      <c r="K1246" s="3">
        <v>222.22</v>
      </c>
      <c r="L1246" s="3"/>
      <c r="N1246" s="4"/>
    </row>
    <row r="1247" spans="1:14" ht="17.5" thickBot="1" x14ac:dyDescent="0.45">
      <c r="A1247" s="4">
        <v>44104</v>
      </c>
      <c r="B1247" s="3">
        <v>150.38999999999999</v>
      </c>
      <c r="C1247" s="3">
        <v>247.62</v>
      </c>
      <c r="D1247" s="3">
        <v>119.02</v>
      </c>
      <c r="E1247" s="3">
        <v>1.2388999999999999</v>
      </c>
      <c r="F1247" s="3">
        <v>262.67</v>
      </c>
      <c r="G1247" s="3">
        <v>262.14999999999998</v>
      </c>
      <c r="H1247" s="3">
        <v>184.78</v>
      </c>
      <c r="I1247" s="3">
        <v>216.17</v>
      </c>
      <c r="J1247" s="3">
        <v>114.22</v>
      </c>
      <c r="K1247" s="3">
        <v>222.43</v>
      </c>
      <c r="L1247" s="3"/>
      <c r="N1247" s="4"/>
    </row>
    <row r="1248" spans="1:14" ht="17.5" thickBot="1" x14ac:dyDescent="0.45">
      <c r="A1248" s="4">
        <v>44105</v>
      </c>
      <c r="B1248" s="3">
        <v>150.38999999999999</v>
      </c>
      <c r="C1248" s="3">
        <v>247.62</v>
      </c>
      <c r="D1248" s="3">
        <v>119.02</v>
      </c>
      <c r="E1248" s="3">
        <v>1.2388999999999999</v>
      </c>
      <c r="F1248" s="3">
        <v>262.67</v>
      </c>
      <c r="G1248" s="3">
        <v>262.14999999999998</v>
      </c>
      <c r="H1248" s="3">
        <v>184.78</v>
      </c>
      <c r="I1248" s="3">
        <v>216.17</v>
      </c>
      <c r="J1248" s="3">
        <v>114.22</v>
      </c>
      <c r="K1248" s="3">
        <v>222.43</v>
      </c>
      <c r="L1248" s="3"/>
      <c r="N1248" s="4"/>
    </row>
    <row r="1249" spans="1:14" ht="17.5" thickBot="1" x14ac:dyDescent="0.45">
      <c r="A1249" s="4">
        <v>44106</v>
      </c>
      <c r="B1249" s="3">
        <v>150.38999999999999</v>
      </c>
      <c r="C1249" s="3">
        <v>247.62</v>
      </c>
      <c r="D1249" s="3">
        <v>119.02</v>
      </c>
      <c r="E1249" s="3">
        <v>1.2388999999999999</v>
      </c>
      <c r="F1249" s="3">
        <v>262.67</v>
      </c>
      <c r="G1249" s="3">
        <v>262.14999999999998</v>
      </c>
      <c r="H1249" s="3">
        <v>184.78</v>
      </c>
      <c r="I1249" s="3">
        <v>216.17</v>
      </c>
      <c r="J1249" s="3">
        <v>114.22</v>
      </c>
      <c r="K1249" s="3">
        <v>222.43</v>
      </c>
      <c r="L1249" s="3"/>
      <c r="N1249" s="4"/>
    </row>
    <row r="1250" spans="1:14" ht="17.5" thickBot="1" x14ac:dyDescent="0.45">
      <c r="A1250" s="4">
        <v>44107</v>
      </c>
      <c r="B1250" s="3">
        <v>150.38999999999999</v>
      </c>
      <c r="C1250" s="3">
        <v>247.62</v>
      </c>
      <c r="D1250" s="3">
        <v>119.02</v>
      </c>
      <c r="E1250" s="3">
        <v>1.2388999999999999</v>
      </c>
      <c r="F1250" s="3">
        <v>262.67</v>
      </c>
      <c r="G1250" s="3">
        <v>262.14999999999998</v>
      </c>
      <c r="H1250" s="3">
        <v>184.78</v>
      </c>
      <c r="I1250" s="3">
        <v>216.17</v>
      </c>
      <c r="J1250" s="3">
        <v>114.22</v>
      </c>
      <c r="K1250" s="3">
        <v>222.43</v>
      </c>
      <c r="L1250" s="3"/>
      <c r="N1250" s="4"/>
    </row>
    <row r="1251" spans="1:14" ht="17.5" thickBot="1" x14ac:dyDescent="0.45">
      <c r="A1251" s="4">
        <v>44108</v>
      </c>
      <c r="B1251" s="3">
        <v>150.38999999999999</v>
      </c>
      <c r="C1251" s="3">
        <v>247.62</v>
      </c>
      <c r="D1251" s="3">
        <v>119.02</v>
      </c>
      <c r="E1251" s="3">
        <v>1.2388999999999999</v>
      </c>
      <c r="F1251" s="3">
        <v>262.67</v>
      </c>
      <c r="G1251" s="3">
        <v>262.14999999999998</v>
      </c>
      <c r="H1251" s="3">
        <v>184.78</v>
      </c>
      <c r="I1251" s="3">
        <v>216.17</v>
      </c>
      <c r="J1251" s="3">
        <v>114.22</v>
      </c>
      <c r="K1251" s="3">
        <v>222.43</v>
      </c>
      <c r="L1251" s="3"/>
      <c r="N1251" s="4"/>
    </row>
    <row r="1252" spans="1:14" ht="17.5" thickBot="1" x14ac:dyDescent="0.45">
      <c r="A1252" s="4">
        <v>44109</v>
      </c>
      <c r="B1252" s="3">
        <v>151.66999999999999</v>
      </c>
      <c r="C1252" s="3">
        <v>252.71</v>
      </c>
      <c r="D1252" s="3">
        <v>119.19</v>
      </c>
      <c r="E1252" s="3">
        <v>1.2486999999999999</v>
      </c>
      <c r="F1252" s="3">
        <v>265.98</v>
      </c>
      <c r="G1252" s="3">
        <v>265.93</v>
      </c>
      <c r="H1252" s="3">
        <v>186.69</v>
      </c>
      <c r="I1252" s="3">
        <v>219.48</v>
      </c>
      <c r="J1252" s="3">
        <v>114.22</v>
      </c>
      <c r="K1252" s="3">
        <v>224.07</v>
      </c>
      <c r="L1252" s="3"/>
      <c r="N1252" s="4"/>
    </row>
    <row r="1253" spans="1:14" ht="17.5" thickBot="1" x14ac:dyDescent="0.45">
      <c r="A1253" s="4">
        <v>44110</v>
      </c>
      <c r="B1253" s="3">
        <v>153.22999999999999</v>
      </c>
      <c r="C1253" s="3">
        <v>254.84</v>
      </c>
      <c r="D1253" s="3">
        <v>119.19</v>
      </c>
      <c r="E1253" s="3">
        <v>1.2439</v>
      </c>
      <c r="F1253" s="3">
        <v>267.16000000000003</v>
      </c>
      <c r="G1253" s="3">
        <v>262.18</v>
      </c>
      <c r="H1253" s="3">
        <v>187.27</v>
      </c>
      <c r="I1253" s="3">
        <v>216.39</v>
      </c>
      <c r="J1253" s="3">
        <v>114.22</v>
      </c>
      <c r="K1253" s="3">
        <v>224.63</v>
      </c>
      <c r="L1253" s="3"/>
      <c r="N1253" s="4"/>
    </row>
    <row r="1254" spans="1:14" ht="17.5" thickBot="1" x14ac:dyDescent="0.45">
      <c r="A1254" s="4">
        <v>44111</v>
      </c>
      <c r="B1254" s="3">
        <v>154.97</v>
      </c>
      <c r="C1254" s="3">
        <v>256.86</v>
      </c>
      <c r="D1254" s="3">
        <v>119.1</v>
      </c>
      <c r="E1254" s="3">
        <v>1.2509999999999999</v>
      </c>
      <c r="F1254" s="3">
        <v>269.02</v>
      </c>
      <c r="G1254" s="3">
        <v>266.72000000000003</v>
      </c>
      <c r="H1254" s="3">
        <v>188.22</v>
      </c>
      <c r="I1254" s="3">
        <v>219.78</v>
      </c>
      <c r="J1254" s="3">
        <v>114.22</v>
      </c>
      <c r="K1254" s="3">
        <v>225.32</v>
      </c>
      <c r="L1254" s="3"/>
      <c r="N1254" s="4"/>
    </row>
    <row r="1255" spans="1:14" ht="17.5" thickBot="1" x14ac:dyDescent="0.45">
      <c r="A1255" s="4">
        <v>44112</v>
      </c>
      <c r="B1255" s="3">
        <v>154.28</v>
      </c>
      <c r="C1255" s="3">
        <v>260.33999999999997</v>
      </c>
      <c r="D1255" s="3">
        <v>119.19</v>
      </c>
      <c r="E1255" s="3">
        <v>1.2575000000000001</v>
      </c>
      <c r="F1255" s="3">
        <v>270.45999999999998</v>
      </c>
      <c r="G1255" s="3">
        <v>269.27999999999997</v>
      </c>
      <c r="H1255" s="3">
        <v>189.08</v>
      </c>
      <c r="I1255" s="3">
        <v>222.51</v>
      </c>
      <c r="J1255" s="3">
        <v>114.22</v>
      </c>
      <c r="K1255" s="3">
        <v>226.12</v>
      </c>
      <c r="L1255" s="3"/>
      <c r="N1255" s="4"/>
    </row>
    <row r="1256" spans="1:14" ht="17.5" thickBot="1" x14ac:dyDescent="0.45">
      <c r="A1256" s="4">
        <v>44113</v>
      </c>
      <c r="B1256" s="3">
        <v>154.52000000000001</v>
      </c>
      <c r="C1256" s="3">
        <v>260.33</v>
      </c>
      <c r="D1256" s="3">
        <v>119.55</v>
      </c>
      <c r="E1256" s="3">
        <v>1.2638</v>
      </c>
      <c r="F1256" s="3">
        <v>271.5</v>
      </c>
      <c r="G1256" s="3">
        <v>271.47000000000003</v>
      </c>
      <c r="H1256" s="3">
        <v>189.74</v>
      </c>
      <c r="I1256" s="3">
        <v>224.49</v>
      </c>
      <c r="J1256" s="3">
        <v>114.22</v>
      </c>
      <c r="K1256" s="3">
        <v>226.84</v>
      </c>
      <c r="L1256" s="3"/>
      <c r="N1256" s="4"/>
    </row>
    <row r="1257" spans="1:14" ht="17.5" thickBot="1" x14ac:dyDescent="0.45">
      <c r="A1257" s="4">
        <v>44114</v>
      </c>
      <c r="B1257" s="3">
        <v>154.52000000000001</v>
      </c>
      <c r="C1257" s="3">
        <v>260.33</v>
      </c>
      <c r="D1257" s="3">
        <v>119.55</v>
      </c>
      <c r="E1257" s="3">
        <v>1.2638</v>
      </c>
      <c r="F1257" s="3">
        <v>271.5</v>
      </c>
      <c r="G1257" s="3">
        <v>271.47000000000003</v>
      </c>
      <c r="H1257" s="3">
        <v>189.74</v>
      </c>
      <c r="I1257" s="3">
        <v>224.49</v>
      </c>
      <c r="J1257" s="3">
        <v>114.22</v>
      </c>
      <c r="K1257" s="3">
        <v>226.84</v>
      </c>
      <c r="L1257" s="3"/>
      <c r="N1257" s="4"/>
    </row>
    <row r="1258" spans="1:14" ht="17.5" thickBot="1" x14ac:dyDescent="0.45">
      <c r="A1258" s="4">
        <v>44115</v>
      </c>
      <c r="B1258" s="3">
        <v>154.52000000000001</v>
      </c>
      <c r="C1258" s="3">
        <v>260.33</v>
      </c>
      <c r="D1258" s="3">
        <v>119.55</v>
      </c>
      <c r="E1258" s="3">
        <v>1.2638</v>
      </c>
      <c r="F1258" s="3">
        <v>271.5</v>
      </c>
      <c r="G1258" s="3">
        <v>271.47000000000003</v>
      </c>
      <c r="H1258" s="3">
        <v>189.74</v>
      </c>
      <c r="I1258" s="3">
        <v>224.49</v>
      </c>
      <c r="J1258" s="3">
        <v>114.22</v>
      </c>
      <c r="K1258" s="3">
        <v>226.84</v>
      </c>
      <c r="L1258" s="3"/>
      <c r="N1258" s="4"/>
    </row>
    <row r="1259" spans="1:14" ht="17.5" thickBot="1" x14ac:dyDescent="0.45">
      <c r="A1259" s="4">
        <v>44116</v>
      </c>
      <c r="B1259" s="3">
        <v>157.78</v>
      </c>
      <c r="C1259" s="3">
        <v>263.22000000000003</v>
      </c>
      <c r="D1259" s="3">
        <v>119.45</v>
      </c>
      <c r="E1259" s="3">
        <v>1.2734000000000001</v>
      </c>
      <c r="F1259" s="3">
        <v>274.88</v>
      </c>
      <c r="G1259" s="3">
        <v>276.14</v>
      </c>
      <c r="H1259" s="3">
        <v>191.62</v>
      </c>
      <c r="I1259" s="3">
        <v>227.74</v>
      </c>
      <c r="J1259" s="3">
        <v>114.22</v>
      </c>
      <c r="K1259" s="3">
        <v>228.52</v>
      </c>
      <c r="L1259" s="3"/>
      <c r="N1259" s="4"/>
    </row>
    <row r="1260" spans="1:14" ht="17.5" thickBot="1" x14ac:dyDescent="0.45">
      <c r="A1260" s="4">
        <v>44117</v>
      </c>
      <c r="B1260" s="3">
        <v>157.78</v>
      </c>
      <c r="C1260" s="3">
        <v>263.22000000000003</v>
      </c>
      <c r="D1260" s="3">
        <v>119.45</v>
      </c>
      <c r="E1260" s="3">
        <v>1.2734000000000001</v>
      </c>
      <c r="F1260" s="3">
        <v>274.88</v>
      </c>
      <c r="G1260" s="3">
        <v>276.14</v>
      </c>
      <c r="H1260" s="3">
        <v>191.62</v>
      </c>
      <c r="I1260" s="3">
        <v>227.74</v>
      </c>
      <c r="J1260" s="3">
        <v>114.22</v>
      </c>
      <c r="K1260" s="3">
        <v>228.52</v>
      </c>
      <c r="L1260" s="3"/>
      <c r="N1260" s="4"/>
    </row>
    <row r="1261" spans="1:14" ht="17.5" thickBot="1" x14ac:dyDescent="0.45">
      <c r="A1261" s="4">
        <v>44118</v>
      </c>
      <c r="B1261" s="3">
        <v>157.59</v>
      </c>
      <c r="C1261" s="3">
        <v>263.27999999999997</v>
      </c>
      <c r="D1261" s="3">
        <v>119.63</v>
      </c>
      <c r="E1261" s="3">
        <v>1.268</v>
      </c>
      <c r="F1261" s="3">
        <v>273.82</v>
      </c>
      <c r="G1261" s="3">
        <v>273.10000000000002</v>
      </c>
      <c r="H1261" s="3">
        <v>191.11</v>
      </c>
      <c r="I1261" s="3">
        <v>224.94</v>
      </c>
      <c r="J1261" s="3">
        <v>114.22</v>
      </c>
      <c r="K1261" s="3">
        <v>228.16</v>
      </c>
      <c r="L1261" s="3"/>
      <c r="N1261" s="4"/>
    </row>
    <row r="1262" spans="1:14" ht="17.5" thickBot="1" x14ac:dyDescent="0.45">
      <c r="A1262" s="4">
        <v>44119</v>
      </c>
      <c r="B1262" s="3">
        <v>154.57</v>
      </c>
      <c r="C1262" s="3">
        <v>260.76</v>
      </c>
      <c r="D1262" s="3">
        <v>119.53</v>
      </c>
      <c r="E1262" s="3">
        <v>1.262</v>
      </c>
      <c r="F1262" s="3">
        <v>269.87</v>
      </c>
      <c r="G1262" s="3">
        <v>272.8</v>
      </c>
      <c r="H1262" s="3">
        <v>188.84</v>
      </c>
      <c r="I1262" s="3">
        <v>224.47</v>
      </c>
      <c r="J1262" s="3">
        <v>114.22</v>
      </c>
      <c r="K1262" s="3">
        <v>226.12</v>
      </c>
      <c r="L1262" s="3"/>
      <c r="N1262" s="4"/>
    </row>
    <row r="1263" spans="1:14" ht="17.5" thickBot="1" x14ac:dyDescent="0.45">
      <c r="A1263" s="4">
        <v>44120</v>
      </c>
      <c r="B1263" s="3">
        <v>156.47</v>
      </c>
      <c r="C1263" s="3">
        <v>259.32</v>
      </c>
      <c r="D1263" s="3">
        <v>119.53</v>
      </c>
      <c r="E1263" s="3">
        <v>1.2634000000000001</v>
      </c>
      <c r="F1263" s="3">
        <v>270.8</v>
      </c>
      <c r="G1263" s="3">
        <v>272.72000000000003</v>
      </c>
      <c r="H1263" s="3">
        <v>189.38</v>
      </c>
      <c r="I1263" s="3">
        <v>224.05</v>
      </c>
      <c r="J1263" s="3">
        <v>114.22</v>
      </c>
      <c r="K1263" s="3">
        <v>226.63</v>
      </c>
      <c r="L1263" s="3"/>
      <c r="N1263" s="4"/>
    </row>
    <row r="1264" spans="1:14" ht="17.5" thickBot="1" x14ac:dyDescent="0.45">
      <c r="A1264" s="4">
        <v>44121</v>
      </c>
      <c r="B1264" s="3">
        <v>156.47</v>
      </c>
      <c r="C1264" s="3">
        <v>259.32</v>
      </c>
      <c r="D1264" s="3">
        <v>119.53</v>
      </c>
      <c r="E1264" s="3">
        <v>1.2634000000000001</v>
      </c>
      <c r="F1264" s="3">
        <v>270.8</v>
      </c>
      <c r="G1264" s="3">
        <v>272.72000000000003</v>
      </c>
      <c r="H1264" s="3">
        <v>189.38</v>
      </c>
      <c r="I1264" s="3">
        <v>224.05</v>
      </c>
      <c r="J1264" s="3">
        <v>114.22</v>
      </c>
      <c r="K1264" s="3">
        <v>226.63</v>
      </c>
      <c r="L1264" s="3"/>
      <c r="N1264" s="4"/>
    </row>
    <row r="1265" spans="1:14" ht="17.5" thickBot="1" x14ac:dyDescent="0.45">
      <c r="A1265" s="4">
        <v>44122</v>
      </c>
      <c r="B1265" s="3">
        <v>156.47</v>
      </c>
      <c r="C1265" s="3">
        <v>259.32</v>
      </c>
      <c r="D1265" s="3">
        <v>119.53</v>
      </c>
      <c r="E1265" s="3">
        <v>1.2634000000000001</v>
      </c>
      <c r="F1265" s="3">
        <v>270.8</v>
      </c>
      <c r="G1265" s="3">
        <v>272.72000000000003</v>
      </c>
      <c r="H1265" s="3">
        <v>189.38</v>
      </c>
      <c r="I1265" s="3">
        <v>224.05</v>
      </c>
      <c r="J1265" s="3">
        <v>114.22</v>
      </c>
      <c r="K1265" s="3">
        <v>226.63</v>
      </c>
      <c r="L1265" s="3"/>
      <c r="N1265" s="4"/>
    </row>
    <row r="1266" spans="1:14" ht="17.5" thickBot="1" x14ac:dyDescent="0.45">
      <c r="A1266" s="4">
        <v>44123</v>
      </c>
      <c r="B1266" s="3">
        <v>157.26</v>
      </c>
      <c r="C1266" s="3">
        <v>261.38</v>
      </c>
      <c r="D1266" s="3">
        <v>119.62</v>
      </c>
      <c r="E1266" s="3">
        <v>1.2572000000000001</v>
      </c>
      <c r="F1266" s="3">
        <v>270.5</v>
      </c>
      <c r="G1266" s="3">
        <v>268.27999999999997</v>
      </c>
      <c r="H1266" s="3">
        <v>189.27</v>
      </c>
      <c r="I1266" s="3">
        <v>221.29</v>
      </c>
      <c r="J1266" s="3">
        <v>114.22</v>
      </c>
      <c r="K1266" s="3">
        <v>226.57</v>
      </c>
      <c r="L1266" s="3"/>
      <c r="N1266" s="4"/>
    </row>
    <row r="1267" spans="1:14" ht="17.5" thickBot="1" x14ac:dyDescent="0.45">
      <c r="A1267" s="4">
        <v>44124</v>
      </c>
      <c r="B1267" s="3">
        <v>157.41</v>
      </c>
      <c r="C1267" s="3">
        <v>261.43</v>
      </c>
      <c r="D1267" s="3">
        <v>119.52</v>
      </c>
      <c r="E1267" s="3">
        <v>1.2581</v>
      </c>
      <c r="F1267" s="3">
        <v>271.26</v>
      </c>
      <c r="G1267" s="3">
        <v>269.14</v>
      </c>
      <c r="H1267" s="3">
        <v>189.6</v>
      </c>
      <c r="I1267" s="3">
        <v>222.69</v>
      </c>
      <c r="J1267" s="3">
        <v>114.22</v>
      </c>
      <c r="K1267" s="3">
        <v>226.81</v>
      </c>
      <c r="L1267" s="3"/>
      <c r="N1267" s="4"/>
    </row>
    <row r="1268" spans="1:14" ht="17.5" thickBot="1" x14ac:dyDescent="0.45">
      <c r="A1268" s="4">
        <v>44125</v>
      </c>
      <c r="B1268" s="3">
        <v>158.66999999999999</v>
      </c>
      <c r="C1268" s="3">
        <v>262.97000000000003</v>
      </c>
      <c r="D1268" s="3">
        <v>119.7</v>
      </c>
      <c r="E1268" s="3">
        <v>1.2564</v>
      </c>
      <c r="F1268" s="3">
        <v>272.24</v>
      </c>
      <c r="G1268" s="3">
        <v>268.62</v>
      </c>
      <c r="H1268" s="3">
        <v>190.17</v>
      </c>
      <c r="I1268" s="3">
        <v>222.5</v>
      </c>
      <c r="J1268" s="3">
        <v>114.22</v>
      </c>
      <c r="K1268" s="3">
        <v>227.33</v>
      </c>
      <c r="L1268" s="3"/>
      <c r="N1268" s="4"/>
    </row>
    <row r="1269" spans="1:14" ht="17.5" thickBot="1" x14ac:dyDescent="0.45">
      <c r="A1269" s="4">
        <v>44126</v>
      </c>
      <c r="B1269" s="3">
        <v>158.78</v>
      </c>
      <c r="C1269" s="3">
        <v>262.20999999999998</v>
      </c>
      <c r="D1269" s="3">
        <v>119.7</v>
      </c>
      <c r="E1269" s="3">
        <v>1.2562</v>
      </c>
      <c r="F1269" s="3">
        <v>271.77</v>
      </c>
      <c r="G1269" s="3">
        <v>269.33999999999997</v>
      </c>
      <c r="H1269" s="3">
        <v>189.71</v>
      </c>
      <c r="I1269" s="3">
        <v>224.1</v>
      </c>
      <c r="J1269" s="3">
        <v>114.22</v>
      </c>
      <c r="K1269" s="3">
        <v>226.77</v>
      </c>
      <c r="L1269" s="3"/>
      <c r="N1269" s="4"/>
    </row>
    <row r="1270" spans="1:14" ht="17.5" thickBot="1" x14ac:dyDescent="0.45">
      <c r="A1270" s="4">
        <v>44127</v>
      </c>
      <c r="B1270" s="3">
        <v>159.59</v>
      </c>
      <c r="C1270" s="3">
        <v>262.02999999999997</v>
      </c>
      <c r="D1270" s="3">
        <v>119.61</v>
      </c>
      <c r="E1270" s="3">
        <v>1.2591000000000001</v>
      </c>
      <c r="F1270" s="3">
        <v>271.82</v>
      </c>
      <c r="G1270" s="3">
        <v>270.36</v>
      </c>
      <c r="H1270" s="3">
        <v>189.82</v>
      </c>
      <c r="I1270" s="3">
        <v>224.6</v>
      </c>
      <c r="J1270" s="3">
        <v>114.22</v>
      </c>
      <c r="K1270" s="3">
        <v>226.9</v>
      </c>
      <c r="L1270" s="3"/>
      <c r="N1270" s="4"/>
    </row>
    <row r="1271" spans="1:14" ht="17.5" thickBot="1" x14ac:dyDescent="0.45">
      <c r="A1271" s="4">
        <v>44128</v>
      </c>
      <c r="B1271" s="3">
        <v>159.59</v>
      </c>
      <c r="C1271" s="3">
        <v>262.02999999999997</v>
      </c>
      <c r="D1271" s="3">
        <v>119.61</v>
      </c>
      <c r="E1271" s="3">
        <v>1.2591000000000001</v>
      </c>
      <c r="F1271" s="3">
        <v>271.82</v>
      </c>
      <c r="G1271" s="3">
        <v>270.36</v>
      </c>
      <c r="H1271" s="3">
        <v>189.82</v>
      </c>
      <c r="I1271" s="3">
        <v>224.6</v>
      </c>
      <c r="J1271" s="3">
        <v>114.22</v>
      </c>
      <c r="K1271" s="3">
        <v>226.9</v>
      </c>
      <c r="L1271" s="3"/>
      <c r="N1271" s="4"/>
    </row>
    <row r="1272" spans="1:14" ht="17.5" thickBot="1" x14ac:dyDescent="0.45">
      <c r="A1272" s="4">
        <v>44129</v>
      </c>
      <c r="B1272" s="3">
        <v>159.59</v>
      </c>
      <c r="C1272" s="3">
        <v>262.02999999999997</v>
      </c>
      <c r="D1272" s="3">
        <v>119.61</v>
      </c>
      <c r="E1272" s="3">
        <v>1.2591000000000001</v>
      </c>
      <c r="F1272" s="3">
        <v>271.82</v>
      </c>
      <c r="G1272" s="3">
        <v>270.36</v>
      </c>
      <c r="H1272" s="3">
        <v>189.82</v>
      </c>
      <c r="I1272" s="3">
        <v>224.6</v>
      </c>
      <c r="J1272" s="3">
        <v>114.22</v>
      </c>
      <c r="K1272" s="3">
        <v>226.9</v>
      </c>
      <c r="L1272" s="3"/>
      <c r="N1272" s="4"/>
    </row>
    <row r="1273" spans="1:14" ht="17.5" thickBot="1" x14ac:dyDescent="0.45">
      <c r="A1273" s="4">
        <v>44130</v>
      </c>
      <c r="B1273" s="3">
        <v>159.59</v>
      </c>
      <c r="C1273" s="3">
        <v>262.02999999999997</v>
      </c>
      <c r="D1273" s="3">
        <v>119.61</v>
      </c>
      <c r="E1273" s="3">
        <v>1.2591000000000001</v>
      </c>
      <c r="F1273" s="3">
        <v>271.82</v>
      </c>
      <c r="G1273" s="3">
        <v>270.36</v>
      </c>
      <c r="H1273" s="3">
        <v>189.82</v>
      </c>
      <c r="I1273" s="3">
        <v>224.6</v>
      </c>
      <c r="J1273" s="3">
        <v>114.22</v>
      </c>
      <c r="K1273" s="3">
        <v>226.9</v>
      </c>
      <c r="L1273" s="3"/>
      <c r="N1273" s="4"/>
    </row>
    <row r="1274" spans="1:14" ht="17.5" thickBot="1" x14ac:dyDescent="0.45">
      <c r="A1274" s="4">
        <v>44131</v>
      </c>
      <c r="B1274" s="3">
        <v>158.28</v>
      </c>
      <c r="C1274" s="3">
        <v>261.05</v>
      </c>
      <c r="D1274" s="3">
        <v>119.87</v>
      </c>
      <c r="E1274" s="3">
        <v>1.2470000000000001</v>
      </c>
      <c r="F1274" s="3">
        <v>268.75</v>
      </c>
      <c r="G1274" s="3">
        <v>264.49</v>
      </c>
      <c r="H1274" s="3">
        <v>188.14</v>
      </c>
      <c r="I1274" s="3">
        <v>219.47</v>
      </c>
      <c r="J1274" s="3">
        <v>114.22</v>
      </c>
      <c r="K1274" s="3">
        <v>225.67</v>
      </c>
      <c r="L1274" s="3"/>
      <c r="N1274" s="4"/>
    </row>
    <row r="1275" spans="1:14" ht="17.5" thickBot="1" x14ac:dyDescent="0.45">
      <c r="A1275" s="4">
        <v>44132</v>
      </c>
      <c r="B1275" s="3">
        <v>157.79</v>
      </c>
      <c r="C1275" s="3">
        <v>258.72000000000003</v>
      </c>
      <c r="D1275" s="3">
        <v>119.69</v>
      </c>
      <c r="E1275" s="3">
        <v>1.2257</v>
      </c>
      <c r="F1275" s="3">
        <v>265.47000000000003</v>
      </c>
      <c r="G1275" s="3">
        <v>255.19</v>
      </c>
      <c r="H1275" s="3">
        <v>186.1</v>
      </c>
      <c r="I1275" s="3">
        <v>211.59</v>
      </c>
      <c r="J1275" s="3">
        <v>114.22</v>
      </c>
      <c r="K1275" s="3">
        <v>223.75</v>
      </c>
      <c r="L1275" s="3"/>
      <c r="N1275" s="4"/>
    </row>
    <row r="1276" spans="1:14" ht="17.5" thickBot="1" x14ac:dyDescent="0.45">
      <c r="A1276" s="4">
        <v>44133</v>
      </c>
      <c r="B1276" s="3">
        <v>157.44</v>
      </c>
      <c r="C1276" s="3">
        <v>255.36</v>
      </c>
      <c r="D1276" s="3">
        <v>119.41</v>
      </c>
      <c r="E1276" s="3">
        <v>1.2284999999999999</v>
      </c>
      <c r="F1276" s="3">
        <v>265.72000000000003</v>
      </c>
      <c r="G1276" s="3">
        <v>258.17</v>
      </c>
      <c r="H1276" s="3">
        <v>186.05</v>
      </c>
      <c r="I1276" s="3">
        <v>213.64</v>
      </c>
      <c r="J1276" s="3">
        <v>114.22</v>
      </c>
      <c r="K1276" s="3">
        <v>223.5</v>
      </c>
      <c r="L1276" s="3"/>
      <c r="N1276" s="4"/>
    </row>
    <row r="1277" spans="1:14" ht="17.5" thickBot="1" x14ac:dyDescent="0.45">
      <c r="A1277" s="4">
        <v>44134</v>
      </c>
      <c r="B1277" s="3">
        <v>154.46</v>
      </c>
      <c r="C1277" s="3">
        <v>251.8</v>
      </c>
      <c r="D1277" s="3">
        <v>119.41</v>
      </c>
      <c r="E1277" s="3">
        <v>1.2197</v>
      </c>
      <c r="F1277" s="3">
        <v>262.01</v>
      </c>
      <c r="G1277" s="3">
        <v>255.21</v>
      </c>
      <c r="H1277" s="3">
        <v>184.02</v>
      </c>
      <c r="I1277" s="3">
        <v>211.33</v>
      </c>
      <c r="J1277" s="3">
        <v>114.23</v>
      </c>
      <c r="K1277" s="3">
        <v>221.71</v>
      </c>
      <c r="L1277" s="3"/>
      <c r="N1277" s="4"/>
    </row>
    <row r="1278" spans="1:14" ht="17.5" thickBot="1" x14ac:dyDescent="0.45">
      <c r="A1278" s="4">
        <v>44135</v>
      </c>
      <c r="B1278" s="3">
        <v>154.46</v>
      </c>
      <c r="C1278" s="3">
        <v>251.8</v>
      </c>
      <c r="D1278" s="3">
        <v>119.41</v>
      </c>
      <c r="E1278" s="3">
        <v>1.2197</v>
      </c>
      <c r="F1278" s="3">
        <v>262.01</v>
      </c>
      <c r="G1278" s="3">
        <v>255.21</v>
      </c>
      <c r="H1278" s="3">
        <v>184.02</v>
      </c>
      <c r="I1278" s="3">
        <v>211.33</v>
      </c>
      <c r="J1278" s="3">
        <v>114.23</v>
      </c>
      <c r="K1278" s="3">
        <v>221.71</v>
      </c>
      <c r="L1278" s="3"/>
      <c r="N1278" s="4"/>
    </row>
    <row r="1279" spans="1:14" ht="17.5" thickBot="1" x14ac:dyDescent="0.45">
      <c r="A1279" s="4">
        <v>44136</v>
      </c>
      <c r="B1279" s="3">
        <v>154.46</v>
      </c>
      <c r="C1279" s="3">
        <v>251.8</v>
      </c>
      <c r="D1279" s="3">
        <v>119.41</v>
      </c>
      <c r="E1279" s="3">
        <v>1.2197</v>
      </c>
      <c r="F1279" s="3">
        <v>262.01</v>
      </c>
      <c r="G1279" s="3">
        <v>255.21</v>
      </c>
      <c r="H1279" s="3">
        <v>184.02</v>
      </c>
      <c r="I1279" s="3">
        <v>211.33</v>
      </c>
      <c r="J1279" s="3">
        <v>114.23</v>
      </c>
      <c r="K1279" s="3">
        <v>221.71</v>
      </c>
      <c r="L1279" s="3"/>
      <c r="N1279" s="4"/>
    </row>
    <row r="1280" spans="1:14" ht="17.5" thickBot="1" x14ac:dyDescent="0.45">
      <c r="A1280" s="4">
        <v>44137</v>
      </c>
      <c r="B1280" s="3">
        <v>156.77000000000001</v>
      </c>
      <c r="C1280" s="3">
        <v>253.11</v>
      </c>
      <c r="D1280" s="3">
        <v>119.31</v>
      </c>
      <c r="E1280" s="3">
        <v>1.2286999999999999</v>
      </c>
      <c r="F1280" s="3">
        <v>264.93</v>
      </c>
      <c r="G1280" s="3">
        <v>257.97000000000003</v>
      </c>
      <c r="H1280" s="3">
        <v>185.69</v>
      </c>
      <c r="I1280" s="3">
        <v>213.68</v>
      </c>
      <c r="J1280" s="3">
        <v>114.23</v>
      </c>
      <c r="K1280" s="3">
        <v>223.11</v>
      </c>
      <c r="L1280" s="3"/>
      <c r="N1280" s="4"/>
    </row>
    <row r="1281" spans="1:14" ht="17.5" thickBot="1" x14ac:dyDescent="0.45">
      <c r="A1281" s="4">
        <v>44138</v>
      </c>
      <c r="B1281" s="3">
        <v>159.84</v>
      </c>
      <c r="C1281" s="3">
        <v>258.33999999999997</v>
      </c>
      <c r="D1281" s="3">
        <v>119.67</v>
      </c>
      <c r="E1281" s="3">
        <v>1.2423999999999999</v>
      </c>
      <c r="F1281" s="3">
        <v>269.06</v>
      </c>
      <c r="G1281" s="3">
        <v>262.55</v>
      </c>
      <c r="H1281" s="3">
        <v>188.17</v>
      </c>
      <c r="I1281" s="3">
        <v>217.4</v>
      </c>
      <c r="J1281" s="3">
        <v>114.23</v>
      </c>
      <c r="K1281" s="3">
        <v>225.37</v>
      </c>
      <c r="L1281" s="3"/>
      <c r="N1281" s="4"/>
    </row>
    <row r="1282" spans="1:14" ht="17.5" thickBot="1" x14ac:dyDescent="0.45">
      <c r="A1282" s="4">
        <v>44139</v>
      </c>
      <c r="B1282" s="3">
        <v>159.28</v>
      </c>
      <c r="C1282" s="3">
        <v>259.60000000000002</v>
      </c>
      <c r="D1282" s="3">
        <v>119.67</v>
      </c>
      <c r="E1282" s="3">
        <v>1.2583</v>
      </c>
      <c r="F1282" s="3">
        <v>272.87</v>
      </c>
      <c r="G1282" s="3">
        <v>269.20999999999998</v>
      </c>
      <c r="H1282" s="3">
        <v>190.39</v>
      </c>
      <c r="I1282" s="3">
        <v>222.06</v>
      </c>
      <c r="J1282" s="3">
        <v>114.23</v>
      </c>
      <c r="K1282" s="3">
        <v>227.53</v>
      </c>
      <c r="L1282" s="3"/>
      <c r="N1282" s="4"/>
    </row>
    <row r="1283" spans="1:14" ht="17.5" thickBot="1" x14ac:dyDescent="0.45">
      <c r="A1283" s="4">
        <v>44140</v>
      </c>
      <c r="B1283" s="3">
        <v>163.86</v>
      </c>
      <c r="C1283" s="3">
        <v>266.51</v>
      </c>
      <c r="D1283" s="3">
        <v>120.57</v>
      </c>
      <c r="E1283" s="3">
        <v>1.2749999999999999</v>
      </c>
      <c r="F1283" s="3">
        <v>280.19</v>
      </c>
      <c r="G1283" s="3">
        <v>274.23</v>
      </c>
      <c r="H1283" s="3">
        <v>194.61</v>
      </c>
      <c r="I1283" s="3">
        <v>227.48</v>
      </c>
      <c r="J1283" s="3">
        <v>114.23</v>
      </c>
      <c r="K1283" s="3">
        <v>231.44</v>
      </c>
      <c r="L1283" s="3"/>
      <c r="N1283" s="4"/>
    </row>
    <row r="1284" spans="1:14" ht="17.5" thickBot="1" x14ac:dyDescent="0.45">
      <c r="A1284" s="4">
        <v>44141</v>
      </c>
      <c r="B1284" s="3">
        <v>164.92</v>
      </c>
      <c r="C1284" s="3">
        <v>268.8</v>
      </c>
      <c r="D1284" s="3">
        <v>120.84</v>
      </c>
      <c r="E1284" s="3">
        <v>1.2750999999999999</v>
      </c>
      <c r="F1284" s="3">
        <v>280.64</v>
      </c>
      <c r="G1284" s="3">
        <v>273.66000000000003</v>
      </c>
      <c r="H1284" s="3">
        <v>194.91</v>
      </c>
      <c r="I1284" s="3">
        <v>228.14</v>
      </c>
      <c r="J1284" s="3">
        <v>114.23</v>
      </c>
      <c r="K1284" s="3">
        <v>231.67</v>
      </c>
      <c r="L1284" s="3"/>
      <c r="N1284" s="4"/>
    </row>
    <row r="1285" spans="1:14" ht="17.5" thickBot="1" x14ac:dyDescent="0.45">
      <c r="A1285" s="4">
        <v>44142</v>
      </c>
      <c r="B1285" s="3">
        <v>164.92</v>
      </c>
      <c r="C1285" s="3">
        <v>268.8</v>
      </c>
      <c r="D1285" s="3">
        <v>120.84</v>
      </c>
      <c r="E1285" s="3">
        <v>1.2750999999999999</v>
      </c>
      <c r="F1285" s="3">
        <v>280.64</v>
      </c>
      <c r="G1285" s="3">
        <v>273.66000000000003</v>
      </c>
      <c r="H1285" s="3">
        <v>194.91</v>
      </c>
      <c r="I1285" s="3">
        <v>228.14</v>
      </c>
      <c r="J1285" s="3">
        <v>114.23</v>
      </c>
      <c r="K1285" s="3">
        <v>231.67</v>
      </c>
      <c r="L1285" s="3"/>
      <c r="N1285" s="4"/>
    </row>
    <row r="1286" spans="1:14" ht="17.5" thickBot="1" x14ac:dyDescent="0.45">
      <c r="A1286" s="4">
        <v>44143</v>
      </c>
      <c r="B1286" s="3">
        <v>164.92</v>
      </c>
      <c r="C1286" s="3">
        <v>268.8</v>
      </c>
      <c r="D1286" s="3">
        <v>120.84</v>
      </c>
      <c r="E1286" s="3">
        <v>1.2750999999999999</v>
      </c>
      <c r="F1286" s="3">
        <v>280.64</v>
      </c>
      <c r="G1286" s="3">
        <v>273.66000000000003</v>
      </c>
      <c r="H1286" s="3">
        <v>194.91</v>
      </c>
      <c r="I1286" s="3">
        <v>228.14</v>
      </c>
      <c r="J1286" s="3">
        <v>114.23</v>
      </c>
      <c r="K1286" s="3">
        <v>231.67</v>
      </c>
      <c r="L1286" s="3"/>
      <c r="N1286" s="4"/>
    </row>
    <row r="1287" spans="1:14" ht="17.5" thickBot="1" x14ac:dyDescent="0.45">
      <c r="A1287" s="4">
        <v>44144</v>
      </c>
      <c r="B1287" s="3">
        <v>166.68</v>
      </c>
      <c r="C1287" s="3">
        <v>272.83</v>
      </c>
      <c r="D1287" s="3">
        <v>121.11</v>
      </c>
      <c r="E1287" s="3">
        <v>1.2821</v>
      </c>
      <c r="F1287" s="3">
        <v>284.07</v>
      </c>
      <c r="G1287" s="3">
        <v>275.31</v>
      </c>
      <c r="H1287" s="3">
        <v>196.62</v>
      </c>
      <c r="I1287" s="3">
        <v>231.75</v>
      </c>
      <c r="J1287" s="3">
        <v>114.23</v>
      </c>
      <c r="K1287" s="3">
        <v>232.78</v>
      </c>
      <c r="L1287" s="3"/>
      <c r="N1287" s="4"/>
    </row>
    <row r="1288" spans="1:14" ht="17.5" thickBot="1" x14ac:dyDescent="0.45">
      <c r="A1288" s="4">
        <v>44145</v>
      </c>
      <c r="B1288" s="3">
        <v>167.71</v>
      </c>
      <c r="C1288" s="3">
        <v>272.60000000000002</v>
      </c>
      <c r="D1288" s="3">
        <v>120.74</v>
      </c>
      <c r="E1288" s="3">
        <v>1.2827999999999999</v>
      </c>
      <c r="F1288" s="3">
        <v>282.89999999999998</v>
      </c>
      <c r="G1288" s="3">
        <v>275.74</v>
      </c>
      <c r="H1288" s="3">
        <v>196.15</v>
      </c>
      <c r="I1288" s="3">
        <v>232.08</v>
      </c>
      <c r="J1288" s="3">
        <v>114.23</v>
      </c>
      <c r="K1288" s="3">
        <v>232.31</v>
      </c>
      <c r="L1288" s="3"/>
      <c r="N1288" s="4"/>
    </row>
    <row r="1289" spans="1:14" ht="17.5" thickBot="1" x14ac:dyDescent="0.45">
      <c r="A1289" s="4">
        <v>44146</v>
      </c>
      <c r="B1289" s="3">
        <v>167.57</v>
      </c>
      <c r="C1289" s="3">
        <v>275.81</v>
      </c>
      <c r="D1289" s="3">
        <v>120.56</v>
      </c>
      <c r="E1289" s="3">
        <v>1.2885</v>
      </c>
      <c r="F1289" s="3">
        <v>282.10000000000002</v>
      </c>
      <c r="G1289" s="3">
        <v>277.94</v>
      </c>
      <c r="H1289" s="3">
        <v>195.87</v>
      </c>
      <c r="I1289" s="3">
        <v>233.63</v>
      </c>
      <c r="J1289" s="3">
        <v>114.23</v>
      </c>
      <c r="K1289" s="3">
        <v>232.03</v>
      </c>
      <c r="L1289" s="3"/>
      <c r="N1289" s="4"/>
    </row>
    <row r="1290" spans="1:14" ht="17.5" thickBot="1" x14ac:dyDescent="0.45">
      <c r="A1290" s="4">
        <v>44147</v>
      </c>
      <c r="B1290" s="3">
        <v>167.44</v>
      </c>
      <c r="C1290" s="3">
        <v>274.95</v>
      </c>
      <c r="D1290" s="3">
        <v>120.56</v>
      </c>
      <c r="E1290" s="3">
        <v>1.2854000000000001</v>
      </c>
      <c r="F1290" s="3">
        <v>282.77999999999997</v>
      </c>
      <c r="G1290" s="3">
        <v>275.42</v>
      </c>
      <c r="H1290" s="3">
        <v>196.24</v>
      </c>
      <c r="I1290" s="3">
        <v>230.66</v>
      </c>
      <c r="J1290" s="3">
        <v>114.23</v>
      </c>
      <c r="K1290" s="3">
        <v>232.58</v>
      </c>
      <c r="L1290" s="3"/>
      <c r="N1290" s="4"/>
    </row>
    <row r="1291" spans="1:14" ht="17.5" thickBot="1" x14ac:dyDescent="0.45">
      <c r="A1291" s="4">
        <v>44148</v>
      </c>
      <c r="B1291" s="3">
        <v>167.08</v>
      </c>
      <c r="C1291" s="3">
        <v>276.31</v>
      </c>
      <c r="D1291" s="3">
        <v>120.55</v>
      </c>
      <c r="E1291" s="3">
        <v>1.2915000000000001</v>
      </c>
      <c r="F1291" s="3">
        <v>284.37</v>
      </c>
      <c r="G1291" s="3">
        <v>279.23</v>
      </c>
      <c r="H1291" s="3">
        <v>197.09</v>
      </c>
      <c r="I1291" s="3">
        <v>234.04</v>
      </c>
      <c r="J1291" s="3">
        <v>114.23</v>
      </c>
      <c r="K1291" s="3">
        <v>233.36</v>
      </c>
      <c r="L1291" s="3"/>
      <c r="N1291" s="4"/>
    </row>
    <row r="1292" spans="1:14" ht="17.5" thickBot="1" x14ac:dyDescent="0.45">
      <c r="A1292" s="4">
        <v>44149</v>
      </c>
      <c r="B1292" s="3">
        <v>167.08</v>
      </c>
      <c r="C1292" s="3">
        <v>276.31</v>
      </c>
      <c r="D1292" s="3">
        <v>120.55</v>
      </c>
      <c r="E1292" s="3">
        <v>1.2915000000000001</v>
      </c>
      <c r="F1292" s="3">
        <v>284.37</v>
      </c>
      <c r="G1292" s="3">
        <v>279.23</v>
      </c>
      <c r="H1292" s="3">
        <v>197.09</v>
      </c>
      <c r="I1292" s="3">
        <v>234.04</v>
      </c>
      <c r="J1292" s="3">
        <v>114.23</v>
      </c>
      <c r="K1292" s="3">
        <v>233.36</v>
      </c>
      <c r="L1292" s="3"/>
      <c r="N1292" s="4"/>
    </row>
    <row r="1293" spans="1:14" ht="17.5" thickBot="1" x14ac:dyDescent="0.45">
      <c r="A1293" s="4">
        <v>44150</v>
      </c>
      <c r="B1293" s="3">
        <v>167.08</v>
      </c>
      <c r="C1293" s="3">
        <v>276.31</v>
      </c>
      <c r="D1293" s="3">
        <v>120.55</v>
      </c>
      <c r="E1293" s="3">
        <v>1.2915000000000001</v>
      </c>
      <c r="F1293" s="3">
        <v>284.37</v>
      </c>
      <c r="G1293" s="3">
        <v>279.23</v>
      </c>
      <c r="H1293" s="3">
        <v>197.09</v>
      </c>
      <c r="I1293" s="3">
        <v>234.04</v>
      </c>
      <c r="J1293" s="3">
        <v>114.23</v>
      </c>
      <c r="K1293" s="3">
        <v>233.36</v>
      </c>
      <c r="L1293" s="3"/>
      <c r="N1293" s="4"/>
    </row>
    <row r="1294" spans="1:14" ht="17.5" thickBot="1" x14ac:dyDescent="0.45">
      <c r="A1294" s="4">
        <v>44151</v>
      </c>
      <c r="B1294" s="3">
        <v>168.39</v>
      </c>
      <c r="C1294" s="3">
        <v>282.95</v>
      </c>
      <c r="D1294" s="3">
        <v>120.82</v>
      </c>
      <c r="E1294" s="3">
        <v>1.3016000000000001</v>
      </c>
      <c r="F1294" s="3">
        <v>287.92</v>
      </c>
      <c r="G1294" s="3">
        <v>282.35000000000002</v>
      </c>
      <c r="H1294" s="3">
        <v>199.18</v>
      </c>
      <c r="I1294" s="3">
        <v>237.41</v>
      </c>
      <c r="J1294" s="3">
        <v>114.23</v>
      </c>
      <c r="K1294" s="3">
        <v>235.19</v>
      </c>
      <c r="L1294" s="3"/>
      <c r="N1294" s="4"/>
    </row>
    <row r="1295" spans="1:14" ht="17.5" thickBot="1" x14ac:dyDescent="0.45">
      <c r="A1295" s="4">
        <v>44152</v>
      </c>
      <c r="B1295" s="3">
        <v>168.54</v>
      </c>
      <c r="C1295" s="3">
        <v>283.93</v>
      </c>
      <c r="D1295" s="3">
        <v>120.91</v>
      </c>
      <c r="E1295" s="3">
        <v>1.3015000000000001</v>
      </c>
      <c r="F1295" s="3">
        <v>287.3</v>
      </c>
      <c r="G1295" s="3">
        <v>280.82</v>
      </c>
      <c r="H1295" s="3">
        <v>198.96</v>
      </c>
      <c r="I1295" s="3">
        <v>237.14</v>
      </c>
      <c r="J1295" s="3">
        <v>114.23</v>
      </c>
      <c r="K1295" s="3">
        <v>235.13</v>
      </c>
      <c r="L1295" s="3"/>
      <c r="N1295" s="4"/>
    </row>
    <row r="1296" spans="1:14" ht="17.5" thickBot="1" x14ac:dyDescent="0.45">
      <c r="A1296" s="4">
        <v>44153</v>
      </c>
      <c r="B1296" s="3">
        <v>169.2</v>
      </c>
      <c r="C1296" s="3">
        <v>285.42</v>
      </c>
      <c r="D1296" s="3">
        <v>121.17</v>
      </c>
      <c r="E1296" s="3">
        <v>1.2978000000000001</v>
      </c>
      <c r="F1296" s="3">
        <v>287.60000000000002</v>
      </c>
      <c r="G1296" s="3">
        <v>277.66000000000003</v>
      </c>
      <c r="H1296" s="3">
        <v>199.13</v>
      </c>
      <c r="I1296" s="3">
        <v>234.34</v>
      </c>
      <c r="J1296" s="3">
        <v>114.23</v>
      </c>
      <c r="K1296" s="3">
        <v>235.33</v>
      </c>
      <c r="L1296" s="3"/>
      <c r="N1296" s="4"/>
    </row>
    <row r="1297" spans="1:14" ht="17.5" thickBot="1" x14ac:dyDescent="0.45">
      <c r="A1297" s="4">
        <v>44154</v>
      </c>
      <c r="B1297" s="3">
        <v>168.24</v>
      </c>
      <c r="C1297" s="3">
        <v>283.14</v>
      </c>
      <c r="D1297" s="3">
        <v>120.81</v>
      </c>
      <c r="E1297" s="3">
        <v>1.2984</v>
      </c>
      <c r="F1297" s="3">
        <v>286.47000000000003</v>
      </c>
      <c r="G1297" s="3">
        <v>278.67</v>
      </c>
      <c r="H1297" s="3">
        <v>198.51</v>
      </c>
      <c r="I1297" s="3">
        <v>235.45</v>
      </c>
      <c r="J1297" s="3">
        <v>114.23</v>
      </c>
      <c r="K1297" s="3">
        <v>234.82</v>
      </c>
      <c r="L1297" s="3"/>
      <c r="N1297" s="4"/>
    </row>
    <row r="1298" spans="1:14" ht="17.5" thickBot="1" x14ac:dyDescent="0.45">
      <c r="A1298" s="4">
        <v>44155</v>
      </c>
      <c r="B1298" s="3">
        <v>168.47</v>
      </c>
      <c r="C1298" s="3">
        <v>284.07</v>
      </c>
      <c r="D1298" s="3">
        <v>121.08</v>
      </c>
      <c r="E1298" s="3">
        <v>1.2978000000000001</v>
      </c>
      <c r="F1298" s="3">
        <v>287.5</v>
      </c>
      <c r="G1298" s="3">
        <v>276.82</v>
      </c>
      <c r="H1298" s="3">
        <v>199.12</v>
      </c>
      <c r="I1298" s="3">
        <v>233.62</v>
      </c>
      <c r="J1298" s="3">
        <v>114.23</v>
      </c>
      <c r="K1298" s="3">
        <v>235.45</v>
      </c>
      <c r="L1298" s="3"/>
      <c r="N1298" s="4"/>
    </row>
    <row r="1299" spans="1:14" ht="17.5" thickBot="1" x14ac:dyDescent="0.45">
      <c r="A1299" s="4">
        <v>44156</v>
      </c>
      <c r="B1299" s="3">
        <v>168.47</v>
      </c>
      <c r="C1299" s="3">
        <v>284.07</v>
      </c>
      <c r="D1299" s="3">
        <v>121.08</v>
      </c>
      <c r="E1299" s="3">
        <v>1.2978000000000001</v>
      </c>
      <c r="F1299" s="3">
        <v>287.5</v>
      </c>
      <c r="G1299" s="3">
        <v>276.82</v>
      </c>
      <c r="H1299" s="3">
        <v>199.12</v>
      </c>
      <c r="I1299" s="3">
        <v>233.62</v>
      </c>
      <c r="J1299" s="3">
        <v>114.23</v>
      </c>
      <c r="K1299" s="3">
        <v>235.45</v>
      </c>
      <c r="L1299" s="3"/>
      <c r="N1299" s="4"/>
    </row>
    <row r="1300" spans="1:14" ht="17.5" thickBot="1" x14ac:dyDescent="0.45">
      <c r="A1300" s="4">
        <v>44157</v>
      </c>
      <c r="B1300" s="3">
        <v>168.47</v>
      </c>
      <c r="C1300" s="3">
        <v>284.07</v>
      </c>
      <c r="D1300" s="3">
        <v>121.08</v>
      </c>
      <c r="E1300" s="3">
        <v>1.2978000000000001</v>
      </c>
      <c r="F1300" s="3">
        <v>287.5</v>
      </c>
      <c r="G1300" s="3">
        <v>276.82</v>
      </c>
      <c r="H1300" s="3">
        <v>199.12</v>
      </c>
      <c r="I1300" s="3">
        <v>233.62</v>
      </c>
      <c r="J1300" s="3">
        <v>114.23</v>
      </c>
      <c r="K1300" s="3">
        <v>235.45</v>
      </c>
      <c r="L1300" s="3"/>
      <c r="N1300" s="4"/>
    </row>
    <row r="1301" spans="1:14" ht="17.5" thickBot="1" x14ac:dyDescent="0.45">
      <c r="A1301" s="4">
        <v>44158</v>
      </c>
      <c r="B1301" s="3">
        <v>169.08</v>
      </c>
      <c r="C1301" s="3">
        <v>288.55</v>
      </c>
      <c r="D1301" s="3">
        <v>121.07</v>
      </c>
      <c r="E1301" s="3">
        <v>1.3</v>
      </c>
      <c r="F1301" s="3">
        <v>288.17</v>
      </c>
      <c r="G1301" s="3">
        <v>278.26</v>
      </c>
      <c r="H1301" s="3">
        <v>199.48</v>
      </c>
      <c r="I1301" s="3">
        <v>235.2</v>
      </c>
      <c r="J1301" s="3">
        <v>114.23</v>
      </c>
      <c r="K1301" s="3">
        <v>235.64</v>
      </c>
      <c r="L1301" s="3"/>
      <c r="N1301" s="4"/>
    </row>
    <row r="1302" spans="1:14" ht="17.5" thickBot="1" x14ac:dyDescent="0.45">
      <c r="A1302" s="4">
        <v>44159</v>
      </c>
      <c r="B1302" s="3">
        <v>169.46</v>
      </c>
      <c r="C1302" s="3">
        <v>291.22000000000003</v>
      </c>
      <c r="D1302" s="3">
        <v>121.07</v>
      </c>
      <c r="E1302" s="3">
        <v>1.3111999999999999</v>
      </c>
      <c r="F1302" s="3">
        <v>290.67</v>
      </c>
      <c r="G1302" s="3">
        <v>282.49</v>
      </c>
      <c r="H1302" s="3">
        <v>200.88</v>
      </c>
      <c r="I1302" s="3">
        <v>239.62</v>
      </c>
      <c r="J1302" s="3">
        <v>114.23</v>
      </c>
      <c r="K1302" s="3">
        <v>236.92</v>
      </c>
      <c r="L1302" s="3"/>
      <c r="N1302" s="4"/>
    </row>
    <row r="1303" spans="1:14" ht="17.5" thickBot="1" x14ac:dyDescent="0.45">
      <c r="A1303" s="4">
        <v>44160</v>
      </c>
      <c r="B1303" s="3">
        <v>169.49</v>
      </c>
      <c r="C1303" s="3">
        <v>289.79000000000002</v>
      </c>
      <c r="D1303" s="3">
        <v>121.16</v>
      </c>
      <c r="E1303" s="3">
        <v>1.3112999999999999</v>
      </c>
      <c r="F1303" s="3">
        <v>289.44</v>
      </c>
      <c r="G1303" s="3">
        <v>282.12</v>
      </c>
      <c r="H1303" s="3">
        <v>200.38</v>
      </c>
      <c r="I1303" s="3">
        <v>239.46</v>
      </c>
      <c r="J1303" s="3">
        <v>114.23</v>
      </c>
      <c r="K1303" s="3">
        <v>236.52</v>
      </c>
      <c r="L1303" s="3"/>
      <c r="N1303" s="4"/>
    </row>
    <row r="1304" spans="1:14" ht="17.5" thickBot="1" x14ac:dyDescent="0.45">
      <c r="A1304" s="4">
        <v>44161</v>
      </c>
      <c r="B1304" s="3">
        <v>170.68</v>
      </c>
      <c r="C1304" s="3">
        <v>291.82</v>
      </c>
      <c r="D1304" s="3">
        <v>121.24</v>
      </c>
      <c r="E1304" s="3">
        <v>1.3128</v>
      </c>
      <c r="F1304" s="3">
        <v>290.93</v>
      </c>
      <c r="G1304" s="3">
        <v>282.13</v>
      </c>
      <c r="H1304" s="3">
        <v>201.09</v>
      </c>
      <c r="I1304" s="3">
        <v>239.43</v>
      </c>
      <c r="J1304" s="3">
        <v>114.23</v>
      </c>
      <c r="K1304" s="3">
        <v>237.18</v>
      </c>
      <c r="L1304" s="3"/>
      <c r="N1304" s="4"/>
    </row>
    <row r="1305" spans="1:14" ht="17.5" thickBot="1" x14ac:dyDescent="0.45">
      <c r="A1305" s="4">
        <v>44162</v>
      </c>
      <c r="B1305" s="3">
        <v>171.65</v>
      </c>
      <c r="C1305" s="3">
        <v>291.58</v>
      </c>
      <c r="D1305" s="3">
        <v>121.42</v>
      </c>
      <c r="E1305" s="3">
        <v>1.3163</v>
      </c>
      <c r="F1305" s="3">
        <v>292.26</v>
      </c>
      <c r="G1305" s="3">
        <v>282.85000000000002</v>
      </c>
      <c r="H1305" s="3">
        <v>201.84</v>
      </c>
      <c r="I1305" s="3">
        <v>239.9</v>
      </c>
      <c r="J1305" s="3">
        <v>114.23</v>
      </c>
      <c r="K1305" s="3">
        <v>237.94</v>
      </c>
      <c r="L1305" s="3"/>
      <c r="N1305" s="4"/>
    </row>
    <row r="1306" spans="1:14" ht="17.5" thickBot="1" x14ac:dyDescent="0.45">
      <c r="A1306" s="4">
        <v>44163</v>
      </c>
      <c r="B1306" s="3">
        <v>171.65</v>
      </c>
      <c r="C1306" s="3">
        <v>291.58</v>
      </c>
      <c r="D1306" s="3">
        <v>121.42</v>
      </c>
      <c r="E1306" s="3">
        <v>1.3163</v>
      </c>
      <c r="F1306" s="3">
        <v>292.26</v>
      </c>
      <c r="G1306" s="3">
        <v>282.85000000000002</v>
      </c>
      <c r="H1306" s="3">
        <v>201.84</v>
      </c>
      <c r="I1306" s="3">
        <v>239.9</v>
      </c>
      <c r="J1306" s="3">
        <v>114.23</v>
      </c>
      <c r="K1306" s="3">
        <v>237.94</v>
      </c>
      <c r="L1306" s="3"/>
      <c r="N1306" s="4"/>
    </row>
    <row r="1307" spans="1:14" ht="17.5" thickBot="1" x14ac:dyDescent="0.45">
      <c r="A1307" s="4">
        <v>44164</v>
      </c>
      <c r="B1307" s="3">
        <v>171.65</v>
      </c>
      <c r="C1307" s="3">
        <v>291.58</v>
      </c>
      <c r="D1307" s="3">
        <v>121.42</v>
      </c>
      <c r="E1307" s="3">
        <v>1.3163</v>
      </c>
      <c r="F1307" s="3">
        <v>292.26</v>
      </c>
      <c r="G1307" s="3">
        <v>282.85000000000002</v>
      </c>
      <c r="H1307" s="3">
        <v>201.84</v>
      </c>
      <c r="I1307" s="3">
        <v>239.9</v>
      </c>
      <c r="J1307" s="3">
        <v>114.23</v>
      </c>
      <c r="K1307" s="3">
        <v>237.94</v>
      </c>
      <c r="L1307" s="3"/>
      <c r="N1307" s="4"/>
    </row>
    <row r="1308" spans="1:14" ht="17.5" thickBot="1" x14ac:dyDescent="0.45">
      <c r="A1308" s="4">
        <v>44165</v>
      </c>
      <c r="B1308" s="3">
        <v>168.38</v>
      </c>
      <c r="C1308" s="3">
        <v>287.36</v>
      </c>
      <c r="D1308" s="3">
        <v>121.41</v>
      </c>
      <c r="E1308" s="3">
        <v>1.3092999999999999</v>
      </c>
      <c r="F1308" s="3">
        <v>288.07</v>
      </c>
      <c r="G1308" s="3">
        <v>281.64999999999998</v>
      </c>
      <c r="H1308" s="3">
        <v>199.76</v>
      </c>
      <c r="I1308" s="3">
        <v>238.14</v>
      </c>
      <c r="J1308" s="3">
        <v>114.24</v>
      </c>
      <c r="K1308" s="3">
        <v>236.16</v>
      </c>
      <c r="L1308" s="3"/>
      <c r="N1308" s="4"/>
    </row>
    <row r="1309" spans="1:14" ht="17.5" thickBot="1" x14ac:dyDescent="0.45">
      <c r="A1309" s="4">
        <v>44166</v>
      </c>
      <c r="B1309" s="3">
        <v>169.4</v>
      </c>
      <c r="C1309" s="3">
        <v>292.04000000000002</v>
      </c>
      <c r="D1309" s="3">
        <v>121.41</v>
      </c>
      <c r="E1309" s="3">
        <v>1.3160000000000001</v>
      </c>
      <c r="F1309" s="3">
        <v>291.08</v>
      </c>
      <c r="G1309" s="3">
        <v>285</v>
      </c>
      <c r="H1309" s="3">
        <v>201.2</v>
      </c>
      <c r="I1309" s="3">
        <v>242.21</v>
      </c>
      <c r="J1309" s="3">
        <v>114.24</v>
      </c>
      <c r="K1309" s="3">
        <v>237.33</v>
      </c>
      <c r="L1309" s="3"/>
      <c r="N1309" s="4"/>
    </row>
    <row r="1310" spans="1:14" ht="17.5" thickBot="1" x14ac:dyDescent="0.45">
      <c r="A1310" s="4">
        <v>44167</v>
      </c>
      <c r="B1310" s="3">
        <v>168.93</v>
      </c>
      <c r="C1310" s="3">
        <v>295.95</v>
      </c>
      <c r="D1310" s="3">
        <v>121.41</v>
      </c>
      <c r="E1310" s="3">
        <v>1.3178000000000001</v>
      </c>
      <c r="F1310" s="3">
        <v>290.99</v>
      </c>
      <c r="G1310" s="3">
        <v>285.35000000000002</v>
      </c>
      <c r="H1310" s="3">
        <v>201.25</v>
      </c>
      <c r="I1310" s="3">
        <v>242.9</v>
      </c>
      <c r="J1310" s="3">
        <v>114.24</v>
      </c>
      <c r="K1310" s="3">
        <v>237.39</v>
      </c>
      <c r="L1310" s="3"/>
      <c r="N1310" s="4"/>
    </row>
    <row r="1311" spans="1:14" ht="17.5" thickBot="1" x14ac:dyDescent="0.45">
      <c r="A1311" s="4">
        <v>44168</v>
      </c>
      <c r="B1311" s="3">
        <v>170.09</v>
      </c>
      <c r="C1311" s="3">
        <v>299.19</v>
      </c>
      <c r="D1311" s="3">
        <v>121.68</v>
      </c>
      <c r="E1311" s="3">
        <v>1.3213999999999999</v>
      </c>
      <c r="F1311" s="3">
        <v>292.42</v>
      </c>
      <c r="G1311" s="3">
        <v>285.13</v>
      </c>
      <c r="H1311" s="3">
        <v>202.21</v>
      </c>
      <c r="I1311" s="3">
        <v>243.36</v>
      </c>
      <c r="J1311" s="3">
        <v>114.24</v>
      </c>
      <c r="K1311" s="3">
        <v>238.45</v>
      </c>
      <c r="L1311" s="3"/>
      <c r="N1311" s="4"/>
    </row>
    <row r="1312" spans="1:14" ht="17.5" thickBot="1" x14ac:dyDescent="0.45">
      <c r="A1312" s="4">
        <v>44169</v>
      </c>
      <c r="B1312" s="3">
        <v>170.61</v>
      </c>
      <c r="C1312" s="3">
        <v>303.52</v>
      </c>
      <c r="D1312" s="3">
        <v>121.86</v>
      </c>
      <c r="E1312" s="3">
        <v>1.3263</v>
      </c>
      <c r="F1312" s="3">
        <v>294.33999999999997</v>
      </c>
      <c r="G1312" s="3">
        <v>287.48</v>
      </c>
      <c r="H1312" s="3">
        <v>203.11</v>
      </c>
      <c r="I1312" s="3">
        <v>245.76</v>
      </c>
      <c r="J1312" s="3">
        <v>114.24</v>
      </c>
      <c r="K1312" s="3">
        <v>239.15</v>
      </c>
      <c r="L1312" s="3"/>
      <c r="N1312" s="4"/>
    </row>
    <row r="1313" spans="1:14" ht="17.5" thickBot="1" x14ac:dyDescent="0.45">
      <c r="A1313" s="4">
        <v>44170</v>
      </c>
      <c r="B1313" s="3">
        <v>170.61</v>
      </c>
      <c r="C1313" s="3">
        <v>303.52</v>
      </c>
      <c r="D1313" s="3">
        <v>121.86</v>
      </c>
      <c r="E1313" s="3">
        <v>1.3263</v>
      </c>
      <c r="F1313" s="3">
        <v>294.33999999999997</v>
      </c>
      <c r="G1313" s="3">
        <v>287.48</v>
      </c>
      <c r="H1313" s="3">
        <v>203.11</v>
      </c>
      <c r="I1313" s="3">
        <v>245.76</v>
      </c>
      <c r="J1313" s="3">
        <v>114.24</v>
      </c>
      <c r="K1313" s="3">
        <v>239.15</v>
      </c>
      <c r="L1313" s="3"/>
      <c r="N1313" s="4"/>
    </row>
    <row r="1314" spans="1:14" ht="17.5" thickBot="1" x14ac:dyDescent="0.45">
      <c r="A1314" s="4">
        <v>44171</v>
      </c>
      <c r="B1314" s="3">
        <v>170.61</v>
      </c>
      <c r="C1314" s="3">
        <v>303.52</v>
      </c>
      <c r="D1314" s="3">
        <v>121.86</v>
      </c>
      <c r="E1314" s="3">
        <v>1.3263</v>
      </c>
      <c r="F1314" s="3">
        <v>294.33999999999997</v>
      </c>
      <c r="G1314" s="3">
        <v>287.48</v>
      </c>
      <c r="H1314" s="3">
        <v>203.11</v>
      </c>
      <c r="I1314" s="3">
        <v>245.76</v>
      </c>
      <c r="J1314" s="3">
        <v>114.24</v>
      </c>
      <c r="K1314" s="3">
        <v>239.15</v>
      </c>
      <c r="L1314" s="3"/>
      <c r="N1314" s="4"/>
    </row>
    <row r="1315" spans="1:14" ht="17.5" thickBot="1" x14ac:dyDescent="0.45">
      <c r="A1315" s="4">
        <v>44172</v>
      </c>
      <c r="B1315" s="3">
        <v>168.31</v>
      </c>
      <c r="C1315" s="3">
        <v>306.36</v>
      </c>
      <c r="D1315" s="3">
        <v>121.85</v>
      </c>
      <c r="E1315" s="3">
        <v>1.3265</v>
      </c>
      <c r="F1315" s="3">
        <v>292.58999999999997</v>
      </c>
      <c r="G1315" s="3">
        <v>286.85000000000002</v>
      </c>
      <c r="H1315" s="3">
        <v>202.38</v>
      </c>
      <c r="I1315" s="3">
        <v>245.16</v>
      </c>
      <c r="J1315" s="3">
        <v>114.24</v>
      </c>
      <c r="K1315" s="3">
        <v>238.6</v>
      </c>
      <c r="L1315" s="3"/>
      <c r="N1315" s="4"/>
    </row>
    <row r="1316" spans="1:14" ht="17.5" thickBot="1" x14ac:dyDescent="0.45">
      <c r="A1316" s="4">
        <v>44173</v>
      </c>
      <c r="B1316" s="3">
        <v>167.39</v>
      </c>
      <c r="C1316" s="3">
        <v>305.93</v>
      </c>
      <c r="D1316" s="3">
        <v>121.85</v>
      </c>
      <c r="E1316" s="3">
        <v>1.329</v>
      </c>
      <c r="F1316" s="3">
        <v>292.66000000000003</v>
      </c>
      <c r="G1316" s="3">
        <v>287.79000000000002</v>
      </c>
      <c r="H1316" s="3">
        <v>202.36</v>
      </c>
      <c r="I1316" s="3">
        <v>245.79</v>
      </c>
      <c r="J1316" s="3">
        <v>114.24</v>
      </c>
      <c r="K1316" s="3">
        <v>238.63</v>
      </c>
      <c r="L1316" s="3"/>
      <c r="N1316" s="4"/>
    </row>
    <row r="1317" spans="1:14" ht="17.5" thickBot="1" x14ac:dyDescent="0.45">
      <c r="A1317" s="4">
        <v>44174</v>
      </c>
      <c r="B1317" s="3">
        <v>168.74</v>
      </c>
      <c r="C1317" s="3">
        <v>309.79000000000002</v>
      </c>
      <c r="D1317" s="3">
        <v>121.85</v>
      </c>
      <c r="E1317" s="3">
        <v>1.3255999999999999</v>
      </c>
      <c r="F1317" s="3">
        <v>293.36</v>
      </c>
      <c r="G1317" s="3">
        <v>285.70999999999998</v>
      </c>
      <c r="H1317" s="3">
        <v>202.77</v>
      </c>
      <c r="I1317" s="3">
        <v>243.51</v>
      </c>
      <c r="J1317" s="3">
        <v>114.24</v>
      </c>
      <c r="K1317" s="3">
        <v>238.84</v>
      </c>
      <c r="L1317" s="3"/>
      <c r="N1317" s="4"/>
    </row>
    <row r="1318" spans="1:14" ht="17.5" thickBot="1" x14ac:dyDescent="0.45">
      <c r="A1318" s="4">
        <v>44175</v>
      </c>
      <c r="B1318" s="3">
        <v>168.11</v>
      </c>
      <c r="C1318" s="3">
        <v>307.06</v>
      </c>
      <c r="D1318" s="3">
        <v>122.03</v>
      </c>
      <c r="E1318" s="3">
        <v>1.3258000000000001</v>
      </c>
      <c r="F1318" s="3">
        <v>292.39</v>
      </c>
      <c r="G1318" s="3">
        <v>285.27</v>
      </c>
      <c r="H1318" s="3">
        <v>202.24</v>
      </c>
      <c r="I1318" s="3">
        <v>244.91</v>
      </c>
      <c r="J1318" s="3">
        <v>114.24</v>
      </c>
      <c r="K1318" s="3">
        <v>238.57</v>
      </c>
      <c r="L1318" s="3"/>
      <c r="N1318" s="4"/>
    </row>
    <row r="1319" spans="1:14" ht="17.5" thickBot="1" x14ac:dyDescent="0.45">
      <c r="A1319" s="4">
        <v>44176</v>
      </c>
      <c r="B1319" s="3">
        <v>168.61</v>
      </c>
      <c r="C1319" s="3">
        <v>307.52</v>
      </c>
      <c r="D1319" s="3">
        <v>122.11</v>
      </c>
      <c r="E1319" s="3">
        <v>1.3251999999999999</v>
      </c>
      <c r="F1319" s="3">
        <v>292.55</v>
      </c>
      <c r="G1319" s="3">
        <v>284.66000000000003</v>
      </c>
      <c r="H1319" s="3">
        <v>202.35</v>
      </c>
      <c r="I1319" s="3">
        <v>244.28</v>
      </c>
      <c r="J1319" s="3">
        <v>114.24</v>
      </c>
      <c r="K1319" s="3">
        <v>238.7</v>
      </c>
      <c r="L1319" s="3"/>
      <c r="N1319" s="4"/>
    </row>
    <row r="1320" spans="1:14" ht="17.5" thickBot="1" x14ac:dyDescent="0.45">
      <c r="A1320" s="4">
        <v>44177</v>
      </c>
      <c r="B1320" s="3">
        <v>168.61</v>
      </c>
      <c r="C1320" s="3">
        <v>307.52</v>
      </c>
      <c r="D1320" s="3">
        <v>122.11</v>
      </c>
      <c r="E1320" s="3">
        <v>1.3251999999999999</v>
      </c>
      <c r="F1320" s="3">
        <v>292.55</v>
      </c>
      <c r="G1320" s="3">
        <v>284.66000000000003</v>
      </c>
      <c r="H1320" s="3">
        <v>202.35</v>
      </c>
      <c r="I1320" s="3">
        <v>244.28</v>
      </c>
      <c r="J1320" s="3">
        <v>114.24</v>
      </c>
      <c r="K1320" s="3">
        <v>238.7</v>
      </c>
      <c r="L1320" s="3"/>
      <c r="N1320" s="4"/>
    </row>
    <row r="1321" spans="1:14" ht="17.5" thickBot="1" x14ac:dyDescent="0.45">
      <c r="A1321" s="4">
        <v>44178</v>
      </c>
      <c r="B1321" s="3">
        <v>168.61</v>
      </c>
      <c r="C1321" s="3">
        <v>307.52</v>
      </c>
      <c r="D1321" s="3">
        <v>122.11</v>
      </c>
      <c r="E1321" s="3">
        <v>1.3251999999999999</v>
      </c>
      <c r="F1321" s="3">
        <v>292.55</v>
      </c>
      <c r="G1321" s="3">
        <v>284.66000000000003</v>
      </c>
      <c r="H1321" s="3">
        <v>202.35</v>
      </c>
      <c r="I1321" s="3">
        <v>244.28</v>
      </c>
      <c r="J1321" s="3">
        <v>114.24</v>
      </c>
      <c r="K1321" s="3">
        <v>238.7</v>
      </c>
      <c r="L1321" s="3"/>
      <c r="N1321" s="4"/>
    </row>
    <row r="1322" spans="1:14" ht="17.5" thickBot="1" x14ac:dyDescent="0.45">
      <c r="A1322" s="4">
        <v>44179</v>
      </c>
      <c r="B1322" s="3">
        <v>168.08</v>
      </c>
      <c r="C1322" s="3">
        <v>307.39</v>
      </c>
      <c r="D1322" s="3">
        <v>122.11</v>
      </c>
      <c r="E1322" s="3">
        <v>1.3239000000000001</v>
      </c>
      <c r="F1322" s="3">
        <v>292.35000000000002</v>
      </c>
      <c r="G1322" s="3">
        <v>283.89</v>
      </c>
      <c r="H1322" s="3">
        <v>202.26</v>
      </c>
      <c r="I1322" s="3">
        <v>242.56</v>
      </c>
      <c r="J1322" s="3">
        <v>114.24</v>
      </c>
      <c r="K1322" s="3">
        <v>238.64</v>
      </c>
      <c r="L1322" s="3"/>
      <c r="N1322" s="4"/>
    </row>
    <row r="1323" spans="1:14" ht="17.5" thickBot="1" x14ac:dyDescent="0.45">
      <c r="A1323" s="4">
        <v>44180</v>
      </c>
      <c r="B1323" s="3">
        <v>167.05</v>
      </c>
      <c r="C1323" s="3">
        <v>306.67</v>
      </c>
      <c r="D1323" s="3">
        <v>122.1</v>
      </c>
      <c r="E1323" s="3">
        <v>1.3293999999999999</v>
      </c>
      <c r="F1323" s="3">
        <v>292.87</v>
      </c>
      <c r="G1323" s="3">
        <v>287.39</v>
      </c>
      <c r="H1323" s="3">
        <v>202.61</v>
      </c>
      <c r="I1323" s="3">
        <v>246.07</v>
      </c>
      <c r="J1323" s="3">
        <v>114.24</v>
      </c>
      <c r="K1323" s="3">
        <v>238.9</v>
      </c>
      <c r="L1323" s="3"/>
      <c r="N1323" s="4"/>
    </row>
    <row r="1324" spans="1:14" ht="17.5" thickBot="1" x14ac:dyDescent="0.45">
      <c r="A1324" s="4">
        <v>44181</v>
      </c>
      <c r="B1324" s="3">
        <v>168.71</v>
      </c>
      <c r="C1324" s="3">
        <v>310.13</v>
      </c>
      <c r="D1324" s="3">
        <v>122.19</v>
      </c>
      <c r="E1324" s="3">
        <v>1.3328</v>
      </c>
      <c r="F1324" s="3">
        <v>295.41000000000003</v>
      </c>
      <c r="G1324" s="3">
        <v>288.04000000000002</v>
      </c>
      <c r="H1324" s="3">
        <v>204.06</v>
      </c>
      <c r="I1324" s="3">
        <v>246.9</v>
      </c>
      <c r="J1324" s="3">
        <v>114.24</v>
      </c>
      <c r="K1324" s="3">
        <v>240.04</v>
      </c>
      <c r="L1324" s="3"/>
      <c r="N1324" s="4"/>
    </row>
    <row r="1325" spans="1:14" ht="17.5" thickBot="1" x14ac:dyDescent="0.45">
      <c r="A1325" s="4">
        <v>44182</v>
      </c>
      <c r="B1325" s="3">
        <v>169.77</v>
      </c>
      <c r="C1325" s="3">
        <v>311.82</v>
      </c>
      <c r="D1325" s="3">
        <v>122.46</v>
      </c>
      <c r="E1325" s="3">
        <v>1.3389</v>
      </c>
      <c r="F1325" s="3">
        <v>297.94</v>
      </c>
      <c r="G1325" s="3">
        <v>289.42</v>
      </c>
      <c r="H1325" s="3">
        <v>205.56</v>
      </c>
      <c r="I1325" s="3">
        <v>248.54</v>
      </c>
      <c r="J1325" s="3">
        <v>114.24</v>
      </c>
      <c r="K1325" s="3">
        <v>241.35</v>
      </c>
      <c r="L1325" s="3"/>
      <c r="N1325" s="4"/>
    </row>
    <row r="1326" spans="1:14" ht="17.5" thickBot="1" x14ac:dyDescent="0.45">
      <c r="A1326" s="4">
        <v>44183</v>
      </c>
      <c r="B1326" s="3">
        <v>168.22</v>
      </c>
      <c r="C1326" s="3">
        <v>309.39999999999998</v>
      </c>
      <c r="D1326" s="3">
        <v>122.46</v>
      </c>
      <c r="E1326" s="3">
        <v>1.3360000000000001</v>
      </c>
      <c r="F1326" s="3">
        <v>296.62</v>
      </c>
      <c r="G1326" s="3">
        <v>288.38</v>
      </c>
      <c r="H1326" s="3">
        <v>204.74</v>
      </c>
      <c r="I1326" s="3">
        <v>247.33</v>
      </c>
      <c r="J1326" s="3">
        <v>114.24</v>
      </c>
      <c r="K1326" s="3">
        <v>240.65</v>
      </c>
      <c r="L1326" s="3"/>
      <c r="N1326" s="4"/>
    </row>
    <row r="1327" spans="1:14" ht="17.5" thickBot="1" x14ac:dyDescent="0.45">
      <c r="A1327" s="4">
        <v>44184</v>
      </c>
      <c r="B1327" s="3">
        <v>168.22</v>
      </c>
      <c r="C1327" s="3">
        <v>309.39999999999998</v>
      </c>
      <c r="D1327" s="3">
        <v>122.46</v>
      </c>
      <c r="E1327" s="3">
        <v>1.3360000000000001</v>
      </c>
      <c r="F1327" s="3">
        <v>296.62</v>
      </c>
      <c r="G1327" s="3">
        <v>288.38</v>
      </c>
      <c r="H1327" s="3">
        <v>204.74</v>
      </c>
      <c r="I1327" s="3">
        <v>247.33</v>
      </c>
      <c r="J1327" s="3">
        <v>114.24</v>
      </c>
      <c r="K1327" s="3">
        <v>240.65</v>
      </c>
      <c r="L1327" s="3"/>
      <c r="N1327" s="4"/>
    </row>
    <row r="1328" spans="1:14" ht="17.5" thickBot="1" x14ac:dyDescent="0.45">
      <c r="A1328" s="4">
        <v>44185</v>
      </c>
      <c r="B1328" s="3">
        <v>168.22</v>
      </c>
      <c r="C1328" s="3">
        <v>309.39999999999998</v>
      </c>
      <c r="D1328" s="3">
        <v>122.46</v>
      </c>
      <c r="E1328" s="3">
        <v>1.3360000000000001</v>
      </c>
      <c r="F1328" s="3">
        <v>296.62</v>
      </c>
      <c r="G1328" s="3">
        <v>288.38</v>
      </c>
      <c r="H1328" s="3">
        <v>204.74</v>
      </c>
      <c r="I1328" s="3">
        <v>247.33</v>
      </c>
      <c r="J1328" s="3">
        <v>114.24</v>
      </c>
      <c r="K1328" s="3">
        <v>240.65</v>
      </c>
      <c r="L1328" s="3"/>
      <c r="N1328" s="4"/>
    </row>
    <row r="1329" spans="1:14" ht="17.5" thickBot="1" x14ac:dyDescent="0.45">
      <c r="A1329" s="4">
        <v>44186</v>
      </c>
      <c r="B1329" s="3">
        <v>167.26</v>
      </c>
      <c r="C1329" s="3">
        <v>307.52</v>
      </c>
      <c r="D1329" s="3">
        <v>122.18</v>
      </c>
      <c r="E1329" s="3">
        <v>1.3295999999999999</v>
      </c>
      <c r="F1329" s="3">
        <v>294.95999999999998</v>
      </c>
      <c r="G1329" s="3">
        <v>287.45</v>
      </c>
      <c r="H1329" s="3">
        <v>203.61</v>
      </c>
      <c r="I1329" s="3">
        <v>245.69</v>
      </c>
      <c r="J1329" s="3">
        <v>114.24</v>
      </c>
      <c r="K1329" s="3">
        <v>239.71</v>
      </c>
      <c r="L1329" s="3"/>
      <c r="N1329" s="4"/>
    </row>
    <row r="1330" spans="1:14" ht="17.5" thickBot="1" x14ac:dyDescent="0.45">
      <c r="A1330" s="4">
        <v>44187</v>
      </c>
      <c r="B1330" s="3">
        <v>166.39</v>
      </c>
      <c r="C1330" s="3">
        <v>304.27</v>
      </c>
      <c r="D1330" s="3">
        <v>122</v>
      </c>
      <c r="E1330" s="3">
        <v>1.3287</v>
      </c>
      <c r="F1330" s="3">
        <v>293.52999999999997</v>
      </c>
      <c r="G1330" s="3">
        <v>287.17</v>
      </c>
      <c r="H1330" s="3">
        <v>202.76</v>
      </c>
      <c r="I1330" s="3">
        <v>245.2</v>
      </c>
      <c r="J1330" s="3">
        <v>114.24</v>
      </c>
      <c r="K1330" s="3">
        <v>239.06</v>
      </c>
      <c r="L1330" s="3"/>
      <c r="N1330" s="4"/>
    </row>
    <row r="1331" spans="1:14" ht="17.5" thickBot="1" x14ac:dyDescent="0.45">
      <c r="A1331" s="4">
        <v>44188</v>
      </c>
      <c r="B1331" s="3">
        <v>167.78</v>
      </c>
      <c r="C1331" s="3">
        <v>308.01</v>
      </c>
      <c r="D1331" s="3">
        <v>122.18</v>
      </c>
      <c r="E1331" s="3">
        <v>1.3302</v>
      </c>
      <c r="F1331" s="3">
        <v>296.33</v>
      </c>
      <c r="G1331" s="3">
        <v>287.37</v>
      </c>
      <c r="H1331" s="3">
        <v>204.39</v>
      </c>
      <c r="I1331" s="3">
        <v>245.76</v>
      </c>
      <c r="J1331" s="3">
        <v>114.24</v>
      </c>
      <c r="K1331" s="3">
        <v>240.23</v>
      </c>
      <c r="L1331" s="3"/>
      <c r="N1331" s="4"/>
    </row>
    <row r="1332" spans="1:14" ht="17.5" thickBot="1" x14ac:dyDescent="0.45">
      <c r="A1332" s="4">
        <v>44189</v>
      </c>
      <c r="B1332" s="3">
        <v>168.08</v>
      </c>
      <c r="C1332" s="3">
        <v>311.57</v>
      </c>
      <c r="D1332" s="3">
        <v>122.35</v>
      </c>
      <c r="E1332" s="3">
        <v>1.3328</v>
      </c>
      <c r="F1332" s="3">
        <v>296.45</v>
      </c>
      <c r="G1332" s="3">
        <v>288.3</v>
      </c>
      <c r="H1332" s="3">
        <v>204.55</v>
      </c>
      <c r="I1332" s="3">
        <v>246.75</v>
      </c>
      <c r="J1332" s="3">
        <v>114.24</v>
      </c>
      <c r="K1332" s="3">
        <v>240.39</v>
      </c>
      <c r="L1332" s="3"/>
      <c r="N1332" s="4"/>
    </row>
    <row r="1333" spans="1:14" ht="17.5" thickBot="1" x14ac:dyDescent="0.45">
      <c r="A1333" s="4">
        <v>44190</v>
      </c>
      <c r="B1333" s="3">
        <v>168.08</v>
      </c>
      <c r="C1333" s="3">
        <v>311.57</v>
      </c>
      <c r="D1333" s="3">
        <v>122.35</v>
      </c>
      <c r="E1333" s="3">
        <v>1.3328</v>
      </c>
      <c r="F1333" s="3">
        <v>296.45</v>
      </c>
      <c r="G1333" s="3">
        <v>288.3</v>
      </c>
      <c r="H1333" s="3">
        <v>204.55</v>
      </c>
      <c r="I1333" s="3">
        <v>246.75</v>
      </c>
      <c r="J1333" s="3">
        <v>114.24</v>
      </c>
      <c r="K1333" s="3">
        <v>240.39</v>
      </c>
      <c r="L1333" s="3"/>
      <c r="N1333" s="4"/>
    </row>
    <row r="1334" spans="1:14" ht="17.5" thickBot="1" x14ac:dyDescent="0.45">
      <c r="A1334" s="4">
        <v>44191</v>
      </c>
      <c r="B1334" s="3">
        <v>168.08</v>
      </c>
      <c r="C1334" s="3">
        <v>311.57</v>
      </c>
      <c r="D1334" s="3">
        <v>122.35</v>
      </c>
      <c r="E1334" s="3">
        <v>1.3328</v>
      </c>
      <c r="F1334" s="3">
        <v>296.45</v>
      </c>
      <c r="G1334" s="3">
        <v>288.3</v>
      </c>
      <c r="H1334" s="3">
        <v>204.55</v>
      </c>
      <c r="I1334" s="3">
        <v>246.75</v>
      </c>
      <c r="J1334" s="3">
        <v>114.24</v>
      </c>
      <c r="K1334" s="3">
        <v>240.39</v>
      </c>
      <c r="L1334" s="3"/>
      <c r="N1334" s="4"/>
    </row>
    <row r="1335" spans="1:14" ht="17.5" thickBot="1" x14ac:dyDescent="0.45">
      <c r="A1335" s="4">
        <v>44192</v>
      </c>
      <c r="B1335" s="3">
        <v>168.08</v>
      </c>
      <c r="C1335" s="3">
        <v>311.57</v>
      </c>
      <c r="D1335" s="3">
        <v>122.35</v>
      </c>
      <c r="E1335" s="3">
        <v>1.3328</v>
      </c>
      <c r="F1335" s="3">
        <v>296.45</v>
      </c>
      <c r="G1335" s="3">
        <v>288.3</v>
      </c>
      <c r="H1335" s="3">
        <v>204.55</v>
      </c>
      <c r="I1335" s="3">
        <v>246.75</v>
      </c>
      <c r="J1335" s="3">
        <v>114.24</v>
      </c>
      <c r="K1335" s="3">
        <v>240.39</v>
      </c>
      <c r="L1335" s="3"/>
      <c r="N1335" s="4"/>
    </row>
    <row r="1336" spans="1:14" ht="17.5" thickBot="1" x14ac:dyDescent="0.45">
      <c r="A1336" s="4">
        <v>44193</v>
      </c>
      <c r="B1336" s="3">
        <v>167.03</v>
      </c>
      <c r="C1336" s="3">
        <v>313.27999999999997</v>
      </c>
      <c r="D1336" s="3">
        <v>122.35</v>
      </c>
      <c r="E1336" s="3">
        <v>1.3375999999999999</v>
      </c>
      <c r="F1336" s="3">
        <v>297.18</v>
      </c>
      <c r="G1336" s="3">
        <v>290.61</v>
      </c>
      <c r="H1336" s="3">
        <v>205.1</v>
      </c>
      <c r="I1336" s="3">
        <v>248.43</v>
      </c>
      <c r="J1336" s="3">
        <v>114.24</v>
      </c>
      <c r="K1336" s="3">
        <v>240.85</v>
      </c>
      <c r="L1336" s="3"/>
      <c r="N1336" s="4"/>
    </row>
    <row r="1337" spans="1:14" ht="17.5" thickBot="1" x14ac:dyDescent="0.45">
      <c r="A1337" s="4">
        <v>44194</v>
      </c>
      <c r="B1337" s="3">
        <v>168.79</v>
      </c>
      <c r="C1337" s="3">
        <v>314.95</v>
      </c>
      <c r="D1337" s="3">
        <v>122.61</v>
      </c>
      <c r="E1337" s="3">
        <v>1.3406</v>
      </c>
      <c r="F1337" s="3">
        <v>299.44</v>
      </c>
      <c r="G1337" s="3">
        <v>289.92</v>
      </c>
      <c r="H1337" s="3">
        <v>206.47</v>
      </c>
      <c r="I1337" s="3">
        <v>248.49</v>
      </c>
      <c r="J1337" s="3">
        <v>114.24</v>
      </c>
      <c r="K1337" s="3">
        <v>242.05</v>
      </c>
      <c r="L1337" s="3"/>
      <c r="N1337" s="4"/>
    </row>
    <row r="1338" spans="1:14" ht="17.5" thickBot="1" x14ac:dyDescent="0.45">
      <c r="A1338" s="4">
        <v>44195</v>
      </c>
      <c r="B1338" s="3">
        <v>172.49</v>
      </c>
      <c r="C1338" s="3">
        <v>319.49</v>
      </c>
      <c r="D1338" s="3">
        <v>122.79</v>
      </c>
      <c r="E1338" s="3">
        <v>1.3432999999999999</v>
      </c>
      <c r="F1338" s="3">
        <v>302.73</v>
      </c>
      <c r="G1338" s="3">
        <v>289.92</v>
      </c>
      <c r="H1338" s="3">
        <v>208.36</v>
      </c>
      <c r="I1338" s="3">
        <v>248.8</v>
      </c>
      <c r="J1338" s="3">
        <v>114.24</v>
      </c>
      <c r="K1338" s="3">
        <v>243.62</v>
      </c>
      <c r="L1338" s="3"/>
      <c r="N1338" s="4"/>
    </row>
    <row r="1339" spans="1:14" ht="17.5" thickBot="1" x14ac:dyDescent="0.45">
      <c r="A1339" s="4">
        <v>44196</v>
      </c>
      <c r="B1339" s="3">
        <v>172.98</v>
      </c>
      <c r="C1339" s="3">
        <v>319.06</v>
      </c>
      <c r="D1339" s="3">
        <v>122.97</v>
      </c>
      <c r="E1339" s="3">
        <v>1.3451</v>
      </c>
      <c r="F1339" s="3">
        <v>303.33</v>
      </c>
      <c r="G1339" s="3">
        <v>291.69</v>
      </c>
      <c r="H1339" s="3">
        <v>208.72</v>
      </c>
      <c r="I1339" s="3">
        <v>249.74</v>
      </c>
      <c r="J1339" s="3">
        <v>114.25</v>
      </c>
      <c r="K1339" s="3">
        <v>243.89</v>
      </c>
      <c r="L1339" s="3"/>
      <c r="N1339" s="4"/>
    </row>
    <row r="1340" spans="1:14" ht="17.5" thickBot="1" x14ac:dyDescent="0.45">
      <c r="A1340" s="4">
        <v>44197</v>
      </c>
      <c r="B1340" s="3">
        <v>172.98</v>
      </c>
      <c r="C1340" s="3">
        <v>319.06</v>
      </c>
      <c r="D1340" s="3">
        <v>122.97</v>
      </c>
      <c r="E1340" s="3">
        <v>1.3451</v>
      </c>
      <c r="F1340" s="3">
        <v>303.33</v>
      </c>
      <c r="G1340" s="3">
        <v>291.69</v>
      </c>
      <c r="H1340" s="3">
        <v>208.72</v>
      </c>
      <c r="I1340" s="3">
        <v>249.74</v>
      </c>
      <c r="J1340" s="3">
        <v>114.25</v>
      </c>
      <c r="K1340" s="3">
        <v>243.89</v>
      </c>
      <c r="L1340" s="3"/>
      <c r="N1340" s="4"/>
    </row>
    <row r="1341" spans="1:14" ht="17.5" thickBot="1" x14ac:dyDescent="0.45">
      <c r="A1341" s="4">
        <v>44198</v>
      </c>
      <c r="B1341" s="3">
        <v>172.98</v>
      </c>
      <c r="C1341" s="3">
        <v>319.06</v>
      </c>
      <c r="D1341" s="3">
        <v>122.97</v>
      </c>
      <c r="E1341" s="3">
        <v>1.3451</v>
      </c>
      <c r="F1341" s="3">
        <v>303.33</v>
      </c>
      <c r="G1341" s="3">
        <v>291.69</v>
      </c>
      <c r="H1341" s="3">
        <v>208.72</v>
      </c>
      <c r="I1341" s="3">
        <v>249.74</v>
      </c>
      <c r="J1341" s="3">
        <v>114.25</v>
      </c>
      <c r="K1341" s="3">
        <v>243.89</v>
      </c>
      <c r="L1341" s="3"/>
      <c r="N1341" s="4"/>
    </row>
    <row r="1342" spans="1:14" ht="17.5" thickBot="1" x14ac:dyDescent="0.45">
      <c r="A1342" s="4">
        <v>44199</v>
      </c>
      <c r="B1342" s="3">
        <v>172.98</v>
      </c>
      <c r="C1342" s="3">
        <v>319.06</v>
      </c>
      <c r="D1342" s="3">
        <v>122.97</v>
      </c>
      <c r="E1342" s="3">
        <v>1.3451</v>
      </c>
      <c r="F1342" s="3">
        <v>303.33</v>
      </c>
      <c r="G1342" s="3">
        <v>291.69</v>
      </c>
      <c r="H1342" s="3">
        <v>208.72</v>
      </c>
      <c r="I1342" s="3">
        <v>249.74</v>
      </c>
      <c r="J1342" s="3">
        <v>114.25</v>
      </c>
      <c r="K1342" s="3">
        <v>243.89</v>
      </c>
      <c r="L1342" s="3"/>
      <c r="N1342" s="4"/>
    </row>
    <row r="1343" spans="1:14" ht="17.5" thickBot="1" x14ac:dyDescent="0.45">
      <c r="A1343" s="4">
        <v>44200</v>
      </c>
      <c r="B1343" s="3">
        <v>174.16</v>
      </c>
      <c r="C1343" s="3">
        <v>325.45999999999998</v>
      </c>
      <c r="D1343" s="3">
        <v>123.23</v>
      </c>
      <c r="E1343" s="3">
        <v>1.341</v>
      </c>
      <c r="F1343" s="3">
        <v>304.85000000000002</v>
      </c>
      <c r="G1343" s="3">
        <v>287.81</v>
      </c>
      <c r="H1343" s="3">
        <v>209.7</v>
      </c>
      <c r="I1343" s="3">
        <v>246.8</v>
      </c>
      <c r="J1343" s="3">
        <v>114.25</v>
      </c>
      <c r="K1343" s="3">
        <v>244.75</v>
      </c>
      <c r="L1343" s="3"/>
      <c r="N1343" s="4"/>
    </row>
    <row r="1344" spans="1:14" ht="17.5" thickBot="1" x14ac:dyDescent="0.45">
      <c r="A1344" s="4">
        <v>44201</v>
      </c>
      <c r="B1344" s="3">
        <v>174.73</v>
      </c>
      <c r="C1344" s="3">
        <v>328.12</v>
      </c>
      <c r="D1344" s="3">
        <v>123.32</v>
      </c>
      <c r="E1344" s="3">
        <v>1.3442000000000001</v>
      </c>
      <c r="F1344" s="3">
        <v>306.11</v>
      </c>
      <c r="G1344" s="3">
        <v>289.70999999999998</v>
      </c>
      <c r="H1344" s="3">
        <v>210.44</v>
      </c>
      <c r="I1344" s="3">
        <v>248.61</v>
      </c>
      <c r="J1344" s="3">
        <v>114.25</v>
      </c>
      <c r="K1344" s="3">
        <v>245.21</v>
      </c>
      <c r="L1344" s="3"/>
      <c r="N1344" s="4"/>
    </row>
    <row r="1345" spans="1:14" ht="17.5" thickBot="1" x14ac:dyDescent="0.45">
      <c r="A1345" s="4">
        <v>44202</v>
      </c>
      <c r="B1345" s="3">
        <v>175.74</v>
      </c>
      <c r="C1345" s="3">
        <v>326.58</v>
      </c>
      <c r="D1345" s="3">
        <v>123.14</v>
      </c>
      <c r="E1345" s="3">
        <v>1.3468</v>
      </c>
      <c r="F1345" s="3">
        <v>307.44</v>
      </c>
      <c r="G1345" s="3">
        <v>291.45</v>
      </c>
      <c r="H1345" s="3">
        <v>211.18</v>
      </c>
      <c r="I1345" s="3">
        <v>250.31</v>
      </c>
      <c r="J1345" s="3">
        <v>114.25</v>
      </c>
      <c r="K1345" s="3">
        <v>245.56</v>
      </c>
      <c r="L1345" s="3"/>
      <c r="N1345" s="4"/>
    </row>
    <row r="1346" spans="1:14" ht="17.5" thickBot="1" x14ac:dyDescent="0.45">
      <c r="A1346" s="4">
        <v>44203</v>
      </c>
      <c r="B1346" s="3">
        <v>174.49</v>
      </c>
      <c r="C1346" s="3">
        <v>331.86</v>
      </c>
      <c r="D1346" s="3">
        <v>122.78</v>
      </c>
      <c r="E1346" s="3">
        <v>1.3553999999999999</v>
      </c>
      <c r="F1346" s="3">
        <v>309.56</v>
      </c>
      <c r="G1346" s="3">
        <v>295.69</v>
      </c>
      <c r="H1346" s="3">
        <v>212.36</v>
      </c>
      <c r="I1346" s="3">
        <v>253.9</v>
      </c>
      <c r="J1346" s="3">
        <v>114.25</v>
      </c>
      <c r="K1346" s="3">
        <v>246.37</v>
      </c>
      <c r="L1346" s="3"/>
      <c r="N1346" s="4"/>
    </row>
    <row r="1347" spans="1:14" ht="17.5" thickBot="1" x14ac:dyDescent="0.45">
      <c r="A1347" s="4">
        <v>44204</v>
      </c>
      <c r="B1347" s="3">
        <v>176.73</v>
      </c>
      <c r="C1347" s="3">
        <v>341.24</v>
      </c>
      <c r="D1347" s="3">
        <v>122.68</v>
      </c>
      <c r="E1347" s="3">
        <v>1.3626</v>
      </c>
      <c r="F1347" s="3">
        <v>313.51</v>
      </c>
      <c r="G1347" s="3">
        <v>297.14</v>
      </c>
      <c r="H1347" s="3">
        <v>214.65</v>
      </c>
      <c r="I1347" s="3">
        <v>255.46</v>
      </c>
      <c r="J1347" s="3">
        <v>114.25</v>
      </c>
      <c r="K1347" s="3">
        <v>248.11</v>
      </c>
      <c r="L1347" s="3"/>
      <c r="N1347" s="4"/>
    </row>
    <row r="1348" spans="1:14" ht="17.5" thickBot="1" x14ac:dyDescent="0.45">
      <c r="A1348" s="4">
        <v>44205</v>
      </c>
      <c r="B1348" s="3">
        <v>176.73</v>
      </c>
      <c r="C1348" s="3">
        <v>341.24</v>
      </c>
      <c r="D1348" s="3">
        <v>122.68</v>
      </c>
      <c r="E1348" s="3">
        <v>1.3626</v>
      </c>
      <c r="F1348" s="3">
        <v>313.51</v>
      </c>
      <c r="G1348" s="3">
        <v>297.14</v>
      </c>
      <c r="H1348" s="3">
        <v>214.65</v>
      </c>
      <c r="I1348" s="3">
        <v>255.46</v>
      </c>
      <c r="J1348" s="3">
        <v>114.25</v>
      </c>
      <c r="K1348" s="3">
        <v>248.11</v>
      </c>
      <c r="L1348" s="3"/>
      <c r="N1348" s="4"/>
    </row>
    <row r="1349" spans="1:14" ht="17.5" thickBot="1" x14ac:dyDescent="0.45">
      <c r="A1349" s="4">
        <v>44206</v>
      </c>
      <c r="B1349" s="3">
        <v>176.73</v>
      </c>
      <c r="C1349" s="3">
        <v>341.24</v>
      </c>
      <c r="D1349" s="3">
        <v>122.68</v>
      </c>
      <c r="E1349" s="3">
        <v>1.3626</v>
      </c>
      <c r="F1349" s="3">
        <v>313.51</v>
      </c>
      <c r="G1349" s="3">
        <v>297.14</v>
      </c>
      <c r="H1349" s="3">
        <v>214.65</v>
      </c>
      <c r="I1349" s="3">
        <v>255.46</v>
      </c>
      <c r="J1349" s="3">
        <v>114.25</v>
      </c>
      <c r="K1349" s="3">
        <v>248.11</v>
      </c>
      <c r="L1349" s="3"/>
      <c r="N1349" s="4"/>
    </row>
    <row r="1350" spans="1:14" ht="17.5" thickBot="1" x14ac:dyDescent="0.45">
      <c r="A1350" s="4">
        <v>44207</v>
      </c>
      <c r="B1350" s="3">
        <v>177.62</v>
      </c>
      <c r="C1350" s="3">
        <v>341.06</v>
      </c>
      <c r="D1350" s="3">
        <v>122.22</v>
      </c>
      <c r="E1350" s="3">
        <v>1.3555999999999999</v>
      </c>
      <c r="F1350" s="3">
        <v>311.97000000000003</v>
      </c>
      <c r="G1350" s="3">
        <v>295.32</v>
      </c>
      <c r="H1350" s="3">
        <v>213.59</v>
      </c>
      <c r="I1350" s="3">
        <v>253.05</v>
      </c>
      <c r="J1350" s="3">
        <v>114.25</v>
      </c>
      <c r="K1350" s="3">
        <v>246.97</v>
      </c>
      <c r="L1350" s="3"/>
      <c r="N1350" s="4"/>
    </row>
    <row r="1351" spans="1:14" ht="17.5" thickBot="1" x14ac:dyDescent="0.45">
      <c r="A1351" s="4">
        <v>44208</v>
      </c>
      <c r="B1351" s="3">
        <v>179.47</v>
      </c>
      <c r="C1351" s="3">
        <v>338.72</v>
      </c>
      <c r="D1351" s="3">
        <v>122.13</v>
      </c>
      <c r="E1351" s="3">
        <v>1.3559000000000001</v>
      </c>
      <c r="F1351" s="3">
        <v>312.91000000000003</v>
      </c>
      <c r="G1351" s="3">
        <v>295.75</v>
      </c>
      <c r="H1351" s="3">
        <v>214.11</v>
      </c>
      <c r="I1351" s="3">
        <v>254.06</v>
      </c>
      <c r="J1351" s="3">
        <v>114.25</v>
      </c>
      <c r="K1351" s="3">
        <v>247.28</v>
      </c>
      <c r="L1351" s="3"/>
      <c r="N1351" s="4"/>
    </row>
    <row r="1352" spans="1:14" ht="17.5" thickBot="1" x14ac:dyDescent="0.45">
      <c r="A1352" s="4">
        <v>44209</v>
      </c>
      <c r="B1352" s="3">
        <v>179.45</v>
      </c>
      <c r="C1352" s="3">
        <v>342.12</v>
      </c>
      <c r="D1352" s="3">
        <v>122.4</v>
      </c>
      <c r="E1352" s="3">
        <v>1.3599000000000001</v>
      </c>
      <c r="F1352" s="3">
        <v>313.54000000000002</v>
      </c>
      <c r="G1352" s="3">
        <v>296.12</v>
      </c>
      <c r="H1352" s="3">
        <v>214.59</v>
      </c>
      <c r="I1352" s="3">
        <v>253.78</v>
      </c>
      <c r="J1352" s="3">
        <v>114.25</v>
      </c>
      <c r="K1352" s="3">
        <v>247.87</v>
      </c>
      <c r="L1352" s="3"/>
      <c r="N1352" s="4"/>
    </row>
    <row r="1353" spans="1:14" ht="17.5" thickBot="1" x14ac:dyDescent="0.45">
      <c r="A1353" s="4">
        <v>44210</v>
      </c>
      <c r="B1353" s="3">
        <v>181</v>
      </c>
      <c r="C1353" s="3">
        <v>341.87</v>
      </c>
      <c r="D1353" s="3">
        <v>122.58</v>
      </c>
      <c r="E1353" s="3">
        <v>1.3597999999999999</v>
      </c>
      <c r="F1353" s="3">
        <v>314.48</v>
      </c>
      <c r="G1353" s="3">
        <v>295.02</v>
      </c>
      <c r="H1353" s="3">
        <v>215.2</v>
      </c>
      <c r="I1353" s="3">
        <v>254.09</v>
      </c>
      <c r="J1353" s="3">
        <v>114.25</v>
      </c>
      <c r="K1353" s="3">
        <v>248.3</v>
      </c>
      <c r="L1353" s="3"/>
      <c r="N1353" s="4"/>
    </row>
    <row r="1354" spans="1:14" ht="17.5" thickBot="1" x14ac:dyDescent="0.45">
      <c r="A1354" s="4">
        <v>44211</v>
      </c>
      <c r="B1354" s="3">
        <v>181.77</v>
      </c>
      <c r="C1354" s="3">
        <v>338.02</v>
      </c>
      <c r="D1354" s="3">
        <v>122.39</v>
      </c>
      <c r="E1354" s="3">
        <v>1.3532999999999999</v>
      </c>
      <c r="F1354" s="3">
        <v>312.83999999999997</v>
      </c>
      <c r="G1354" s="3">
        <v>293.25</v>
      </c>
      <c r="H1354" s="3">
        <v>214.14</v>
      </c>
      <c r="I1354" s="3">
        <v>251.02</v>
      </c>
      <c r="J1354" s="3">
        <v>114.25</v>
      </c>
      <c r="K1354" s="3">
        <v>247.42</v>
      </c>
      <c r="L1354" s="3"/>
      <c r="N1354" s="4"/>
    </row>
    <row r="1355" spans="1:14" ht="17.5" thickBot="1" x14ac:dyDescent="0.45">
      <c r="A1355" s="4">
        <v>44212</v>
      </c>
      <c r="B1355" s="3">
        <v>181.77</v>
      </c>
      <c r="C1355" s="3">
        <v>338.02</v>
      </c>
      <c r="D1355" s="3">
        <v>122.39</v>
      </c>
      <c r="E1355" s="3">
        <v>1.3532999999999999</v>
      </c>
      <c r="F1355" s="3">
        <v>312.83999999999997</v>
      </c>
      <c r="G1355" s="3">
        <v>293.25</v>
      </c>
      <c r="H1355" s="3">
        <v>214.14</v>
      </c>
      <c r="I1355" s="3">
        <v>251.02</v>
      </c>
      <c r="J1355" s="3">
        <v>114.25</v>
      </c>
      <c r="K1355" s="3">
        <v>247.42</v>
      </c>
      <c r="L1355" s="3"/>
      <c r="N1355" s="4"/>
    </row>
    <row r="1356" spans="1:14" ht="17.5" thickBot="1" x14ac:dyDescent="0.45">
      <c r="A1356" s="4">
        <v>44213</v>
      </c>
      <c r="B1356" s="3">
        <v>181.77</v>
      </c>
      <c r="C1356" s="3">
        <v>338.02</v>
      </c>
      <c r="D1356" s="3">
        <v>122.39</v>
      </c>
      <c r="E1356" s="3">
        <v>1.3532999999999999</v>
      </c>
      <c r="F1356" s="3">
        <v>312.83999999999997</v>
      </c>
      <c r="G1356" s="3">
        <v>293.25</v>
      </c>
      <c r="H1356" s="3">
        <v>214.14</v>
      </c>
      <c r="I1356" s="3">
        <v>251.02</v>
      </c>
      <c r="J1356" s="3">
        <v>114.25</v>
      </c>
      <c r="K1356" s="3">
        <v>247.42</v>
      </c>
      <c r="L1356" s="3"/>
      <c r="N1356" s="4"/>
    </row>
    <row r="1357" spans="1:14" ht="17.5" thickBot="1" x14ac:dyDescent="0.45">
      <c r="A1357" s="4">
        <v>44214</v>
      </c>
      <c r="B1357" s="3">
        <v>183.31</v>
      </c>
      <c r="C1357" s="3">
        <v>334.16</v>
      </c>
      <c r="D1357" s="3">
        <v>122.21</v>
      </c>
      <c r="E1357" s="3">
        <v>1.3525</v>
      </c>
      <c r="F1357" s="3">
        <v>313.94</v>
      </c>
      <c r="G1357" s="3">
        <v>293.20999999999998</v>
      </c>
      <c r="H1357" s="3">
        <v>214.66</v>
      </c>
      <c r="I1357" s="3">
        <v>251</v>
      </c>
      <c r="J1357" s="3">
        <v>114.25</v>
      </c>
      <c r="K1357" s="3">
        <v>247.73</v>
      </c>
      <c r="L1357" s="3"/>
      <c r="N1357" s="4"/>
    </row>
    <row r="1358" spans="1:14" ht="17.5" thickBot="1" x14ac:dyDescent="0.45">
      <c r="A1358" s="4">
        <v>44215</v>
      </c>
      <c r="B1358" s="3">
        <v>188.16</v>
      </c>
      <c r="C1358" s="3">
        <v>341.5</v>
      </c>
      <c r="D1358" s="3">
        <v>122.3</v>
      </c>
      <c r="E1358" s="3">
        <v>1.3591</v>
      </c>
      <c r="F1358" s="3">
        <v>317.85000000000002</v>
      </c>
      <c r="G1358" s="3">
        <v>295.77999999999997</v>
      </c>
      <c r="H1358" s="3">
        <v>217.06</v>
      </c>
      <c r="I1358" s="3">
        <v>252.56</v>
      </c>
      <c r="J1358" s="3">
        <v>114.25</v>
      </c>
      <c r="K1358" s="3">
        <v>249.68</v>
      </c>
      <c r="L1358" s="3"/>
      <c r="N1358" s="4"/>
    </row>
    <row r="1359" spans="1:14" ht="17.5" thickBot="1" x14ac:dyDescent="0.45">
      <c r="A1359" s="4">
        <v>44216</v>
      </c>
      <c r="B1359" s="3">
        <v>190.26</v>
      </c>
      <c r="C1359" s="3">
        <v>345.45</v>
      </c>
      <c r="D1359" s="3">
        <v>122.47</v>
      </c>
      <c r="E1359" s="3">
        <v>1.3681000000000001</v>
      </c>
      <c r="F1359" s="3">
        <v>321.66000000000003</v>
      </c>
      <c r="G1359" s="3">
        <v>300.02999999999997</v>
      </c>
      <c r="H1359" s="3">
        <v>219.37</v>
      </c>
      <c r="I1359" s="3">
        <v>255.44</v>
      </c>
      <c r="J1359" s="3">
        <v>114.25</v>
      </c>
      <c r="K1359" s="3">
        <v>251.48</v>
      </c>
      <c r="L1359" s="3"/>
      <c r="N1359" s="4"/>
    </row>
    <row r="1360" spans="1:14" ht="17.5" thickBot="1" x14ac:dyDescent="0.45">
      <c r="A1360" s="4">
        <v>44217</v>
      </c>
      <c r="B1360" s="3">
        <v>189.99</v>
      </c>
      <c r="C1360" s="3">
        <v>350.36</v>
      </c>
      <c r="D1360" s="3">
        <v>122.65</v>
      </c>
      <c r="E1360" s="3">
        <v>1.3687</v>
      </c>
      <c r="F1360" s="3">
        <v>322.58999999999997</v>
      </c>
      <c r="G1360" s="3">
        <v>300.60000000000002</v>
      </c>
      <c r="H1360" s="3">
        <v>220.03</v>
      </c>
      <c r="I1360" s="3">
        <v>254.93</v>
      </c>
      <c r="J1360" s="3">
        <v>114.25</v>
      </c>
      <c r="K1360" s="3">
        <v>251.99</v>
      </c>
      <c r="L1360" s="3"/>
      <c r="N1360" s="4"/>
    </row>
    <row r="1361" spans="1:14" ht="17.5" thickBot="1" x14ac:dyDescent="0.45">
      <c r="A1361" s="4">
        <v>44218</v>
      </c>
      <c r="B1361" s="3">
        <v>187.1</v>
      </c>
      <c r="C1361" s="3">
        <v>345.81</v>
      </c>
      <c r="D1361" s="3">
        <v>122.38</v>
      </c>
      <c r="E1361" s="3">
        <v>1.3649</v>
      </c>
      <c r="F1361" s="3">
        <v>320.76</v>
      </c>
      <c r="G1361" s="3">
        <v>300.01</v>
      </c>
      <c r="H1361" s="3">
        <v>218.89</v>
      </c>
      <c r="I1361" s="3">
        <v>253.43</v>
      </c>
      <c r="J1361" s="3">
        <v>114.25</v>
      </c>
      <c r="K1361" s="3">
        <v>251.12</v>
      </c>
      <c r="L1361" s="3"/>
      <c r="N1361" s="4"/>
    </row>
    <row r="1362" spans="1:14" ht="17.5" thickBot="1" x14ac:dyDescent="0.45">
      <c r="A1362" s="4">
        <v>44219</v>
      </c>
      <c r="B1362" s="3">
        <v>187.1</v>
      </c>
      <c r="C1362" s="3">
        <v>345.81</v>
      </c>
      <c r="D1362" s="3">
        <v>122.38</v>
      </c>
      <c r="E1362" s="3">
        <v>1.3649</v>
      </c>
      <c r="F1362" s="3">
        <v>320.76</v>
      </c>
      <c r="G1362" s="3">
        <v>300.01</v>
      </c>
      <c r="H1362" s="3">
        <v>218.89</v>
      </c>
      <c r="I1362" s="3">
        <v>253.43</v>
      </c>
      <c r="J1362" s="3">
        <v>114.25</v>
      </c>
      <c r="K1362" s="3">
        <v>251.12</v>
      </c>
      <c r="L1362" s="3"/>
      <c r="N1362" s="4"/>
    </row>
    <row r="1363" spans="1:14" ht="17.5" thickBot="1" x14ac:dyDescent="0.45">
      <c r="A1363" s="4">
        <v>44220</v>
      </c>
      <c r="B1363" s="3">
        <v>187.1</v>
      </c>
      <c r="C1363" s="3">
        <v>345.81</v>
      </c>
      <c r="D1363" s="3">
        <v>122.38</v>
      </c>
      <c r="E1363" s="3">
        <v>1.3649</v>
      </c>
      <c r="F1363" s="3">
        <v>320.76</v>
      </c>
      <c r="G1363" s="3">
        <v>300.01</v>
      </c>
      <c r="H1363" s="3">
        <v>218.89</v>
      </c>
      <c r="I1363" s="3">
        <v>253.43</v>
      </c>
      <c r="J1363" s="3">
        <v>114.25</v>
      </c>
      <c r="K1363" s="3">
        <v>251.12</v>
      </c>
      <c r="L1363" s="3"/>
      <c r="N1363" s="4"/>
    </row>
    <row r="1364" spans="1:14" ht="17.5" thickBot="1" x14ac:dyDescent="0.45">
      <c r="A1364" s="4">
        <v>44221</v>
      </c>
      <c r="B1364" s="3">
        <v>191.3</v>
      </c>
      <c r="C1364" s="3">
        <v>347.48</v>
      </c>
      <c r="D1364" s="3">
        <v>122.37</v>
      </c>
      <c r="E1364" s="3">
        <v>1.3684000000000001</v>
      </c>
      <c r="F1364" s="3">
        <v>323.74</v>
      </c>
      <c r="G1364" s="3">
        <v>301.43</v>
      </c>
      <c r="H1364" s="3">
        <v>220.48</v>
      </c>
      <c r="I1364" s="3">
        <v>253.76</v>
      </c>
      <c r="J1364" s="3">
        <v>114.25</v>
      </c>
      <c r="K1364" s="3">
        <v>252.43</v>
      </c>
      <c r="L1364" s="3"/>
      <c r="N1364" s="4"/>
    </row>
    <row r="1365" spans="1:14" ht="17.5" thickBot="1" x14ac:dyDescent="0.45">
      <c r="A1365" s="4">
        <v>44222</v>
      </c>
      <c r="B1365" s="3">
        <v>186.86</v>
      </c>
      <c r="C1365" s="3">
        <v>347.45</v>
      </c>
      <c r="D1365" s="3">
        <v>122.55</v>
      </c>
      <c r="E1365" s="3">
        <v>1.3658999999999999</v>
      </c>
      <c r="F1365" s="3">
        <v>320.07</v>
      </c>
      <c r="G1365" s="3">
        <v>301.05</v>
      </c>
      <c r="H1365" s="3">
        <v>218.51</v>
      </c>
      <c r="I1365" s="3">
        <v>253.8</v>
      </c>
      <c r="J1365" s="3">
        <v>114.25</v>
      </c>
      <c r="K1365" s="3">
        <v>250.97</v>
      </c>
      <c r="L1365" s="3"/>
      <c r="N1365" s="4"/>
    </row>
    <row r="1366" spans="1:14" ht="17.5" thickBot="1" x14ac:dyDescent="0.45">
      <c r="A1366" s="4">
        <v>44223</v>
      </c>
      <c r="B1366" s="3">
        <v>186.21</v>
      </c>
      <c r="C1366" s="3">
        <v>338.33</v>
      </c>
      <c r="D1366" s="3">
        <v>122.37</v>
      </c>
      <c r="E1366" s="3">
        <v>1.3498000000000001</v>
      </c>
      <c r="F1366" s="3">
        <v>315.91000000000003</v>
      </c>
      <c r="G1366" s="3">
        <v>293.7</v>
      </c>
      <c r="H1366" s="3">
        <v>215.97</v>
      </c>
      <c r="I1366" s="3">
        <v>247.64</v>
      </c>
      <c r="J1366" s="3">
        <v>114.25</v>
      </c>
      <c r="K1366" s="3">
        <v>248.88</v>
      </c>
      <c r="L1366" s="3"/>
      <c r="N1366" s="4"/>
    </row>
    <row r="1367" spans="1:14" ht="17.5" thickBot="1" x14ac:dyDescent="0.45">
      <c r="A1367" s="4">
        <v>44224</v>
      </c>
      <c r="B1367" s="3">
        <v>181.34</v>
      </c>
      <c r="C1367" s="3">
        <v>329.64</v>
      </c>
      <c r="D1367" s="3">
        <v>122.18</v>
      </c>
      <c r="E1367" s="3">
        <v>1.3516999999999999</v>
      </c>
      <c r="F1367" s="3">
        <v>312.14999999999998</v>
      </c>
      <c r="G1367" s="3">
        <v>295.94</v>
      </c>
      <c r="H1367" s="3">
        <v>213.81</v>
      </c>
      <c r="I1367" s="3">
        <v>250.11</v>
      </c>
      <c r="J1367" s="3">
        <v>114.25</v>
      </c>
      <c r="K1367" s="3">
        <v>247.14</v>
      </c>
      <c r="L1367" s="3"/>
      <c r="N1367" s="4"/>
    </row>
    <row r="1368" spans="1:14" ht="17.5" thickBot="1" x14ac:dyDescent="0.45">
      <c r="A1368" s="4">
        <v>44225</v>
      </c>
      <c r="B1368" s="3">
        <v>179.76</v>
      </c>
      <c r="C1368" s="3">
        <v>324.18</v>
      </c>
      <c r="D1368" s="3">
        <v>122.27</v>
      </c>
      <c r="E1368" s="3">
        <v>1.3362000000000001</v>
      </c>
      <c r="F1368" s="3">
        <v>307.95999999999998</v>
      </c>
      <c r="G1368" s="3">
        <v>290.06</v>
      </c>
      <c r="H1368" s="3">
        <v>211.27</v>
      </c>
      <c r="I1368" s="3">
        <v>244.43</v>
      </c>
      <c r="J1368" s="3">
        <v>114.26</v>
      </c>
      <c r="K1368" s="3">
        <v>245.13</v>
      </c>
      <c r="L1368" s="3"/>
      <c r="N1368" s="4"/>
    </row>
    <row r="1369" spans="1:14" ht="17.5" thickBot="1" x14ac:dyDescent="0.45">
      <c r="A1369" s="4">
        <v>44226</v>
      </c>
      <c r="B1369" s="3">
        <v>179.76</v>
      </c>
      <c r="C1369" s="3">
        <v>324.18</v>
      </c>
      <c r="D1369" s="3">
        <v>122.27</v>
      </c>
      <c r="E1369" s="3">
        <v>1.3362000000000001</v>
      </c>
      <c r="F1369" s="3">
        <v>307.95999999999998</v>
      </c>
      <c r="G1369" s="3">
        <v>290.06</v>
      </c>
      <c r="H1369" s="3">
        <v>211.27</v>
      </c>
      <c r="I1369" s="3">
        <v>244.43</v>
      </c>
      <c r="J1369" s="3">
        <v>114.26</v>
      </c>
      <c r="K1369" s="3">
        <v>245.13</v>
      </c>
      <c r="L1369" s="3"/>
      <c r="N1369" s="4"/>
    </row>
    <row r="1370" spans="1:14" ht="17.5" thickBot="1" x14ac:dyDescent="0.45">
      <c r="A1370" s="4">
        <v>44227</v>
      </c>
      <c r="B1370" s="3">
        <v>179.76</v>
      </c>
      <c r="C1370" s="3">
        <v>324.18</v>
      </c>
      <c r="D1370" s="3">
        <v>122.27</v>
      </c>
      <c r="E1370" s="3">
        <v>1.3362000000000001</v>
      </c>
      <c r="F1370" s="3">
        <v>307.95999999999998</v>
      </c>
      <c r="G1370" s="3">
        <v>290.06</v>
      </c>
      <c r="H1370" s="3">
        <v>211.27</v>
      </c>
      <c r="I1370" s="3">
        <v>244.43</v>
      </c>
      <c r="J1370" s="3">
        <v>114.26</v>
      </c>
      <c r="K1370" s="3">
        <v>245.13</v>
      </c>
      <c r="L1370" s="3"/>
      <c r="N1370" s="4"/>
    </row>
    <row r="1371" spans="1:14" ht="17.5" thickBot="1" x14ac:dyDescent="0.45">
      <c r="A1371" s="4">
        <v>44228</v>
      </c>
      <c r="B1371" s="3">
        <v>183.51</v>
      </c>
      <c r="C1371" s="3">
        <v>332.72</v>
      </c>
      <c r="D1371" s="3">
        <v>122</v>
      </c>
      <c r="E1371" s="3">
        <v>1.3479000000000001</v>
      </c>
      <c r="F1371" s="3">
        <v>313.20999999999998</v>
      </c>
      <c r="G1371" s="3">
        <v>294.64</v>
      </c>
      <c r="H1371" s="3">
        <v>214.27</v>
      </c>
      <c r="I1371" s="3">
        <v>248.84</v>
      </c>
      <c r="J1371" s="3">
        <v>114.26</v>
      </c>
      <c r="K1371" s="3">
        <v>247.32</v>
      </c>
      <c r="L1371" s="3"/>
      <c r="N1371" s="4"/>
    </row>
    <row r="1372" spans="1:14" ht="17.5" thickBot="1" x14ac:dyDescent="0.45">
      <c r="A1372" s="4">
        <v>44229</v>
      </c>
      <c r="B1372" s="3">
        <v>185.88</v>
      </c>
      <c r="C1372" s="3">
        <v>338.37</v>
      </c>
      <c r="D1372" s="3">
        <v>121.81</v>
      </c>
      <c r="E1372" s="3">
        <v>1.3577999999999999</v>
      </c>
      <c r="F1372" s="3">
        <v>317.39</v>
      </c>
      <c r="G1372" s="3">
        <v>298.01</v>
      </c>
      <c r="H1372" s="3">
        <v>216.69</v>
      </c>
      <c r="I1372" s="3">
        <v>252.43</v>
      </c>
      <c r="J1372" s="3">
        <v>114.26</v>
      </c>
      <c r="K1372" s="3">
        <v>248.97</v>
      </c>
      <c r="L1372" s="3"/>
      <c r="N1372" s="4"/>
    </row>
    <row r="1373" spans="1:14" ht="17.5" thickBot="1" x14ac:dyDescent="0.45">
      <c r="A1373" s="4">
        <v>44230</v>
      </c>
      <c r="B1373" s="3">
        <v>186.24</v>
      </c>
      <c r="C1373" s="3">
        <v>342.44</v>
      </c>
      <c r="D1373" s="3">
        <v>121.81</v>
      </c>
      <c r="E1373" s="3">
        <v>1.3595999999999999</v>
      </c>
      <c r="F1373" s="3">
        <v>319.35000000000002</v>
      </c>
      <c r="G1373" s="3">
        <v>298.31</v>
      </c>
      <c r="H1373" s="3">
        <v>217.84</v>
      </c>
      <c r="I1373" s="3">
        <v>252.72</v>
      </c>
      <c r="J1373" s="3">
        <v>114.26</v>
      </c>
      <c r="K1373" s="3">
        <v>249.82</v>
      </c>
      <c r="L1373" s="3"/>
      <c r="N1373" s="4"/>
    </row>
    <row r="1374" spans="1:14" ht="17.5" thickBot="1" x14ac:dyDescent="0.45">
      <c r="A1374" s="4">
        <v>44231</v>
      </c>
      <c r="B1374" s="3">
        <v>184.7</v>
      </c>
      <c r="C1374" s="3">
        <v>339.66</v>
      </c>
      <c r="D1374" s="3">
        <v>121.54</v>
      </c>
      <c r="E1374" s="3">
        <v>1.3638999999999999</v>
      </c>
      <c r="F1374" s="3">
        <v>318.8</v>
      </c>
      <c r="G1374" s="3">
        <v>301.14</v>
      </c>
      <c r="H1374" s="3">
        <v>217.45</v>
      </c>
      <c r="I1374" s="3">
        <v>254.93</v>
      </c>
      <c r="J1374" s="3">
        <v>114.26</v>
      </c>
      <c r="K1374" s="3">
        <v>249.4</v>
      </c>
      <c r="L1374" s="3"/>
      <c r="N1374" s="4"/>
    </row>
    <row r="1375" spans="1:14" ht="17.5" thickBot="1" x14ac:dyDescent="0.45">
      <c r="A1375" s="4">
        <v>44232</v>
      </c>
      <c r="B1375" s="3">
        <v>185.98</v>
      </c>
      <c r="C1375" s="3">
        <v>342.82</v>
      </c>
      <c r="D1375" s="3">
        <v>121.63</v>
      </c>
      <c r="E1375" s="3">
        <v>1.3674999999999999</v>
      </c>
      <c r="F1375" s="3">
        <v>321.08999999999997</v>
      </c>
      <c r="G1375" s="3">
        <v>302.14</v>
      </c>
      <c r="H1375" s="3">
        <v>218.74</v>
      </c>
      <c r="I1375" s="3">
        <v>256.58</v>
      </c>
      <c r="J1375" s="3">
        <v>114.26</v>
      </c>
      <c r="K1375" s="3">
        <v>250.42</v>
      </c>
      <c r="L1375" s="3"/>
      <c r="N1375" s="4"/>
    </row>
    <row r="1376" spans="1:14" ht="17.5" thickBot="1" x14ac:dyDescent="0.45">
      <c r="A1376" s="4">
        <v>44233</v>
      </c>
      <c r="B1376" s="3">
        <v>185.98</v>
      </c>
      <c r="C1376" s="3">
        <v>342.82</v>
      </c>
      <c r="D1376" s="3">
        <v>121.63</v>
      </c>
      <c r="E1376" s="3">
        <v>1.3674999999999999</v>
      </c>
      <c r="F1376" s="3">
        <v>321.08999999999997</v>
      </c>
      <c r="G1376" s="3">
        <v>302.14</v>
      </c>
      <c r="H1376" s="3">
        <v>218.74</v>
      </c>
      <c r="I1376" s="3">
        <v>256.58</v>
      </c>
      <c r="J1376" s="3">
        <v>114.26</v>
      </c>
      <c r="K1376" s="3">
        <v>250.42</v>
      </c>
      <c r="L1376" s="3"/>
      <c r="N1376" s="4"/>
    </row>
    <row r="1377" spans="1:14" ht="17.5" thickBot="1" x14ac:dyDescent="0.45">
      <c r="A1377" s="4">
        <v>44234</v>
      </c>
      <c r="B1377" s="3">
        <v>185.98</v>
      </c>
      <c r="C1377" s="3">
        <v>342.82</v>
      </c>
      <c r="D1377" s="3">
        <v>121.63</v>
      </c>
      <c r="E1377" s="3">
        <v>1.3674999999999999</v>
      </c>
      <c r="F1377" s="3">
        <v>321.08999999999997</v>
      </c>
      <c r="G1377" s="3">
        <v>302.14</v>
      </c>
      <c r="H1377" s="3">
        <v>218.74</v>
      </c>
      <c r="I1377" s="3">
        <v>256.58</v>
      </c>
      <c r="J1377" s="3">
        <v>114.26</v>
      </c>
      <c r="K1377" s="3">
        <v>250.42</v>
      </c>
      <c r="L1377" s="3"/>
      <c r="N1377" s="4"/>
    </row>
    <row r="1378" spans="1:14" ht="17.5" thickBot="1" x14ac:dyDescent="0.45">
      <c r="A1378" s="4">
        <v>44235</v>
      </c>
      <c r="B1378" s="3">
        <v>186.1</v>
      </c>
      <c r="C1378" s="3">
        <v>344.59</v>
      </c>
      <c r="D1378" s="3">
        <v>121.71</v>
      </c>
      <c r="E1378" s="3">
        <v>1.3738999999999999</v>
      </c>
      <c r="F1378" s="3">
        <v>323.44</v>
      </c>
      <c r="G1378" s="3">
        <v>304.37</v>
      </c>
      <c r="H1378" s="3">
        <v>220.1</v>
      </c>
      <c r="I1378" s="3">
        <v>258.23</v>
      </c>
      <c r="J1378" s="3">
        <v>114.26</v>
      </c>
      <c r="K1378" s="3">
        <v>251.51</v>
      </c>
      <c r="L1378" s="3"/>
      <c r="N1378" s="4"/>
    </row>
    <row r="1379" spans="1:14" ht="17.5" thickBot="1" x14ac:dyDescent="0.45">
      <c r="A1379" s="4">
        <v>44236</v>
      </c>
      <c r="B1379" s="3">
        <v>186.47</v>
      </c>
      <c r="C1379" s="3">
        <v>344.14</v>
      </c>
      <c r="D1379" s="3">
        <v>121.98</v>
      </c>
      <c r="E1379" s="3">
        <v>1.3751</v>
      </c>
      <c r="F1379" s="3">
        <v>324.89</v>
      </c>
      <c r="G1379" s="3">
        <v>304.29000000000002</v>
      </c>
      <c r="H1379" s="3">
        <v>220.95</v>
      </c>
      <c r="I1379" s="3">
        <v>258.20999999999998</v>
      </c>
      <c r="J1379" s="3">
        <v>114.26</v>
      </c>
      <c r="K1379" s="3">
        <v>252.28</v>
      </c>
      <c r="L1379" s="3"/>
      <c r="N1379" s="4"/>
    </row>
    <row r="1380" spans="1:14" ht="17.5" thickBot="1" x14ac:dyDescent="0.45">
      <c r="A1380" s="4">
        <v>44237</v>
      </c>
      <c r="B1380" s="3">
        <v>190.49</v>
      </c>
      <c r="C1380" s="3">
        <v>345.91</v>
      </c>
      <c r="D1380" s="3">
        <v>122.07</v>
      </c>
      <c r="E1380" s="3">
        <v>1.377</v>
      </c>
      <c r="F1380" s="3">
        <v>327.7</v>
      </c>
      <c r="G1380" s="3">
        <v>304.2</v>
      </c>
      <c r="H1380" s="3">
        <v>222.62</v>
      </c>
      <c r="I1380" s="3">
        <v>258.02999999999997</v>
      </c>
      <c r="J1380" s="3">
        <v>114.26</v>
      </c>
      <c r="K1380" s="3">
        <v>253.64</v>
      </c>
      <c r="L1380" s="3"/>
      <c r="N1380" s="4"/>
    </row>
    <row r="1381" spans="1:14" ht="17.5" thickBot="1" x14ac:dyDescent="0.45">
      <c r="A1381" s="4">
        <v>44238</v>
      </c>
      <c r="B1381" s="3">
        <v>191.15</v>
      </c>
      <c r="C1381" s="3">
        <v>345.9</v>
      </c>
      <c r="D1381" s="3">
        <v>122.24</v>
      </c>
      <c r="E1381" s="3">
        <v>1.3792</v>
      </c>
      <c r="F1381" s="3">
        <v>328.74</v>
      </c>
      <c r="G1381" s="3">
        <v>304.7</v>
      </c>
      <c r="H1381" s="3">
        <v>223.23</v>
      </c>
      <c r="I1381" s="3">
        <v>258.39999999999998</v>
      </c>
      <c r="J1381" s="3">
        <v>114.26</v>
      </c>
      <c r="K1381" s="3">
        <v>254.12</v>
      </c>
      <c r="L1381" s="3"/>
      <c r="N1381" s="4"/>
    </row>
    <row r="1382" spans="1:14" ht="17.5" thickBot="1" x14ac:dyDescent="0.45">
      <c r="A1382" s="4">
        <v>44239</v>
      </c>
      <c r="B1382" s="3">
        <v>191.15</v>
      </c>
      <c r="C1382" s="3">
        <v>345.9</v>
      </c>
      <c r="D1382" s="3">
        <v>122.24</v>
      </c>
      <c r="E1382" s="3">
        <v>1.3792</v>
      </c>
      <c r="F1382" s="3">
        <v>328.74</v>
      </c>
      <c r="G1382" s="3">
        <v>304.7</v>
      </c>
      <c r="H1382" s="3">
        <v>223.23</v>
      </c>
      <c r="I1382" s="3">
        <v>258.39999999999998</v>
      </c>
      <c r="J1382" s="3">
        <v>114.26</v>
      </c>
      <c r="K1382" s="3">
        <v>254.12</v>
      </c>
      <c r="L1382" s="3"/>
      <c r="N1382" s="4"/>
    </row>
    <row r="1383" spans="1:14" ht="17.5" thickBot="1" x14ac:dyDescent="0.45">
      <c r="A1383" s="4">
        <v>44240</v>
      </c>
      <c r="B1383" s="3">
        <v>191.15</v>
      </c>
      <c r="C1383" s="3">
        <v>345.9</v>
      </c>
      <c r="D1383" s="3">
        <v>122.24</v>
      </c>
      <c r="E1383" s="3">
        <v>1.3792</v>
      </c>
      <c r="F1383" s="3">
        <v>328.74</v>
      </c>
      <c r="G1383" s="3">
        <v>304.7</v>
      </c>
      <c r="H1383" s="3">
        <v>223.23</v>
      </c>
      <c r="I1383" s="3">
        <v>258.39999999999998</v>
      </c>
      <c r="J1383" s="3">
        <v>114.26</v>
      </c>
      <c r="K1383" s="3">
        <v>254.12</v>
      </c>
      <c r="L1383" s="3"/>
      <c r="N1383" s="4"/>
    </row>
    <row r="1384" spans="1:14" ht="17.5" thickBot="1" x14ac:dyDescent="0.45">
      <c r="A1384" s="4">
        <v>44241</v>
      </c>
      <c r="B1384" s="3">
        <v>191.15</v>
      </c>
      <c r="C1384" s="3">
        <v>345.9</v>
      </c>
      <c r="D1384" s="3">
        <v>122.24</v>
      </c>
      <c r="E1384" s="3">
        <v>1.3792</v>
      </c>
      <c r="F1384" s="3">
        <v>328.74</v>
      </c>
      <c r="G1384" s="3">
        <v>304.7</v>
      </c>
      <c r="H1384" s="3">
        <v>223.23</v>
      </c>
      <c r="I1384" s="3">
        <v>258.39999999999998</v>
      </c>
      <c r="J1384" s="3">
        <v>114.26</v>
      </c>
      <c r="K1384" s="3">
        <v>254.12</v>
      </c>
      <c r="L1384" s="3"/>
      <c r="N1384" s="4"/>
    </row>
    <row r="1385" spans="1:14" ht="17.5" thickBot="1" x14ac:dyDescent="0.45">
      <c r="A1385" s="4">
        <v>44242</v>
      </c>
      <c r="B1385" s="3">
        <v>191.15</v>
      </c>
      <c r="C1385" s="3">
        <v>345.9</v>
      </c>
      <c r="D1385" s="3">
        <v>122.24</v>
      </c>
      <c r="E1385" s="3">
        <v>1.3792</v>
      </c>
      <c r="F1385" s="3">
        <v>328.74</v>
      </c>
      <c r="G1385" s="3">
        <v>304.7</v>
      </c>
      <c r="H1385" s="3">
        <v>223.23</v>
      </c>
      <c r="I1385" s="3">
        <v>258.39999999999998</v>
      </c>
      <c r="J1385" s="3">
        <v>114.26</v>
      </c>
      <c r="K1385" s="3">
        <v>254.12</v>
      </c>
      <c r="L1385" s="3"/>
      <c r="N1385" s="4"/>
    </row>
    <row r="1386" spans="1:14" ht="17.5" thickBot="1" x14ac:dyDescent="0.45">
      <c r="A1386" s="4">
        <v>44243</v>
      </c>
      <c r="B1386" s="3">
        <v>194.59</v>
      </c>
      <c r="C1386" s="3">
        <v>351.03</v>
      </c>
      <c r="D1386" s="3">
        <v>121.96</v>
      </c>
      <c r="E1386" s="3">
        <v>1.3815999999999999</v>
      </c>
      <c r="F1386" s="3">
        <v>332.48</v>
      </c>
      <c r="G1386" s="3">
        <v>305.43</v>
      </c>
      <c r="H1386" s="3">
        <v>225.31</v>
      </c>
      <c r="I1386" s="3">
        <v>259.85000000000002</v>
      </c>
      <c r="J1386" s="3">
        <v>114.26</v>
      </c>
      <c r="K1386" s="3">
        <v>255.19</v>
      </c>
      <c r="L1386" s="3"/>
      <c r="N1386" s="4"/>
    </row>
    <row r="1387" spans="1:14" ht="17.5" thickBot="1" x14ac:dyDescent="0.45">
      <c r="A1387" s="4">
        <v>44244</v>
      </c>
      <c r="B1387" s="3">
        <v>196.88</v>
      </c>
      <c r="C1387" s="3">
        <v>352.25</v>
      </c>
      <c r="D1387" s="3">
        <v>121.33</v>
      </c>
      <c r="E1387" s="3">
        <v>1.3793</v>
      </c>
      <c r="F1387" s="3">
        <v>333</v>
      </c>
      <c r="G1387" s="3">
        <v>305.49</v>
      </c>
      <c r="H1387" s="3">
        <v>225.43</v>
      </c>
      <c r="I1387" s="3">
        <v>259.85000000000002</v>
      </c>
      <c r="J1387" s="3">
        <v>114.26</v>
      </c>
      <c r="K1387" s="3">
        <v>255.15</v>
      </c>
      <c r="L1387" s="3"/>
      <c r="N1387" s="4"/>
    </row>
    <row r="1388" spans="1:14" ht="17.5" thickBot="1" x14ac:dyDescent="0.45">
      <c r="A1388" s="4">
        <v>44245</v>
      </c>
      <c r="B1388" s="3">
        <v>193.95</v>
      </c>
      <c r="C1388" s="3">
        <v>350.73</v>
      </c>
      <c r="D1388" s="3">
        <v>121.42</v>
      </c>
      <c r="E1388" s="3">
        <v>1.3738999999999999</v>
      </c>
      <c r="F1388" s="3">
        <v>329.04</v>
      </c>
      <c r="G1388" s="3">
        <v>304.02</v>
      </c>
      <c r="H1388" s="3">
        <v>223.23</v>
      </c>
      <c r="I1388" s="3">
        <v>258.25</v>
      </c>
      <c r="J1388" s="3">
        <v>114.26</v>
      </c>
      <c r="K1388" s="3">
        <v>253.5</v>
      </c>
      <c r="L1388" s="3"/>
      <c r="N1388" s="4"/>
    </row>
    <row r="1389" spans="1:14" ht="17.5" thickBot="1" x14ac:dyDescent="0.45">
      <c r="A1389" s="4">
        <v>44246</v>
      </c>
      <c r="B1389" s="3">
        <v>194.27</v>
      </c>
      <c r="C1389" s="3">
        <v>350.49</v>
      </c>
      <c r="D1389" s="3">
        <v>121.59</v>
      </c>
      <c r="E1389" s="3">
        <v>1.3732</v>
      </c>
      <c r="F1389" s="3">
        <v>329.7</v>
      </c>
      <c r="G1389" s="3">
        <v>303.27</v>
      </c>
      <c r="H1389" s="3">
        <v>223.68</v>
      </c>
      <c r="I1389" s="3">
        <v>257.95</v>
      </c>
      <c r="J1389" s="3">
        <v>114.26</v>
      </c>
      <c r="K1389" s="3">
        <v>253.79</v>
      </c>
      <c r="L1389" s="3"/>
      <c r="N1389" s="4"/>
    </row>
    <row r="1390" spans="1:14" ht="17.5" thickBot="1" x14ac:dyDescent="0.45">
      <c r="A1390" s="4">
        <v>44247</v>
      </c>
      <c r="B1390" s="3">
        <v>194.27</v>
      </c>
      <c r="C1390" s="3">
        <v>350.49</v>
      </c>
      <c r="D1390" s="3">
        <v>121.59</v>
      </c>
      <c r="E1390" s="3">
        <v>1.3732</v>
      </c>
      <c r="F1390" s="3">
        <v>329.7</v>
      </c>
      <c r="G1390" s="3">
        <v>303.27</v>
      </c>
      <c r="H1390" s="3">
        <v>223.68</v>
      </c>
      <c r="I1390" s="3">
        <v>257.95</v>
      </c>
      <c r="J1390" s="3">
        <v>114.26</v>
      </c>
      <c r="K1390" s="3">
        <v>253.79</v>
      </c>
      <c r="L1390" s="3"/>
      <c r="N1390" s="4"/>
    </row>
    <row r="1391" spans="1:14" ht="17.5" thickBot="1" x14ac:dyDescent="0.45">
      <c r="A1391" s="4">
        <v>44248</v>
      </c>
      <c r="B1391" s="3">
        <v>194.27</v>
      </c>
      <c r="C1391" s="3">
        <v>350.49</v>
      </c>
      <c r="D1391" s="3">
        <v>121.59</v>
      </c>
      <c r="E1391" s="3">
        <v>1.3732</v>
      </c>
      <c r="F1391" s="3">
        <v>329.7</v>
      </c>
      <c r="G1391" s="3">
        <v>303.27</v>
      </c>
      <c r="H1391" s="3">
        <v>223.68</v>
      </c>
      <c r="I1391" s="3">
        <v>257.95</v>
      </c>
      <c r="J1391" s="3">
        <v>114.26</v>
      </c>
      <c r="K1391" s="3">
        <v>253.79</v>
      </c>
      <c r="L1391" s="3"/>
      <c r="N1391" s="4"/>
    </row>
    <row r="1392" spans="1:14" ht="17.5" thickBot="1" x14ac:dyDescent="0.45">
      <c r="A1392" s="4">
        <v>44249</v>
      </c>
      <c r="B1392" s="3">
        <v>192.13</v>
      </c>
      <c r="C1392" s="3">
        <v>348.5</v>
      </c>
      <c r="D1392" s="3">
        <v>121.13</v>
      </c>
      <c r="E1392" s="3">
        <v>1.3669</v>
      </c>
      <c r="F1392" s="3">
        <v>325.92</v>
      </c>
      <c r="G1392" s="3">
        <v>300.42</v>
      </c>
      <c r="H1392" s="3">
        <v>221.52</v>
      </c>
      <c r="I1392" s="3">
        <v>254.05</v>
      </c>
      <c r="J1392" s="3">
        <v>114.26</v>
      </c>
      <c r="K1392" s="3">
        <v>252.09</v>
      </c>
      <c r="L1392" s="3"/>
      <c r="N1392" s="4"/>
    </row>
    <row r="1393" spans="1:14" ht="17.5" thickBot="1" x14ac:dyDescent="0.45">
      <c r="A1393" s="4">
        <v>44250</v>
      </c>
      <c r="B1393" s="3">
        <v>193.68</v>
      </c>
      <c r="C1393" s="3">
        <v>349.05</v>
      </c>
      <c r="D1393" s="3">
        <v>121.13</v>
      </c>
      <c r="E1393" s="3">
        <v>1.3663000000000001</v>
      </c>
      <c r="F1393" s="3">
        <v>325.87</v>
      </c>
      <c r="G1393" s="3">
        <v>300.55</v>
      </c>
      <c r="H1393" s="3">
        <v>221.48</v>
      </c>
      <c r="I1393" s="3">
        <v>255.3</v>
      </c>
      <c r="J1393" s="3">
        <v>114.26</v>
      </c>
      <c r="K1393" s="3">
        <v>251.99</v>
      </c>
      <c r="L1393" s="3"/>
      <c r="N1393" s="4"/>
    </row>
    <row r="1394" spans="1:14" ht="17.5" thickBot="1" x14ac:dyDescent="0.45">
      <c r="A1394" s="4">
        <v>44251</v>
      </c>
      <c r="B1394" s="3">
        <v>187.73</v>
      </c>
      <c r="C1394" s="3">
        <v>345.24</v>
      </c>
      <c r="D1394" s="3">
        <v>121.31</v>
      </c>
      <c r="E1394" s="3">
        <v>1.3668</v>
      </c>
      <c r="F1394" s="3">
        <v>320.73</v>
      </c>
      <c r="G1394" s="3">
        <v>303.45</v>
      </c>
      <c r="H1394" s="3">
        <v>218.56</v>
      </c>
      <c r="I1394" s="3">
        <v>258.11</v>
      </c>
      <c r="J1394" s="3">
        <v>114.26</v>
      </c>
      <c r="K1394" s="3">
        <v>249.57</v>
      </c>
      <c r="L1394" s="3"/>
      <c r="N1394" s="4"/>
    </row>
    <row r="1395" spans="1:14" ht="17.5" thickBot="1" x14ac:dyDescent="0.45">
      <c r="A1395" s="4">
        <v>44252</v>
      </c>
      <c r="B1395" s="3">
        <v>190.58</v>
      </c>
      <c r="C1395" s="3">
        <v>351.93</v>
      </c>
      <c r="D1395" s="3">
        <v>120.95</v>
      </c>
      <c r="E1395" s="3">
        <v>1.3547</v>
      </c>
      <c r="F1395" s="3">
        <v>322.18</v>
      </c>
      <c r="G1395" s="3">
        <v>296.14</v>
      </c>
      <c r="H1395" s="3">
        <v>219.39</v>
      </c>
      <c r="I1395" s="3">
        <v>250.99</v>
      </c>
      <c r="J1395" s="3">
        <v>114.26</v>
      </c>
      <c r="K1395" s="3">
        <v>249.94</v>
      </c>
      <c r="L1395" s="3"/>
      <c r="N1395" s="4"/>
    </row>
    <row r="1396" spans="1:14" ht="17.5" thickBot="1" x14ac:dyDescent="0.45">
      <c r="A1396" s="4">
        <v>44253</v>
      </c>
      <c r="B1396" s="3">
        <v>183.64</v>
      </c>
      <c r="C1396" s="3">
        <v>336.89</v>
      </c>
      <c r="D1396" s="3">
        <v>119.86</v>
      </c>
      <c r="E1396" s="3">
        <v>1.3438000000000001</v>
      </c>
      <c r="F1396" s="3">
        <v>313.10000000000002</v>
      </c>
      <c r="G1396" s="3">
        <v>294.94</v>
      </c>
      <c r="H1396" s="3">
        <v>213.97</v>
      </c>
      <c r="I1396" s="3">
        <v>249.21</v>
      </c>
      <c r="J1396" s="3">
        <v>114.27</v>
      </c>
      <c r="K1396" s="3">
        <v>245.71</v>
      </c>
      <c r="L1396" s="3"/>
      <c r="N1396" s="4"/>
    </row>
    <row r="1397" spans="1:14" ht="17.5" thickBot="1" x14ac:dyDescent="0.45">
      <c r="A1397" s="4">
        <v>44254</v>
      </c>
      <c r="B1397" s="3">
        <v>183.64</v>
      </c>
      <c r="C1397" s="3">
        <v>336.89</v>
      </c>
      <c r="D1397" s="3">
        <v>119.86</v>
      </c>
      <c r="E1397" s="3">
        <v>1.3438000000000001</v>
      </c>
      <c r="F1397" s="3">
        <v>313.10000000000002</v>
      </c>
      <c r="G1397" s="3">
        <v>294.94</v>
      </c>
      <c r="H1397" s="3">
        <v>213.97</v>
      </c>
      <c r="I1397" s="3">
        <v>249.21</v>
      </c>
      <c r="J1397" s="3">
        <v>114.27</v>
      </c>
      <c r="K1397" s="3">
        <v>245.71</v>
      </c>
      <c r="L1397" s="3"/>
      <c r="N1397" s="4"/>
    </row>
    <row r="1398" spans="1:14" ht="17.5" thickBot="1" x14ac:dyDescent="0.45">
      <c r="A1398" s="4">
        <v>44255</v>
      </c>
      <c r="B1398" s="3">
        <v>183.64</v>
      </c>
      <c r="C1398" s="3">
        <v>336.89</v>
      </c>
      <c r="D1398" s="3">
        <v>119.86</v>
      </c>
      <c r="E1398" s="3">
        <v>1.3438000000000001</v>
      </c>
      <c r="F1398" s="3">
        <v>313.10000000000002</v>
      </c>
      <c r="G1398" s="3">
        <v>294.94</v>
      </c>
      <c r="H1398" s="3">
        <v>213.97</v>
      </c>
      <c r="I1398" s="3">
        <v>249.21</v>
      </c>
      <c r="J1398" s="3">
        <v>114.27</v>
      </c>
      <c r="K1398" s="3">
        <v>245.71</v>
      </c>
      <c r="L1398" s="3"/>
      <c r="N1398" s="4"/>
    </row>
    <row r="1399" spans="1:14" ht="17.5" thickBot="1" x14ac:dyDescent="0.45">
      <c r="A1399" s="4">
        <v>44256</v>
      </c>
      <c r="B1399" s="3">
        <v>185.99</v>
      </c>
      <c r="C1399" s="3">
        <v>336.91</v>
      </c>
      <c r="D1399" s="3">
        <v>120.04</v>
      </c>
      <c r="E1399" s="3">
        <v>1.3613999999999999</v>
      </c>
      <c r="F1399" s="3">
        <v>318.58999999999997</v>
      </c>
      <c r="G1399" s="3">
        <v>301.83999999999997</v>
      </c>
      <c r="H1399" s="3">
        <v>217.17</v>
      </c>
      <c r="I1399" s="3">
        <v>254.8</v>
      </c>
      <c r="J1399" s="3">
        <v>114.27</v>
      </c>
      <c r="K1399" s="3">
        <v>248.22</v>
      </c>
      <c r="L1399" s="3"/>
      <c r="N1399" s="4"/>
    </row>
    <row r="1400" spans="1:14" ht="17.5" thickBot="1" x14ac:dyDescent="0.45">
      <c r="A1400" s="4">
        <v>44257</v>
      </c>
      <c r="B1400" s="3">
        <v>183.92</v>
      </c>
      <c r="C1400" s="3">
        <v>343.19</v>
      </c>
      <c r="D1400" s="3">
        <v>120.03</v>
      </c>
      <c r="E1400" s="3">
        <v>1.3586</v>
      </c>
      <c r="F1400" s="3">
        <v>317.69</v>
      </c>
      <c r="G1400" s="3">
        <v>299.62</v>
      </c>
      <c r="H1400" s="3">
        <v>216.77</v>
      </c>
      <c r="I1400" s="3">
        <v>253.56</v>
      </c>
      <c r="J1400" s="3">
        <v>114.27</v>
      </c>
      <c r="K1400" s="3">
        <v>248.06</v>
      </c>
      <c r="L1400" s="3"/>
      <c r="N1400" s="4"/>
    </row>
    <row r="1401" spans="1:14" ht="17.5" thickBot="1" x14ac:dyDescent="0.45">
      <c r="A1401" s="4">
        <v>44258</v>
      </c>
      <c r="B1401" s="3">
        <v>188.74</v>
      </c>
      <c r="C1401" s="3">
        <v>348.98</v>
      </c>
      <c r="D1401" s="3">
        <v>120.03</v>
      </c>
      <c r="E1401" s="3">
        <v>1.3521000000000001</v>
      </c>
      <c r="F1401" s="3">
        <v>319.72000000000003</v>
      </c>
      <c r="G1401" s="3">
        <v>295.82</v>
      </c>
      <c r="H1401" s="3">
        <v>217.99</v>
      </c>
      <c r="I1401" s="3">
        <v>250.48</v>
      </c>
      <c r="J1401" s="3">
        <v>114.27</v>
      </c>
      <c r="K1401" s="3">
        <v>248.82</v>
      </c>
      <c r="L1401" s="3"/>
      <c r="N1401" s="4"/>
    </row>
    <row r="1402" spans="1:14" ht="17.5" thickBot="1" x14ac:dyDescent="0.45">
      <c r="A1402" s="4">
        <v>44259</v>
      </c>
      <c r="B1402" s="3">
        <v>184.86</v>
      </c>
      <c r="C1402" s="3">
        <v>343.23</v>
      </c>
      <c r="D1402" s="3">
        <v>119.76</v>
      </c>
      <c r="E1402" s="3">
        <v>1.3411</v>
      </c>
      <c r="F1402" s="3">
        <v>313.05</v>
      </c>
      <c r="G1402" s="3">
        <v>291.94</v>
      </c>
      <c r="H1402" s="3">
        <v>214.16</v>
      </c>
      <c r="I1402" s="3">
        <v>247.55</v>
      </c>
      <c r="J1402" s="3">
        <v>114.27</v>
      </c>
      <c r="K1402" s="3">
        <v>245.72</v>
      </c>
      <c r="L1402" s="3"/>
      <c r="N1402" s="4"/>
    </row>
    <row r="1403" spans="1:14" ht="17.5" thickBot="1" x14ac:dyDescent="0.45">
      <c r="A1403" s="4">
        <v>44260</v>
      </c>
      <c r="B1403" s="3">
        <v>183.68</v>
      </c>
      <c r="C1403" s="3">
        <v>339.57</v>
      </c>
      <c r="D1403" s="3">
        <v>118.94</v>
      </c>
      <c r="E1403" s="3">
        <v>1.3467</v>
      </c>
      <c r="F1403" s="3">
        <v>312.12</v>
      </c>
      <c r="G1403" s="3">
        <v>298.24</v>
      </c>
      <c r="H1403" s="3">
        <v>213.54</v>
      </c>
      <c r="I1403" s="3">
        <v>252.13</v>
      </c>
      <c r="J1403" s="3">
        <v>114.27</v>
      </c>
      <c r="K1403" s="3">
        <v>245</v>
      </c>
      <c r="L1403" s="3"/>
      <c r="N1403" s="4"/>
    </row>
    <row r="1404" spans="1:14" ht="17.5" thickBot="1" x14ac:dyDescent="0.45">
      <c r="A1404" s="4">
        <v>44261</v>
      </c>
      <c r="B1404" s="3">
        <v>183.68</v>
      </c>
      <c r="C1404" s="3">
        <v>339.57</v>
      </c>
      <c r="D1404" s="3">
        <v>118.94</v>
      </c>
      <c r="E1404" s="3">
        <v>1.3467</v>
      </c>
      <c r="F1404" s="3">
        <v>312.12</v>
      </c>
      <c r="G1404" s="3">
        <v>298.24</v>
      </c>
      <c r="H1404" s="3">
        <v>213.54</v>
      </c>
      <c r="I1404" s="3">
        <v>252.13</v>
      </c>
      <c r="J1404" s="3">
        <v>114.27</v>
      </c>
      <c r="K1404" s="3">
        <v>245</v>
      </c>
      <c r="L1404" s="3"/>
      <c r="N1404" s="4"/>
    </row>
    <row r="1405" spans="1:14" ht="17.5" thickBot="1" x14ac:dyDescent="0.45">
      <c r="A1405" s="4">
        <v>44262</v>
      </c>
      <c r="B1405" s="3">
        <v>183.68</v>
      </c>
      <c r="C1405" s="3">
        <v>339.57</v>
      </c>
      <c r="D1405" s="3">
        <v>118.94</v>
      </c>
      <c r="E1405" s="3">
        <v>1.3467</v>
      </c>
      <c r="F1405" s="3">
        <v>312.12</v>
      </c>
      <c r="G1405" s="3">
        <v>298.24</v>
      </c>
      <c r="H1405" s="3">
        <v>213.54</v>
      </c>
      <c r="I1405" s="3">
        <v>252.13</v>
      </c>
      <c r="J1405" s="3">
        <v>114.27</v>
      </c>
      <c r="K1405" s="3">
        <v>245</v>
      </c>
      <c r="L1405" s="3"/>
      <c r="N1405" s="4"/>
    </row>
    <row r="1406" spans="1:14" ht="17.5" thickBot="1" x14ac:dyDescent="0.45">
      <c r="A1406" s="4">
        <v>44263</v>
      </c>
      <c r="B1406" s="3">
        <v>180.31</v>
      </c>
      <c r="C1406" s="3">
        <v>337.89</v>
      </c>
      <c r="D1406" s="3">
        <v>118.48</v>
      </c>
      <c r="E1406" s="3">
        <v>1.3435999999999999</v>
      </c>
      <c r="F1406" s="3">
        <v>308.55</v>
      </c>
      <c r="G1406" s="3">
        <v>296.79000000000002</v>
      </c>
      <c r="H1406" s="3">
        <v>211.54</v>
      </c>
      <c r="I1406" s="3">
        <v>249.87</v>
      </c>
      <c r="J1406" s="3">
        <v>114.27</v>
      </c>
      <c r="K1406" s="3">
        <v>243.28</v>
      </c>
      <c r="L1406" s="3"/>
      <c r="N1406" s="4"/>
    </row>
    <row r="1407" spans="1:14" ht="17.5" thickBot="1" x14ac:dyDescent="0.45">
      <c r="A1407" s="4">
        <v>44264</v>
      </c>
      <c r="B1407" s="3">
        <v>181.32</v>
      </c>
      <c r="C1407" s="3">
        <v>337.05</v>
      </c>
      <c r="D1407" s="3">
        <v>118.3</v>
      </c>
      <c r="E1407" s="3">
        <v>1.3541000000000001</v>
      </c>
      <c r="F1407" s="3">
        <v>310.70999999999998</v>
      </c>
      <c r="G1407" s="3">
        <v>300.81</v>
      </c>
      <c r="H1407" s="3">
        <v>212.8</v>
      </c>
      <c r="I1407" s="3">
        <v>253.36</v>
      </c>
      <c r="J1407" s="3">
        <v>114.27</v>
      </c>
      <c r="K1407" s="3">
        <v>244.33</v>
      </c>
      <c r="L1407" s="3"/>
      <c r="N1407" s="4"/>
    </row>
    <row r="1408" spans="1:14" ht="17.5" thickBot="1" x14ac:dyDescent="0.45">
      <c r="A1408" s="4">
        <v>44265</v>
      </c>
      <c r="B1408" s="3">
        <v>182.49</v>
      </c>
      <c r="C1408" s="3">
        <v>335.56</v>
      </c>
      <c r="D1408" s="3">
        <v>118.48</v>
      </c>
      <c r="E1408" s="3">
        <v>1.359</v>
      </c>
      <c r="F1408" s="3">
        <v>312.98</v>
      </c>
      <c r="G1408" s="3">
        <v>302.47000000000003</v>
      </c>
      <c r="H1408" s="3">
        <v>214.04</v>
      </c>
      <c r="I1408" s="3">
        <v>255.65</v>
      </c>
      <c r="J1408" s="3">
        <v>114.27</v>
      </c>
      <c r="K1408" s="3">
        <v>245.35</v>
      </c>
      <c r="L1408" s="3"/>
      <c r="N1408" s="4"/>
    </row>
    <row r="1409" spans="1:14" ht="17.5" thickBot="1" x14ac:dyDescent="0.45">
      <c r="A1409" s="4">
        <v>44266</v>
      </c>
      <c r="B1409" s="3">
        <v>185.52</v>
      </c>
      <c r="C1409" s="3">
        <v>341.16</v>
      </c>
      <c r="D1409" s="3">
        <v>119.11</v>
      </c>
      <c r="E1409" s="3">
        <v>1.3689</v>
      </c>
      <c r="F1409" s="3">
        <v>318.14999999999998</v>
      </c>
      <c r="G1409" s="3">
        <v>305.64999999999998</v>
      </c>
      <c r="H1409" s="3">
        <v>217.05</v>
      </c>
      <c r="I1409" s="3">
        <v>258.98</v>
      </c>
      <c r="J1409" s="3">
        <v>114.27</v>
      </c>
      <c r="K1409" s="3">
        <v>247.83</v>
      </c>
      <c r="L1409" s="3"/>
      <c r="N1409" s="4"/>
    </row>
    <row r="1410" spans="1:14" ht="17.5" thickBot="1" x14ac:dyDescent="0.45">
      <c r="A1410" s="4">
        <v>44267</v>
      </c>
      <c r="B1410" s="3">
        <v>182.2</v>
      </c>
      <c r="C1410" s="3">
        <v>342.54</v>
      </c>
      <c r="D1410" s="3">
        <v>118.66</v>
      </c>
      <c r="E1410" s="3">
        <v>1.3668</v>
      </c>
      <c r="F1410" s="3">
        <v>316.70999999999998</v>
      </c>
      <c r="G1410" s="3">
        <v>306.02</v>
      </c>
      <c r="H1410" s="3">
        <v>216.13</v>
      </c>
      <c r="I1410" s="3">
        <v>258.89999999999998</v>
      </c>
      <c r="J1410" s="3">
        <v>114.27</v>
      </c>
      <c r="K1410" s="3">
        <v>246.81</v>
      </c>
      <c r="L1410" s="3"/>
      <c r="N1410" s="4"/>
    </row>
    <row r="1411" spans="1:14" ht="17.5" thickBot="1" x14ac:dyDescent="0.45">
      <c r="A1411" s="4">
        <v>44268</v>
      </c>
      <c r="B1411" s="3">
        <v>182.2</v>
      </c>
      <c r="C1411" s="3">
        <v>342.54</v>
      </c>
      <c r="D1411" s="3">
        <v>118.66</v>
      </c>
      <c r="E1411" s="3">
        <v>1.3668</v>
      </c>
      <c r="F1411" s="3">
        <v>316.70999999999998</v>
      </c>
      <c r="G1411" s="3">
        <v>306.02</v>
      </c>
      <c r="H1411" s="3">
        <v>216.13</v>
      </c>
      <c r="I1411" s="3">
        <v>258.89999999999998</v>
      </c>
      <c r="J1411" s="3">
        <v>114.27</v>
      </c>
      <c r="K1411" s="3">
        <v>246.81</v>
      </c>
      <c r="L1411" s="3"/>
      <c r="N1411" s="4"/>
    </row>
    <row r="1412" spans="1:14" ht="17.5" thickBot="1" x14ac:dyDescent="0.45">
      <c r="A1412" s="4">
        <v>44269</v>
      </c>
      <c r="B1412" s="3">
        <v>182.2</v>
      </c>
      <c r="C1412" s="3">
        <v>342.54</v>
      </c>
      <c r="D1412" s="3">
        <v>118.66</v>
      </c>
      <c r="E1412" s="3">
        <v>1.3668</v>
      </c>
      <c r="F1412" s="3">
        <v>316.70999999999998</v>
      </c>
      <c r="G1412" s="3">
        <v>306.02</v>
      </c>
      <c r="H1412" s="3">
        <v>216.13</v>
      </c>
      <c r="I1412" s="3">
        <v>258.89999999999998</v>
      </c>
      <c r="J1412" s="3">
        <v>114.27</v>
      </c>
      <c r="K1412" s="3">
        <v>246.81</v>
      </c>
      <c r="L1412" s="3"/>
      <c r="N1412" s="4"/>
    </row>
    <row r="1413" spans="1:14" ht="17.5" thickBot="1" x14ac:dyDescent="0.45">
      <c r="A1413" s="4">
        <v>44270</v>
      </c>
      <c r="B1413" s="3">
        <v>182.69</v>
      </c>
      <c r="C1413" s="3">
        <v>340.89</v>
      </c>
      <c r="D1413" s="3">
        <v>118.47</v>
      </c>
      <c r="E1413" s="3">
        <v>1.3705000000000001</v>
      </c>
      <c r="F1413" s="3">
        <v>316.08</v>
      </c>
      <c r="G1413" s="3">
        <v>308.27999999999997</v>
      </c>
      <c r="H1413" s="3">
        <v>215.8</v>
      </c>
      <c r="I1413" s="3">
        <v>260.17</v>
      </c>
      <c r="J1413" s="3">
        <v>114.27</v>
      </c>
      <c r="K1413" s="3">
        <v>246.6</v>
      </c>
      <c r="L1413" s="3"/>
      <c r="N1413" s="4"/>
    </row>
    <row r="1414" spans="1:14" ht="17.5" thickBot="1" x14ac:dyDescent="0.45">
      <c r="A1414" s="4">
        <v>44271</v>
      </c>
      <c r="B1414" s="3">
        <v>183.87</v>
      </c>
      <c r="C1414" s="3">
        <v>343.4</v>
      </c>
      <c r="D1414" s="3">
        <v>118.74</v>
      </c>
      <c r="E1414" s="3">
        <v>1.3715999999999999</v>
      </c>
      <c r="F1414" s="3">
        <v>317.88</v>
      </c>
      <c r="G1414" s="3">
        <v>308.19</v>
      </c>
      <c r="H1414" s="3">
        <v>216.91</v>
      </c>
      <c r="I1414" s="3">
        <v>259.64</v>
      </c>
      <c r="J1414" s="3">
        <v>114.27</v>
      </c>
      <c r="K1414" s="3">
        <v>247.43</v>
      </c>
      <c r="L1414" s="3"/>
      <c r="N1414" s="4"/>
    </row>
    <row r="1415" spans="1:14" ht="17.5" thickBot="1" x14ac:dyDescent="0.45">
      <c r="A1415" s="4">
        <v>44272</v>
      </c>
      <c r="B1415" s="3">
        <v>184.17</v>
      </c>
      <c r="C1415" s="3">
        <v>340.05</v>
      </c>
      <c r="D1415" s="3">
        <v>118.47</v>
      </c>
      <c r="E1415" s="3">
        <v>1.3706</v>
      </c>
      <c r="F1415" s="3">
        <v>318.04000000000002</v>
      </c>
      <c r="G1415" s="3">
        <v>309.11</v>
      </c>
      <c r="H1415" s="3">
        <v>216.92</v>
      </c>
      <c r="I1415" s="3">
        <v>260.93</v>
      </c>
      <c r="J1415" s="3">
        <v>114.27</v>
      </c>
      <c r="K1415" s="3">
        <v>247.29</v>
      </c>
      <c r="L1415" s="3"/>
      <c r="N1415" s="4"/>
    </row>
    <row r="1416" spans="1:14" ht="17.5" thickBot="1" x14ac:dyDescent="0.45">
      <c r="A1416" s="4">
        <v>44273</v>
      </c>
      <c r="B1416" s="3">
        <v>186.34</v>
      </c>
      <c r="C1416" s="3">
        <v>341.11</v>
      </c>
      <c r="D1416" s="3">
        <v>118.64</v>
      </c>
      <c r="E1416" s="3">
        <v>1.3644000000000001</v>
      </c>
      <c r="F1416" s="3">
        <v>319.62</v>
      </c>
      <c r="G1416" s="3">
        <v>305.02</v>
      </c>
      <c r="H1416" s="3">
        <v>217.81</v>
      </c>
      <c r="I1416" s="3">
        <v>257.04000000000002</v>
      </c>
      <c r="J1416" s="3">
        <v>114.27</v>
      </c>
      <c r="K1416" s="3">
        <v>247.82</v>
      </c>
      <c r="L1416" s="3"/>
      <c r="N1416" s="4"/>
    </row>
    <row r="1417" spans="1:14" ht="17.5" thickBot="1" x14ac:dyDescent="0.45">
      <c r="A1417" s="4">
        <v>44274</v>
      </c>
      <c r="B1417" s="3">
        <v>183.3</v>
      </c>
      <c r="C1417" s="3">
        <v>337.34</v>
      </c>
      <c r="D1417" s="3">
        <v>118.55</v>
      </c>
      <c r="E1417" s="3">
        <v>1.3625</v>
      </c>
      <c r="F1417" s="3">
        <v>317.26</v>
      </c>
      <c r="G1417" s="3">
        <v>305.20999999999998</v>
      </c>
      <c r="H1417" s="3">
        <v>216.37</v>
      </c>
      <c r="I1417" s="3">
        <v>257.08999999999997</v>
      </c>
      <c r="J1417" s="3">
        <v>114.27</v>
      </c>
      <c r="K1417" s="3">
        <v>246.75</v>
      </c>
      <c r="L1417" s="3"/>
      <c r="N1417" s="4"/>
    </row>
    <row r="1418" spans="1:14" ht="17.5" thickBot="1" x14ac:dyDescent="0.45">
      <c r="A1418" s="4">
        <v>44275</v>
      </c>
      <c r="B1418" s="3">
        <v>183.3</v>
      </c>
      <c r="C1418" s="3">
        <v>337.34</v>
      </c>
      <c r="D1418" s="3">
        <v>118.55</v>
      </c>
      <c r="E1418" s="3">
        <v>1.3625</v>
      </c>
      <c r="F1418" s="3">
        <v>317.26</v>
      </c>
      <c r="G1418" s="3">
        <v>305.20999999999998</v>
      </c>
      <c r="H1418" s="3">
        <v>216.37</v>
      </c>
      <c r="I1418" s="3">
        <v>257.08999999999997</v>
      </c>
      <c r="J1418" s="3">
        <v>114.27</v>
      </c>
      <c r="K1418" s="3">
        <v>246.75</v>
      </c>
      <c r="L1418" s="3"/>
      <c r="N1418" s="4"/>
    </row>
    <row r="1419" spans="1:14" ht="17.5" thickBot="1" x14ac:dyDescent="0.45">
      <c r="A1419" s="4">
        <v>44276</v>
      </c>
      <c r="B1419" s="3">
        <v>183.3</v>
      </c>
      <c r="C1419" s="3">
        <v>337.34</v>
      </c>
      <c r="D1419" s="3">
        <v>118.55</v>
      </c>
      <c r="E1419" s="3">
        <v>1.3625</v>
      </c>
      <c r="F1419" s="3">
        <v>317.26</v>
      </c>
      <c r="G1419" s="3">
        <v>305.20999999999998</v>
      </c>
      <c r="H1419" s="3">
        <v>216.37</v>
      </c>
      <c r="I1419" s="3">
        <v>257.08999999999997</v>
      </c>
      <c r="J1419" s="3">
        <v>114.27</v>
      </c>
      <c r="K1419" s="3">
        <v>246.75</v>
      </c>
      <c r="L1419" s="3"/>
      <c r="N1419" s="4"/>
    </row>
    <row r="1420" spans="1:14" ht="17.5" thickBot="1" x14ac:dyDescent="0.45">
      <c r="A1420" s="4">
        <v>44277</v>
      </c>
      <c r="B1420" s="3">
        <v>182.89</v>
      </c>
      <c r="C1420" s="3">
        <v>337.9</v>
      </c>
      <c r="D1420" s="3">
        <v>118.73</v>
      </c>
      <c r="E1420" s="3">
        <v>1.3671</v>
      </c>
      <c r="F1420" s="3">
        <v>317.10000000000002</v>
      </c>
      <c r="G1420" s="3">
        <v>307.58999999999997</v>
      </c>
      <c r="H1420" s="3">
        <v>216.38</v>
      </c>
      <c r="I1420" s="3">
        <v>258.48</v>
      </c>
      <c r="J1420" s="3">
        <v>114.27</v>
      </c>
      <c r="K1420" s="3">
        <v>246.96</v>
      </c>
      <c r="L1420" s="3"/>
      <c r="N1420" s="4"/>
    </row>
    <row r="1421" spans="1:14" ht="17.5" thickBot="1" x14ac:dyDescent="0.45">
      <c r="A1421" s="4">
        <v>44278</v>
      </c>
      <c r="B1421" s="3">
        <v>180.84</v>
      </c>
      <c r="C1421" s="3">
        <v>336.36</v>
      </c>
      <c r="D1421" s="3">
        <v>118.54</v>
      </c>
      <c r="E1421" s="3">
        <v>1.3621000000000001</v>
      </c>
      <c r="F1421" s="3">
        <v>313.91000000000003</v>
      </c>
      <c r="G1421" s="3">
        <v>305.52</v>
      </c>
      <c r="H1421" s="3">
        <v>214.43</v>
      </c>
      <c r="I1421" s="3">
        <v>255.96</v>
      </c>
      <c r="J1421" s="3">
        <v>114.27</v>
      </c>
      <c r="K1421" s="3">
        <v>245.55</v>
      </c>
      <c r="L1421" s="3"/>
      <c r="N1421" s="4"/>
    </row>
    <row r="1422" spans="1:14" ht="17.5" thickBot="1" x14ac:dyDescent="0.45">
      <c r="A1422" s="4">
        <v>44279</v>
      </c>
      <c r="B1422" s="3">
        <v>176.71</v>
      </c>
      <c r="C1422" s="3">
        <v>333.17</v>
      </c>
      <c r="D1422" s="3">
        <v>118.54</v>
      </c>
      <c r="E1422" s="3">
        <v>1.3562000000000001</v>
      </c>
      <c r="F1422" s="3">
        <v>310.38</v>
      </c>
      <c r="G1422" s="3">
        <v>303.87</v>
      </c>
      <c r="H1422" s="3">
        <v>212.31</v>
      </c>
      <c r="I1422" s="3">
        <v>254.27</v>
      </c>
      <c r="J1422" s="3">
        <v>114.27</v>
      </c>
      <c r="K1422" s="3">
        <v>243.97</v>
      </c>
      <c r="L1422" s="3"/>
      <c r="N1422" s="4"/>
    </row>
    <row r="1423" spans="1:14" ht="17.5" thickBot="1" x14ac:dyDescent="0.45">
      <c r="A1423" s="4">
        <v>44280</v>
      </c>
      <c r="B1423" s="3">
        <v>176.44</v>
      </c>
      <c r="C1423" s="3">
        <v>332.06</v>
      </c>
      <c r="D1423" s="3">
        <v>118.36</v>
      </c>
      <c r="E1423" s="3">
        <v>1.3580000000000001</v>
      </c>
      <c r="F1423" s="3">
        <v>310.39</v>
      </c>
      <c r="G1423" s="3">
        <v>305.69</v>
      </c>
      <c r="H1423" s="3">
        <v>212.32</v>
      </c>
      <c r="I1423" s="3">
        <v>255.58</v>
      </c>
      <c r="J1423" s="3">
        <v>114.27</v>
      </c>
      <c r="K1423" s="3">
        <v>243.93</v>
      </c>
      <c r="L1423" s="3"/>
      <c r="N1423" s="4"/>
    </row>
    <row r="1424" spans="1:14" ht="17.5" thickBot="1" x14ac:dyDescent="0.45">
      <c r="A1424" s="4">
        <v>44281</v>
      </c>
      <c r="B1424" s="3">
        <v>179.26</v>
      </c>
      <c r="C1424" s="3">
        <v>336.9</v>
      </c>
      <c r="D1424" s="3">
        <v>118.44</v>
      </c>
      <c r="E1424" s="3">
        <v>1.3685</v>
      </c>
      <c r="F1424" s="3">
        <v>314.44</v>
      </c>
      <c r="G1424" s="3">
        <v>310.86</v>
      </c>
      <c r="H1424" s="3">
        <v>214.7</v>
      </c>
      <c r="I1424" s="3">
        <v>259.39999999999998</v>
      </c>
      <c r="J1424" s="3">
        <v>114.27</v>
      </c>
      <c r="K1424" s="3">
        <v>245.65</v>
      </c>
      <c r="L1424" s="3"/>
      <c r="N1424" s="4"/>
    </row>
    <row r="1425" spans="1:14" ht="17.5" thickBot="1" x14ac:dyDescent="0.45">
      <c r="A1425" s="4">
        <v>44282</v>
      </c>
      <c r="B1425" s="3">
        <v>179.26</v>
      </c>
      <c r="C1425" s="3">
        <v>336.9</v>
      </c>
      <c r="D1425" s="3">
        <v>118.44</v>
      </c>
      <c r="E1425" s="3">
        <v>1.3685</v>
      </c>
      <c r="F1425" s="3">
        <v>314.44</v>
      </c>
      <c r="G1425" s="3">
        <v>310.86</v>
      </c>
      <c r="H1425" s="3">
        <v>214.7</v>
      </c>
      <c r="I1425" s="3">
        <v>259.39999999999998</v>
      </c>
      <c r="J1425" s="3">
        <v>114.27</v>
      </c>
      <c r="K1425" s="3">
        <v>245.65</v>
      </c>
      <c r="L1425" s="3"/>
      <c r="N1425" s="4"/>
    </row>
    <row r="1426" spans="1:14" ht="17.5" thickBot="1" x14ac:dyDescent="0.45">
      <c r="A1426" s="4">
        <v>44283</v>
      </c>
      <c r="B1426" s="3">
        <v>179.26</v>
      </c>
      <c r="C1426" s="3">
        <v>336.9</v>
      </c>
      <c r="D1426" s="3">
        <v>118.44</v>
      </c>
      <c r="E1426" s="3">
        <v>1.3685</v>
      </c>
      <c r="F1426" s="3">
        <v>314.44</v>
      </c>
      <c r="G1426" s="3">
        <v>310.86</v>
      </c>
      <c r="H1426" s="3">
        <v>214.7</v>
      </c>
      <c r="I1426" s="3">
        <v>259.39999999999998</v>
      </c>
      <c r="J1426" s="3">
        <v>114.27</v>
      </c>
      <c r="K1426" s="3">
        <v>245.65</v>
      </c>
      <c r="L1426" s="3"/>
      <c r="N1426" s="4"/>
    </row>
    <row r="1427" spans="1:14" ht="17.5" thickBot="1" x14ac:dyDescent="0.45">
      <c r="A1427" s="4">
        <v>44284</v>
      </c>
      <c r="B1427" s="3">
        <v>179.36</v>
      </c>
      <c r="C1427" s="3">
        <v>337.06</v>
      </c>
      <c r="D1427" s="3">
        <v>118.44</v>
      </c>
      <c r="E1427" s="3">
        <v>1.3669</v>
      </c>
      <c r="F1427" s="3">
        <v>314.12</v>
      </c>
      <c r="G1427" s="3">
        <v>310.82</v>
      </c>
      <c r="H1427" s="3">
        <v>214.49</v>
      </c>
      <c r="I1427" s="3">
        <v>259.22000000000003</v>
      </c>
      <c r="J1427" s="3">
        <v>114.27</v>
      </c>
      <c r="K1427" s="3">
        <v>245.31</v>
      </c>
      <c r="L1427" s="3"/>
      <c r="N1427" s="4"/>
    </row>
    <row r="1428" spans="1:14" ht="17.5" thickBot="1" x14ac:dyDescent="0.45">
      <c r="A1428" s="4">
        <v>44285</v>
      </c>
      <c r="B1428" s="3">
        <v>180.6</v>
      </c>
      <c r="C1428" s="3">
        <v>338.02</v>
      </c>
      <c r="D1428" s="3">
        <v>117.89</v>
      </c>
      <c r="E1428" s="3">
        <v>1.3657999999999999</v>
      </c>
      <c r="F1428" s="3">
        <v>315.45999999999998</v>
      </c>
      <c r="G1428" s="3">
        <v>309.93</v>
      </c>
      <c r="H1428" s="3">
        <v>215.28</v>
      </c>
      <c r="I1428" s="3">
        <v>259.08</v>
      </c>
      <c r="J1428" s="3">
        <v>114.27</v>
      </c>
      <c r="K1428" s="3">
        <v>245.76</v>
      </c>
      <c r="L1428" s="3"/>
      <c r="N1428" s="4"/>
    </row>
    <row r="1429" spans="1:14" ht="17.5" thickBot="1" x14ac:dyDescent="0.45">
      <c r="A1429" s="4">
        <v>44286</v>
      </c>
      <c r="B1429" s="3">
        <v>179.79</v>
      </c>
      <c r="C1429" s="3">
        <v>337.13</v>
      </c>
      <c r="D1429" s="3">
        <v>117.98</v>
      </c>
      <c r="E1429" s="3">
        <v>1.3667</v>
      </c>
      <c r="F1429" s="3">
        <v>314.48</v>
      </c>
      <c r="G1429" s="3">
        <v>310.79000000000002</v>
      </c>
      <c r="H1429" s="3">
        <v>214.67</v>
      </c>
      <c r="I1429" s="3">
        <v>260.33</v>
      </c>
      <c r="J1429" s="3">
        <v>114.28</v>
      </c>
      <c r="K1429" s="3">
        <v>245.4</v>
      </c>
      <c r="L1429" s="3"/>
      <c r="N1429" s="4"/>
    </row>
    <row r="1430" spans="1:14" ht="17.5" thickBot="1" x14ac:dyDescent="0.45">
      <c r="A1430" s="4">
        <v>44287</v>
      </c>
      <c r="B1430" s="3">
        <v>182.92</v>
      </c>
      <c r="C1430" s="3">
        <v>340.68</v>
      </c>
      <c r="D1430" s="3">
        <v>117.98</v>
      </c>
      <c r="E1430" s="3">
        <v>1.3773</v>
      </c>
      <c r="F1430" s="3">
        <v>319.05</v>
      </c>
      <c r="G1430" s="3">
        <v>314.55</v>
      </c>
      <c r="H1430" s="3">
        <v>217.38</v>
      </c>
      <c r="I1430" s="3">
        <v>262.39999999999998</v>
      </c>
      <c r="J1430" s="3">
        <v>114.28</v>
      </c>
      <c r="K1430" s="3">
        <v>247.7</v>
      </c>
      <c r="L1430" s="3"/>
      <c r="N1430" s="4"/>
    </row>
    <row r="1431" spans="1:14" ht="17.5" thickBot="1" x14ac:dyDescent="0.45">
      <c r="A1431" s="4">
        <v>44288</v>
      </c>
      <c r="B1431" s="3">
        <v>182.92</v>
      </c>
      <c r="C1431" s="3">
        <v>340.68</v>
      </c>
      <c r="D1431" s="3">
        <v>117.98</v>
      </c>
      <c r="E1431" s="3">
        <v>1.3773</v>
      </c>
      <c r="F1431" s="3">
        <v>319.05</v>
      </c>
      <c r="G1431" s="3">
        <v>314.55</v>
      </c>
      <c r="H1431" s="3">
        <v>217.38</v>
      </c>
      <c r="I1431" s="3">
        <v>262.39999999999998</v>
      </c>
      <c r="J1431" s="3">
        <v>114.28</v>
      </c>
      <c r="K1431" s="3">
        <v>247.7</v>
      </c>
      <c r="L1431" s="3"/>
      <c r="N1431" s="4"/>
    </row>
    <row r="1432" spans="1:14" ht="17.5" thickBot="1" x14ac:dyDescent="0.45">
      <c r="A1432" s="4">
        <v>44289</v>
      </c>
      <c r="B1432" s="3">
        <v>182.92</v>
      </c>
      <c r="C1432" s="3">
        <v>340.68</v>
      </c>
      <c r="D1432" s="3">
        <v>117.98</v>
      </c>
      <c r="E1432" s="3">
        <v>1.3773</v>
      </c>
      <c r="F1432" s="3">
        <v>319.05</v>
      </c>
      <c r="G1432" s="3">
        <v>314.55</v>
      </c>
      <c r="H1432" s="3">
        <v>217.38</v>
      </c>
      <c r="I1432" s="3">
        <v>262.39999999999998</v>
      </c>
      <c r="J1432" s="3">
        <v>114.28</v>
      </c>
      <c r="K1432" s="3">
        <v>247.7</v>
      </c>
      <c r="L1432" s="3"/>
      <c r="N1432" s="4"/>
    </row>
    <row r="1433" spans="1:14" ht="17.5" thickBot="1" x14ac:dyDescent="0.45">
      <c r="A1433" s="4">
        <v>44290</v>
      </c>
      <c r="B1433" s="3">
        <v>182.92</v>
      </c>
      <c r="C1433" s="3">
        <v>340.68</v>
      </c>
      <c r="D1433" s="3">
        <v>117.98</v>
      </c>
      <c r="E1433" s="3">
        <v>1.3773</v>
      </c>
      <c r="F1433" s="3">
        <v>319.05</v>
      </c>
      <c r="G1433" s="3">
        <v>314.55</v>
      </c>
      <c r="H1433" s="3">
        <v>217.38</v>
      </c>
      <c r="I1433" s="3">
        <v>262.39999999999998</v>
      </c>
      <c r="J1433" s="3">
        <v>114.28</v>
      </c>
      <c r="K1433" s="3">
        <v>247.7</v>
      </c>
      <c r="L1433" s="3"/>
      <c r="N1433" s="4"/>
    </row>
    <row r="1434" spans="1:14" ht="17.5" thickBot="1" x14ac:dyDescent="0.45">
      <c r="A1434" s="4">
        <v>44291</v>
      </c>
      <c r="B1434" s="3">
        <v>182.92</v>
      </c>
      <c r="C1434" s="3">
        <v>340.68</v>
      </c>
      <c r="D1434" s="3">
        <v>117.98</v>
      </c>
      <c r="E1434" s="3">
        <v>1.3773</v>
      </c>
      <c r="F1434" s="3">
        <v>319.05</v>
      </c>
      <c r="G1434" s="3">
        <v>314.55</v>
      </c>
      <c r="H1434" s="3">
        <v>217.38</v>
      </c>
      <c r="I1434" s="3">
        <v>262.39999999999998</v>
      </c>
      <c r="J1434" s="3">
        <v>114.28</v>
      </c>
      <c r="K1434" s="3">
        <v>247.7</v>
      </c>
      <c r="L1434" s="3"/>
      <c r="N1434" s="4"/>
    </row>
    <row r="1435" spans="1:14" ht="17.5" thickBot="1" x14ac:dyDescent="0.45">
      <c r="A1435" s="4">
        <v>44292</v>
      </c>
      <c r="B1435" s="3">
        <v>182.92</v>
      </c>
      <c r="C1435" s="3">
        <v>340.68</v>
      </c>
      <c r="D1435" s="3">
        <v>117.98</v>
      </c>
      <c r="E1435" s="3">
        <v>1.3773</v>
      </c>
      <c r="F1435" s="3">
        <v>319.05</v>
      </c>
      <c r="G1435" s="3">
        <v>314.55</v>
      </c>
      <c r="H1435" s="3">
        <v>217.38</v>
      </c>
      <c r="I1435" s="3">
        <v>262.39999999999998</v>
      </c>
      <c r="J1435" s="3">
        <v>114.28</v>
      </c>
      <c r="K1435" s="3">
        <v>247.7</v>
      </c>
      <c r="L1435" s="3"/>
      <c r="N1435" s="4"/>
    </row>
    <row r="1436" spans="1:14" ht="17.5" thickBot="1" x14ac:dyDescent="0.45">
      <c r="A1436" s="4">
        <v>44293</v>
      </c>
      <c r="B1436" s="3">
        <v>181.12</v>
      </c>
      <c r="C1436" s="3">
        <v>346.39</v>
      </c>
      <c r="D1436" s="3">
        <v>118.6</v>
      </c>
      <c r="E1436" s="3">
        <v>1.3894</v>
      </c>
      <c r="F1436" s="3">
        <v>321.58</v>
      </c>
      <c r="G1436" s="3">
        <v>319.45999999999998</v>
      </c>
      <c r="H1436" s="3">
        <v>219</v>
      </c>
      <c r="I1436" s="3">
        <v>266.73</v>
      </c>
      <c r="J1436" s="3">
        <v>114.28</v>
      </c>
      <c r="K1436" s="3">
        <v>249.24</v>
      </c>
      <c r="L1436" s="3"/>
      <c r="N1436" s="4"/>
    </row>
    <row r="1437" spans="1:14" ht="17.5" thickBot="1" x14ac:dyDescent="0.45">
      <c r="A1437" s="4">
        <v>44294</v>
      </c>
      <c r="B1437" s="3">
        <v>183.2</v>
      </c>
      <c r="C1437" s="3">
        <v>348.29</v>
      </c>
      <c r="D1437" s="3">
        <v>118.51</v>
      </c>
      <c r="E1437" s="3">
        <v>1.3932</v>
      </c>
      <c r="F1437" s="3">
        <v>322.89</v>
      </c>
      <c r="G1437" s="3">
        <v>320.54000000000002</v>
      </c>
      <c r="H1437" s="3">
        <v>219.78</v>
      </c>
      <c r="I1437" s="3">
        <v>268.29000000000002</v>
      </c>
      <c r="J1437" s="3">
        <v>114.28</v>
      </c>
      <c r="K1437" s="3">
        <v>249.85</v>
      </c>
      <c r="L1437" s="3"/>
      <c r="N1437" s="4"/>
    </row>
    <row r="1438" spans="1:14" ht="17.5" thickBot="1" x14ac:dyDescent="0.45">
      <c r="A1438" s="4">
        <v>44295</v>
      </c>
      <c r="B1438" s="3">
        <v>181.34</v>
      </c>
      <c r="C1438" s="3">
        <v>345.91</v>
      </c>
      <c r="D1438" s="3">
        <v>118.5</v>
      </c>
      <c r="E1438" s="3">
        <v>1.3949</v>
      </c>
      <c r="F1438" s="3">
        <v>321.98</v>
      </c>
      <c r="G1438" s="3">
        <v>322.92</v>
      </c>
      <c r="H1438" s="3">
        <v>219.22</v>
      </c>
      <c r="I1438" s="3">
        <v>269.24</v>
      </c>
      <c r="J1438" s="3">
        <v>114.28</v>
      </c>
      <c r="K1438" s="3">
        <v>249.27</v>
      </c>
      <c r="L1438" s="3"/>
      <c r="N1438" s="4"/>
    </row>
    <row r="1439" spans="1:14" ht="17.5" thickBot="1" x14ac:dyDescent="0.45">
      <c r="A1439" s="4">
        <v>44296</v>
      </c>
      <c r="B1439" s="3">
        <v>181.34</v>
      </c>
      <c r="C1439" s="3">
        <v>345.91</v>
      </c>
      <c r="D1439" s="3">
        <v>118.5</v>
      </c>
      <c r="E1439" s="3">
        <v>1.3949</v>
      </c>
      <c r="F1439" s="3">
        <v>321.98</v>
      </c>
      <c r="G1439" s="3">
        <v>322.92</v>
      </c>
      <c r="H1439" s="3">
        <v>219.22</v>
      </c>
      <c r="I1439" s="3">
        <v>269.24</v>
      </c>
      <c r="J1439" s="3">
        <v>114.28</v>
      </c>
      <c r="K1439" s="3">
        <v>249.27</v>
      </c>
      <c r="L1439" s="3"/>
      <c r="N1439" s="4"/>
    </row>
    <row r="1440" spans="1:14" ht="17.5" thickBot="1" x14ac:dyDescent="0.45">
      <c r="A1440" s="4">
        <v>44297</v>
      </c>
      <c r="B1440" s="3">
        <v>181.34</v>
      </c>
      <c r="C1440" s="3">
        <v>345.91</v>
      </c>
      <c r="D1440" s="3">
        <v>118.5</v>
      </c>
      <c r="E1440" s="3">
        <v>1.3949</v>
      </c>
      <c r="F1440" s="3">
        <v>321.98</v>
      </c>
      <c r="G1440" s="3">
        <v>322.92</v>
      </c>
      <c r="H1440" s="3">
        <v>219.22</v>
      </c>
      <c r="I1440" s="3">
        <v>269.24</v>
      </c>
      <c r="J1440" s="3">
        <v>114.28</v>
      </c>
      <c r="K1440" s="3">
        <v>249.27</v>
      </c>
      <c r="L1440" s="3"/>
      <c r="N1440" s="4"/>
    </row>
    <row r="1441" spans="1:14" ht="17.5" thickBot="1" x14ac:dyDescent="0.45">
      <c r="A1441" s="4">
        <v>44298</v>
      </c>
      <c r="B1441" s="3">
        <v>179.33</v>
      </c>
      <c r="C1441" s="3">
        <v>341.3</v>
      </c>
      <c r="D1441" s="3">
        <v>118.41</v>
      </c>
      <c r="E1441" s="3">
        <v>1.3926000000000001</v>
      </c>
      <c r="F1441" s="3">
        <v>320.11</v>
      </c>
      <c r="G1441" s="3">
        <v>322.88</v>
      </c>
      <c r="H1441" s="3">
        <v>218.1</v>
      </c>
      <c r="I1441" s="3">
        <v>269.19</v>
      </c>
      <c r="J1441" s="3">
        <v>114.28</v>
      </c>
      <c r="K1441" s="3">
        <v>248.38</v>
      </c>
      <c r="L1441" s="3"/>
      <c r="N1441" s="4"/>
    </row>
    <row r="1442" spans="1:14" ht="17.5" thickBot="1" x14ac:dyDescent="0.45">
      <c r="A1442" s="4">
        <v>44299</v>
      </c>
      <c r="B1442" s="3">
        <v>180.52</v>
      </c>
      <c r="C1442" s="3">
        <v>342.16</v>
      </c>
      <c r="D1442" s="3">
        <v>118.13</v>
      </c>
      <c r="E1442" s="3">
        <v>1.3960999999999999</v>
      </c>
      <c r="F1442" s="3">
        <v>320.36</v>
      </c>
      <c r="G1442" s="3">
        <v>323.87</v>
      </c>
      <c r="H1442" s="3">
        <v>218.29</v>
      </c>
      <c r="I1442" s="3">
        <v>269.87</v>
      </c>
      <c r="J1442" s="3">
        <v>114.28</v>
      </c>
      <c r="K1442" s="3">
        <v>248.58</v>
      </c>
      <c r="L1442" s="3"/>
      <c r="N1442" s="4"/>
    </row>
    <row r="1443" spans="1:14" ht="17.5" thickBot="1" x14ac:dyDescent="0.45">
      <c r="A1443" s="4">
        <v>44300</v>
      </c>
      <c r="B1443" s="3">
        <v>182.47</v>
      </c>
      <c r="C1443" s="3">
        <v>345.91</v>
      </c>
      <c r="D1443" s="3">
        <v>118.67</v>
      </c>
      <c r="E1443" s="3">
        <v>1.3949</v>
      </c>
      <c r="F1443" s="3">
        <v>322.39</v>
      </c>
      <c r="G1443" s="3">
        <v>322.2</v>
      </c>
      <c r="H1443" s="3">
        <v>219.5</v>
      </c>
      <c r="I1443" s="3">
        <v>269.73</v>
      </c>
      <c r="J1443" s="3">
        <v>114.28</v>
      </c>
      <c r="K1443" s="3">
        <v>249.51</v>
      </c>
      <c r="L1443" s="3"/>
      <c r="N1443" s="4"/>
    </row>
    <row r="1444" spans="1:14" ht="17.5" thickBot="1" x14ac:dyDescent="0.45">
      <c r="A1444" s="4">
        <v>44301</v>
      </c>
      <c r="B1444" s="3">
        <v>181.22</v>
      </c>
      <c r="C1444" s="3">
        <v>349.41</v>
      </c>
      <c r="D1444" s="3">
        <v>118.76</v>
      </c>
      <c r="E1444" s="3">
        <v>1.4044000000000001</v>
      </c>
      <c r="F1444" s="3">
        <v>323.32</v>
      </c>
      <c r="G1444" s="3">
        <v>325.83</v>
      </c>
      <c r="H1444" s="3">
        <v>220.16</v>
      </c>
      <c r="I1444" s="3">
        <v>272.54000000000002</v>
      </c>
      <c r="J1444" s="3">
        <v>114.28</v>
      </c>
      <c r="K1444" s="3">
        <v>250.28</v>
      </c>
      <c r="L1444" s="3"/>
      <c r="N1444" s="4"/>
    </row>
    <row r="1445" spans="1:14" ht="17.5" thickBot="1" x14ac:dyDescent="0.45">
      <c r="A1445" s="4">
        <v>44302</v>
      </c>
      <c r="B1445" s="3">
        <v>182.72</v>
      </c>
      <c r="C1445" s="3">
        <v>349.8</v>
      </c>
      <c r="D1445" s="3">
        <v>119.12</v>
      </c>
      <c r="E1445" s="3">
        <v>1.4073</v>
      </c>
      <c r="F1445" s="3">
        <v>325.14999999999998</v>
      </c>
      <c r="G1445" s="3">
        <v>327.39999999999998</v>
      </c>
      <c r="H1445" s="3">
        <v>221.31</v>
      </c>
      <c r="I1445" s="3">
        <v>273.60000000000002</v>
      </c>
      <c r="J1445" s="3">
        <v>114.28</v>
      </c>
      <c r="K1445" s="3">
        <v>251.07</v>
      </c>
      <c r="L1445" s="3"/>
      <c r="N1445" s="4"/>
    </row>
    <row r="1446" spans="1:14" ht="17.5" thickBot="1" x14ac:dyDescent="0.45">
      <c r="A1446" s="4">
        <v>44303</v>
      </c>
      <c r="B1446" s="3">
        <v>182.72</v>
      </c>
      <c r="C1446" s="3">
        <v>349.8</v>
      </c>
      <c r="D1446" s="3">
        <v>119.12</v>
      </c>
      <c r="E1446" s="3">
        <v>1.4073</v>
      </c>
      <c r="F1446" s="3">
        <v>325.14999999999998</v>
      </c>
      <c r="G1446" s="3">
        <v>327.39999999999998</v>
      </c>
      <c r="H1446" s="3">
        <v>221.31</v>
      </c>
      <c r="I1446" s="3">
        <v>273.60000000000002</v>
      </c>
      <c r="J1446" s="3">
        <v>114.28</v>
      </c>
      <c r="K1446" s="3">
        <v>251.07</v>
      </c>
      <c r="L1446" s="3"/>
      <c r="N1446" s="4"/>
    </row>
    <row r="1447" spans="1:14" ht="17.5" thickBot="1" x14ac:dyDescent="0.45">
      <c r="A1447" s="4">
        <v>44304</v>
      </c>
      <c r="B1447" s="3">
        <v>182.72</v>
      </c>
      <c r="C1447" s="3">
        <v>349.8</v>
      </c>
      <c r="D1447" s="3">
        <v>119.12</v>
      </c>
      <c r="E1447" s="3">
        <v>1.4073</v>
      </c>
      <c r="F1447" s="3">
        <v>325.14999999999998</v>
      </c>
      <c r="G1447" s="3">
        <v>327.39999999999998</v>
      </c>
      <c r="H1447" s="3">
        <v>221.31</v>
      </c>
      <c r="I1447" s="3">
        <v>273.60000000000002</v>
      </c>
      <c r="J1447" s="3">
        <v>114.28</v>
      </c>
      <c r="K1447" s="3">
        <v>251.07</v>
      </c>
      <c r="L1447" s="3"/>
      <c r="N1447" s="4"/>
    </row>
    <row r="1448" spans="1:14" ht="17.5" thickBot="1" x14ac:dyDescent="0.45">
      <c r="A1448" s="4">
        <v>44305</v>
      </c>
      <c r="B1448" s="3">
        <v>183.62</v>
      </c>
      <c r="C1448" s="3">
        <v>348.22</v>
      </c>
      <c r="D1448" s="3">
        <v>119.29</v>
      </c>
      <c r="E1448" s="3">
        <v>1.4039999999999999</v>
      </c>
      <c r="F1448" s="3">
        <v>325.41000000000003</v>
      </c>
      <c r="G1448" s="3">
        <v>325.49</v>
      </c>
      <c r="H1448" s="3">
        <v>221.52</v>
      </c>
      <c r="I1448" s="3">
        <v>272.51</v>
      </c>
      <c r="J1448" s="3">
        <v>114.28</v>
      </c>
      <c r="K1448" s="3">
        <v>251.25</v>
      </c>
      <c r="L1448" s="3"/>
      <c r="N1448" s="4"/>
    </row>
    <row r="1449" spans="1:14" ht="17.5" thickBot="1" x14ac:dyDescent="0.45">
      <c r="A1449" s="4">
        <v>44306</v>
      </c>
      <c r="B1449" s="3">
        <v>183.31</v>
      </c>
      <c r="C1449" s="3">
        <v>348.23</v>
      </c>
      <c r="D1449" s="3">
        <v>119.2</v>
      </c>
      <c r="E1449" s="3">
        <v>1.3971</v>
      </c>
      <c r="F1449" s="3">
        <v>322.97000000000003</v>
      </c>
      <c r="G1449" s="3">
        <v>323.23</v>
      </c>
      <c r="H1449" s="3">
        <v>220.05</v>
      </c>
      <c r="I1449" s="3">
        <v>270.26</v>
      </c>
      <c r="J1449" s="3">
        <v>114.28</v>
      </c>
      <c r="K1449" s="3">
        <v>250.23</v>
      </c>
      <c r="L1449" s="3"/>
      <c r="N1449" s="4"/>
    </row>
    <row r="1450" spans="1:14" ht="17.5" thickBot="1" x14ac:dyDescent="0.45">
      <c r="A1450" s="4">
        <v>44307</v>
      </c>
      <c r="B1450" s="3">
        <v>180.61</v>
      </c>
      <c r="C1450" s="3">
        <v>343.91</v>
      </c>
      <c r="D1450" s="3">
        <v>119.29</v>
      </c>
      <c r="E1450" s="3">
        <v>1.4004000000000001</v>
      </c>
      <c r="F1450" s="3">
        <v>320.74</v>
      </c>
      <c r="G1450" s="3">
        <v>325.95</v>
      </c>
      <c r="H1450" s="3">
        <v>218.77</v>
      </c>
      <c r="I1450" s="3">
        <v>272.60000000000002</v>
      </c>
      <c r="J1450" s="3">
        <v>114.28</v>
      </c>
      <c r="K1450" s="3">
        <v>249.27</v>
      </c>
      <c r="L1450" s="3"/>
      <c r="N1450" s="4"/>
    </row>
    <row r="1451" spans="1:14" ht="17.5" thickBot="1" x14ac:dyDescent="0.45">
      <c r="A1451" s="4">
        <v>44308</v>
      </c>
      <c r="B1451" s="3">
        <v>181.19</v>
      </c>
      <c r="C1451" s="3">
        <v>344.63</v>
      </c>
      <c r="D1451" s="3">
        <v>119.19</v>
      </c>
      <c r="E1451" s="3">
        <v>1.3984000000000001</v>
      </c>
      <c r="F1451" s="3">
        <v>321.89999999999998</v>
      </c>
      <c r="G1451" s="3">
        <v>322.83</v>
      </c>
      <c r="H1451" s="3">
        <v>219.46</v>
      </c>
      <c r="I1451" s="3">
        <v>270.52</v>
      </c>
      <c r="J1451" s="3">
        <v>114.28</v>
      </c>
      <c r="K1451" s="3">
        <v>249.8</v>
      </c>
      <c r="L1451" s="3"/>
      <c r="N1451" s="4"/>
    </row>
    <row r="1452" spans="1:14" ht="17.5" thickBot="1" x14ac:dyDescent="0.45">
      <c r="A1452" s="4">
        <v>44309</v>
      </c>
      <c r="B1452" s="3">
        <v>183.47</v>
      </c>
      <c r="C1452" s="3">
        <v>347.07</v>
      </c>
      <c r="D1452" s="3">
        <v>119.1</v>
      </c>
      <c r="E1452" s="3">
        <v>1.4044000000000001</v>
      </c>
      <c r="F1452" s="3">
        <v>324.24</v>
      </c>
      <c r="G1452" s="3">
        <v>326.14</v>
      </c>
      <c r="H1452" s="3">
        <v>220.85</v>
      </c>
      <c r="I1452" s="3">
        <v>273.12</v>
      </c>
      <c r="J1452" s="3">
        <v>114.28</v>
      </c>
      <c r="K1452" s="3">
        <v>250.83</v>
      </c>
      <c r="L1452" s="3"/>
      <c r="N1452" s="4"/>
    </row>
    <row r="1453" spans="1:14" ht="17.5" thickBot="1" x14ac:dyDescent="0.45">
      <c r="A1453" s="4">
        <v>44310</v>
      </c>
      <c r="B1453" s="3">
        <v>183.47</v>
      </c>
      <c r="C1453" s="3">
        <v>347.07</v>
      </c>
      <c r="D1453" s="3">
        <v>119.1</v>
      </c>
      <c r="E1453" s="3">
        <v>1.4044000000000001</v>
      </c>
      <c r="F1453" s="3">
        <v>324.24</v>
      </c>
      <c r="G1453" s="3">
        <v>326.14</v>
      </c>
      <c r="H1453" s="3">
        <v>220.85</v>
      </c>
      <c r="I1453" s="3">
        <v>273.12</v>
      </c>
      <c r="J1453" s="3">
        <v>114.28</v>
      </c>
      <c r="K1453" s="3">
        <v>250.83</v>
      </c>
      <c r="L1453" s="3"/>
      <c r="N1453" s="4"/>
    </row>
    <row r="1454" spans="1:14" ht="17.5" thickBot="1" x14ac:dyDescent="0.45">
      <c r="A1454" s="4">
        <v>44311</v>
      </c>
      <c r="B1454" s="3">
        <v>183.47</v>
      </c>
      <c r="C1454" s="3">
        <v>347.07</v>
      </c>
      <c r="D1454" s="3">
        <v>119.1</v>
      </c>
      <c r="E1454" s="3">
        <v>1.4044000000000001</v>
      </c>
      <c r="F1454" s="3">
        <v>324.24</v>
      </c>
      <c r="G1454" s="3">
        <v>326.14</v>
      </c>
      <c r="H1454" s="3">
        <v>220.85</v>
      </c>
      <c r="I1454" s="3">
        <v>273.12</v>
      </c>
      <c r="J1454" s="3">
        <v>114.28</v>
      </c>
      <c r="K1454" s="3">
        <v>250.83</v>
      </c>
      <c r="L1454" s="3"/>
      <c r="N1454" s="4"/>
    </row>
    <row r="1455" spans="1:14" ht="17.5" thickBot="1" x14ac:dyDescent="0.45">
      <c r="A1455" s="4">
        <v>44312</v>
      </c>
      <c r="B1455" s="3">
        <v>182.42</v>
      </c>
      <c r="C1455" s="3">
        <v>350.74</v>
      </c>
      <c r="D1455" s="3">
        <v>119.28</v>
      </c>
      <c r="E1455" s="3">
        <v>1.4072</v>
      </c>
      <c r="F1455" s="3">
        <v>324.83999999999997</v>
      </c>
      <c r="G1455" s="3">
        <v>326.43</v>
      </c>
      <c r="H1455" s="3">
        <v>221.2</v>
      </c>
      <c r="I1455" s="3">
        <v>273.86</v>
      </c>
      <c r="J1455" s="3">
        <v>114.28</v>
      </c>
      <c r="K1455" s="3">
        <v>251.15</v>
      </c>
      <c r="L1455" s="3"/>
      <c r="N1455" s="4"/>
    </row>
    <row r="1456" spans="1:14" ht="17.5" thickBot="1" x14ac:dyDescent="0.45">
      <c r="A1456" s="4">
        <v>44313</v>
      </c>
      <c r="B1456" s="3">
        <v>182.13</v>
      </c>
      <c r="C1456" s="3">
        <v>351.45</v>
      </c>
      <c r="D1456" s="3">
        <v>119.27</v>
      </c>
      <c r="E1456" s="3">
        <v>1.4056999999999999</v>
      </c>
      <c r="F1456" s="3">
        <v>324.29000000000002</v>
      </c>
      <c r="G1456" s="3">
        <v>326.16000000000003</v>
      </c>
      <c r="H1456" s="3">
        <v>220.88</v>
      </c>
      <c r="I1456" s="3">
        <v>273.5</v>
      </c>
      <c r="J1456" s="3">
        <v>114.28</v>
      </c>
      <c r="K1456" s="3">
        <v>250.79</v>
      </c>
      <c r="L1456" s="3"/>
      <c r="N1456" s="4"/>
    </row>
    <row r="1457" spans="1:14" ht="17.5" thickBot="1" x14ac:dyDescent="0.45">
      <c r="A1457" s="4">
        <v>44314</v>
      </c>
      <c r="B1457" s="3">
        <v>183.07</v>
      </c>
      <c r="C1457" s="3">
        <v>350.34</v>
      </c>
      <c r="D1457" s="3">
        <v>119.27</v>
      </c>
      <c r="E1457" s="3">
        <v>1.4056</v>
      </c>
      <c r="F1457" s="3">
        <v>325.08999999999997</v>
      </c>
      <c r="G1457" s="3">
        <v>325.83999999999997</v>
      </c>
      <c r="H1457" s="3">
        <v>221.31</v>
      </c>
      <c r="I1457" s="3">
        <v>274.13</v>
      </c>
      <c r="J1457" s="3">
        <v>114.28</v>
      </c>
      <c r="K1457" s="3">
        <v>251.07</v>
      </c>
      <c r="L1457" s="3"/>
      <c r="N1457" s="4"/>
    </row>
    <row r="1458" spans="1:14" ht="17.5" thickBot="1" x14ac:dyDescent="0.45">
      <c r="A1458" s="4">
        <v>44315</v>
      </c>
      <c r="B1458" s="3">
        <v>184.51</v>
      </c>
      <c r="C1458" s="3">
        <v>352.08</v>
      </c>
      <c r="D1458" s="3">
        <v>119.27</v>
      </c>
      <c r="E1458" s="3">
        <v>1.4079999999999999</v>
      </c>
      <c r="F1458" s="3">
        <v>326.27</v>
      </c>
      <c r="G1458" s="3">
        <v>328.59</v>
      </c>
      <c r="H1458" s="3">
        <v>221.98</v>
      </c>
      <c r="I1458" s="3">
        <v>275.37</v>
      </c>
      <c r="J1458" s="3">
        <v>114.28</v>
      </c>
      <c r="K1458" s="3">
        <v>251.51</v>
      </c>
      <c r="L1458" s="3"/>
      <c r="N1458" s="4"/>
    </row>
    <row r="1459" spans="1:14" ht="17.5" thickBot="1" x14ac:dyDescent="0.45">
      <c r="A1459" s="4">
        <v>44316</v>
      </c>
      <c r="B1459" s="3">
        <v>180.41</v>
      </c>
      <c r="C1459" s="3">
        <v>347.6</v>
      </c>
      <c r="D1459" s="3">
        <v>119.18</v>
      </c>
      <c r="E1459" s="3">
        <v>1.401</v>
      </c>
      <c r="F1459" s="3">
        <v>322.32</v>
      </c>
      <c r="G1459" s="3">
        <v>326.51</v>
      </c>
      <c r="H1459" s="3">
        <v>219.66</v>
      </c>
      <c r="I1459" s="3">
        <v>272.76</v>
      </c>
      <c r="J1459" s="3">
        <v>114.29</v>
      </c>
      <c r="K1459" s="3">
        <v>249.67</v>
      </c>
      <c r="L1459" s="3"/>
      <c r="N1459" s="4"/>
    </row>
    <row r="1460" spans="1:14" ht="17.5" thickBot="1" x14ac:dyDescent="0.45">
      <c r="A1460" s="4">
        <v>44317</v>
      </c>
      <c r="B1460" s="3">
        <v>180.41</v>
      </c>
      <c r="C1460" s="3">
        <v>347.6</v>
      </c>
      <c r="D1460" s="3">
        <v>119.18</v>
      </c>
      <c r="E1460" s="3">
        <v>1.401</v>
      </c>
      <c r="F1460" s="3">
        <v>322.32</v>
      </c>
      <c r="G1460" s="3">
        <v>326.51</v>
      </c>
      <c r="H1460" s="3">
        <v>219.66</v>
      </c>
      <c r="I1460" s="3">
        <v>272.76</v>
      </c>
      <c r="J1460" s="3">
        <v>114.29</v>
      </c>
      <c r="K1460" s="3">
        <v>249.67</v>
      </c>
      <c r="L1460" s="3"/>
      <c r="N1460" s="4"/>
    </row>
    <row r="1461" spans="1:14" ht="17.5" thickBot="1" x14ac:dyDescent="0.45">
      <c r="A1461" s="4">
        <v>44318</v>
      </c>
      <c r="B1461" s="3">
        <v>180.41</v>
      </c>
      <c r="C1461" s="3">
        <v>347.6</v>
      </c>
      <c r="D1461" s="3">
        <v>119.18</v>
      </c>
      <c r="E1461" s="3">
        <v>1.401</v>
      </c>
      <c r="F1461" s="3">
        <v>322.32</v>
      </c>
      <c r="G1461" s="3">
        <v>326.51</v>
      </c>
      <c r="H1461" s="3">
        <v>219.66</v>
      </c>
      <c r="I1461" s="3">
        <v>272.76</v>
      </c>
      <c r="J1461" s="3">
        <v>114.29</v>
      </c>
      <c r="K1461" s="3">
        <v>249.67</v>
      </c>
      <c r="L1461" s="3"/>
      <c r="N1461" s="4"/>
    </row>
    <row r="1462" spans="1:14" ht="17.5" thickBot="1" x14ac:dyDescent="0.45">
      <c r="A1462" s="4">
        <v>44319</v>
      </c>
      <c r="B1462" s="3">
        <v>178.43</v>
      </c>
      <c r="C1462" s="3">
        <v>345.3</v>
      </c>
      <c r="D1462" s="3">
        <v>119.17</v>
      </c>
      <c r="E1462" s="3">
        <v>1.4033</v>
      </c>
      <c r="F1462" s="3">
        <v>322.01</v>
      </c>
      <c r="G1462" s="3">
        <v>327.81</v>
      </c>
      <c r="H1462" s="3">
        <v>219.48</v>
      </c>
      <c r="I1462" s="3">
        <v>273.54000000000002</v>
      </c>
      <c r="J1462" s="3">
        <v>114.29</v>
      </c>
      <c r="K1462" s="3">
        <v>249.67</v>
      </c>
      <c r="L1462" s="3"/>
      <c r="N1462" s="4"/>
    </row>
    <row r="1463" spans="1:14" ht="17.5" thickBot="1" x14ac:dyDescent="0.45">
      <c r="A1463" s="4">
        <v>44320</v>
      </c>
      <c r="B1463" s="3">
        <v>180.23</v>
      </c>
      <c r="C1463" s="3">
        <v>345.14</v>
      </c>
      <c r="D1463" s="3">
        <v>118.99</v>
      </c>
      <c r="E1463" s="3">
        <v>1.3976</v>
      </c>
      <c r="F1463" s="3">
        <v>320.89999999999998</v>
      </c>
      <c r="G1463" s="3">
        <v>326.27999999999997</v>
      </c>
      <c r="H1463" s="3">
        <v>218.78</v>
      </c>
      <c r="I1463" s="3">
        <v>271.72000000000003</v>
      </c>
      <c r="J1463" s="3">
        <v>114.29</v>
      </c>
      <c r="K1463" s="3">
        <v>249.17</v>
      </c>
      <c r="L1463" s="3"/>
      <c r="N1463" s="4"/>
    </row>
    <row r="1464" spans="1:14" ht="17.5" thickBot="1" x14ac:dyDescent="0.45">
      <c r="A1464" s="4">
        <v>44321</v>
      </c>
      <c r="B1464" s="3">
        <v>179.37</v>
      </c>
      <c r="C1464" s="3">
        <v>344.16</v>
      </c>
      <c r="D1464" s="3">
        <v>119.26</v>
      </c>
      <c r="E1464" s="3">
        <v>1.3998999999999999</v>
      </c>
      <c r="F1464" s="3">
        <v>321.04000000000002</v>
      </c>
      <c r="G1464" s="3">
        <v>326.82</v>
      </c>
      <c r="H1464" s="3">
        <v>218.91</v>
      </c>
      <c r="I1464" s="3">
        <v>272.49</v>
      </c>
      <c r="J1464" s="3">
        <v>114.29</v>
      </c>
      <c r="K1464" s="3">
        <v>249.25</v>
      </c>
      <c r="L1464" s="3"/>
      <c r="N1464" s="4"/>
    </row>
    <row r="1465" spans="1:14" ht="17.5" thickBot="1" x14ac:dyDescent="0.45">
      <c r="A1465" s="4">
        <v>44322</v>
      </c>
      <c r="B1465" s="3">
        <v>180.14</v>
      </c>
      <c r="C1465" s="3">
        <v>345.88</v>
      </c>
      <c r="D1465" s="3">
        <v>119.34</v>
      </c>
      <c r="E1465" s="3">
        <v>1.4058999999999999</v>
      </c>
      <c r="F1465" s="3">
        <v>323.37</v>
      </c>
      <c r="G1465" s="3">
        <v>329.79</v>
      </c>
      <c r="H1465" s="3">
        <v>220.22</v>
      </c>
      <c r="I1465" s="3">
        <v>275.19</v>
      </c>
      <c r="J1465" s="3">
        <v>114.29</v>
      </c>
      <c r="K1465" s="3">
        <v>250.35</v>
      </c>
      <c r="L1465" s="3"/>
      <c r="N1465" s="4"/>
    </row>
    <row r="1466" spans="1:14" ht="17.5" thickBot="1" x14ac:dyDescent="0.45">
      <c r="A1466" s="4">
        <v>44323</v>
      </c>
      <c r="B1466" s="3">
        <v>180.18</v>
      </c>
      <c r="C1466" s="3">
        <v>349.88</v>
      </c>
      <c r="D1466" s="3">
        <v>119.7</v>
      </c>
      <c r="E1466" s="3">
        <v>1.413</v>
      </c>
      <c r="F1466" s="3">
        <v>324.69</v>
      </c>
      <c r="G1466" s="3">
        <v>331.9</v>
      </c>
      <c r="H1466" s="3">
        <v>221.1</v>
      </c>
      <c r="I1466" s="3">
        <v>277.73</v>
      </c>
      <c r="J1466" s="3">
        <v>114.29</v>
      </c>
      <c r="K1466" s="3">
        <v>251.13</v>
      </c>
      <c r="L1466" s="3"/>
      <c r="N1466" s="4"/>
    </row>
    <row r="1467" spans="1:14" ht="17.5" thickBot="1" x14ac:dyDescent="0.45">
      <c r="A1467" s="4">
        <v>44324</v>
      </c>
      <c r="B1467" s="3">
        <v>180.18</v>
      </c>
      <c r="C1467" s="3">
        <v>349.88</v>
      </c>
      <c r="D1467" s="3">
        <v>119.7</v>
      </c>
      <c r="E1467" s="3">
        <v>1.413</v>
      </c>
      <c r="F1467" s="3">
        <v>324.69</v>
      </c>
      <c r="G1467" s="3">
        <v>331.9</v>
      </c>
      <c r="H1467" s="3">
        <v>221.1</v>
      </c>
      <c r="I1467" s="3">
        <v>277.73</v>
      </c>
      <c r="J1467" s="3">
        <v>114.29</v>
      </c>
      <c r="K1467" s="3">
        <v>251.13</v>
      </c>
      <c r="L1467" s="3"/>
      <c r="N1467" s="4"/>
    </row>
    <row r="1468" spans="1:14" ht="17.5" thickBot="1" x14ac:dyDescent="0.45">
      <c r="A1468" s="4">
        <v>44325</v>
      </c>
      <c r="B1468" s="3">
        <v>180.18</v>
      </c>
      <c r="C1468" s="3">
        <v>349.88</v>
      </c>
      <c r="D1468" s="3">
        <v>119.7</v>
      </c>
      <c r="E1468" s="3">
        <v>1.413</v>
      </c>
      <c r="F1468" s="3">
        <v>324.69</v>
      </c>
      <c r="G1468" s="3">
        <v>331.9</v>
      </c>
      <c r="H1468" s="3">
        <v>221.1</v>
      </c>
      <c r="I1468" s="3">
        <v>277.73</v>
      </c>
      <c r="J1468" s="3">
        <v>114.29</v>
      </c>
      <c r="K1468" s="3">
        <v>251.13</v>
      </c>
      <c r="L1468" s="3"/>
      <c r="N1468" s="4"/>
    </row>
    <row r="1469" spans="1:14" ht="17.5" thickBot="1" x14ac:dyDescent="0.45">
      <c r="A1469" s="4">
        <v>44326</v>
      </c>
      <c r="B1469" s="3">
        <v>179.53</v>
      </c>
      <c r="C1469" s="3">
        <v>352.13</v>
      </c>
      <c r="D1469" s="3">
        <v>119.88</v>
      </c>
      <c r="E1469" s="3">
        <v>1.4081999999999999</v>
      </c>
      <c r="F1469" s="3">
        <v>324.2</v>
      </c>
      <c r="G1469" s="3">
        <v>328.74</v>
      </c>
      <c r="H1469" s="3">
        <v>220.78</v>
      </c>
      <c r="I1469" s="3">
        <v>275.60000000000002</v>
      </c>
      <c r="J1469" s="3">
        <v>114.29</v>
      </c>
      <c r="K1469" s="3">
        <v>250.89</v>
      </c>
      <c r="L1469" s="3"/>
      <c r="N1469" s="4"/>
    </row>
    <row r="1470" spans="1:14" ht="17.5" thickBot="1" x14ac:dyDescent="0.45">
      <c r="A1470" s="4">
        <v>44327</v>
      </c>
      <c r="B1470" s="3">
        <v>175.72</v>
      </c>
      <c r="C1470" s="3">
        <v>343.96</v>
      </c>
      <c r="D1470" s="3">
        <v>119.6</v>
      </c>
      <c r="E1470" s="3">
        <v>1.3966000000000001</v>
      </c>
      <c r="F1470" s="3">
        <v>318.66000000000003</v>
      </c>
      <c r="G1470" s="3">
        <v>325.69</v>
      </c>
      <c r="H1470" s="3">
        <v>217.5</v>
      </c>
      <c r="I1470" s="3">
        <v>273.64</v>
      </c>
      <c r="J1470" s="3">
        <v>114.29</v>
      </c>
      <c r="K1470" s="3">
        <v>248.23</v>
      </c>
      <c r="L1470" s="3"/>
      <c r="N1470" s="4"/>
    </row>
    <row r="1471" spans="1:14" ht="17.5" thickBot="1" x14ac:dyDescent="0.45">
      <c r="A1471" s="4">
        <v>44328</v>
      </c>
      <c r="B1471" s="3">
        <v>177.62</v>
      </c>
      <c r="C1471" s="3">
        <v>337.97</v>
      </c>
      <c r="D1471" s="3">
        <v>119.15</v>
      </c>
      <c r="E1471" s="3">
        <v>1.3813</v>
      </c>
      <c r="F1471" s="3">
        <v>316.74</v>
      </c>
      <c r="G1471" s="3">
        <v>318.56</v>
      </c>
      <c r="H1471" s="3">
        <v>216.35</v>
      </c>
      <c r="I1471" s="3">
        <v>267.33999999999997</v>
      </c>
      <c r="J1471" s="3">
        <v>114.29</v>
      </c>
      <c r="K1471" s="3">
        <v>246.9</v>
      </c>
      <c r="L1471" s="3"/>
      <c r="N1471" s="4"/>
    </row>
    <row r="1472" spans="1:14" ht="17.5" thickBot="1" x14ac:dyDescent="0.45">
      <c r="A1472" s="4">
        <v>44329</v>
      </c>
      <c r="B1472" s="3">
        <v>174.85</v>
      </c>
      <c r="C1472" s="3">
        <v>333.79</v>
      </c>
      <c r="D1472" s="3">
        <v>118.97</v>
      </c>
      <c r="E1472" s="3">
        <v>1.3839999999999999</v>
      </c>
      <c r="F1472" s="3">
        <v>314.17</v>
      </c>
      <c r="G1472" s="3">
        <v>323.04000000000002</v>
      </c>
      <c r="H1472" s="3">
        <v>214.81</v>
      </c>
      <c r="I1472" s="3">
        <v>270.26</v>
      </c>
      <c r="J1472" s="3">
        <v>114.29</v>
      </c>
      <c r="K1472" s="3">
        <v>245.63</v>
      </c>
      <c r="L1472" s="3"/>
      <c r="N1472" s="4"/>
    </row>
    <row r="1473" spans="1:14" ht="17.5" thickBot="1" x14ac:dyDescent="0.45">
      <c r="A1473" s="4">
        <v>44330</v>
      </c>
      <c r="B1473" s="3">
        <v>175.92</v>
      </c>
      <c r="C1473" s="3">
        <v>335.92</v>
      </c>
      <c r="D1473" s="3">
        <v>119.15</v>
      </c>
      <c r="E1473" s="3">
        <v>1.3966000000000001</v>
      </c>
      <c r="F1473" s="3">
        <v>318</v>
      </c>
      <c r="G1473" s="3">
        <v>327.41000000000003</v>
      </c>
      <c r="H1473" s="3">
        <v>216.98</v>
      </c>
      <c r="I1473" s="3">
        <v>274.56</v>
      </c>
      <c r="J1473" s="3">
        <v>114.29</v>
      </c>
      <c r="K1473" s="3">
        <v>247.55</v>
      </c>
      <c r="L1473" s="3"/>
      <c r="N1473" s="4"/>
    </row>
    <row r="1474" spans="1:14" ht="17.5" thickBot="1" x14ac:dyDescent="0.45">
      <c r="A1474" s="4">
        <v>44331</v>
      </c>
      <c r="B1474" s="3">
        <v>175.92</v>
      </c>
      <c r="C1474" s="3">
        <v>335.92</v>
      </c>
      <c r="D1474" s="3">
        <v>119.15</v>
      </c>
      <c r="E1474" s="3">
        <v>1.3966000000000001</v>
      </c>
      <c r="F1474" s="3">
        <v>318</v>
      </c>
      <c r="G1474" s="3">
        <v>327.41000000000003</v>
      </c>
      <c r="H1474" s="3">
        <v>216.98</v>
      </c>
      <c r="I1474" s="3">
        <v>274.56</v>
      </c>
      <c r="J1474" s="3">
        <v>114.29</v>
      </c>
      <c r="K1474" s="3">
        <v>247.55</v>
      </c>
      <c r="L1474" s="3"/>
      <c r="N1474" s="4"/>
    </row>
    <row r="1475" spans="1:14" ht="17.5" thickBot="1" x14ac:dyDescent="0.45">
      <c r="A1475" s="4">
        <v>44332</v>
      </c>
      <c r="B1475" s="3">
        <v>175.92</v>
      </c>
      <c r="C1475" s="3">
        <v>335.92</v>
      </c>
      <c r="D1475" s="3">
        <v>119.15</v>
      </c>
      <c r="E1475" s="3">
        <v>1.3966000000000001</v>
      </c>
      <c r="F1475" s="3">
        <v>318</v>
      </c>
      <c r="G1475" s="3">
        <v>327.41000000000003</v>
      </c>
      <c r="H1475" s="3">
        <v>216.98</v>
      </c>
      <c r="I1475" s="3">
        <v>274.56</v>
      </c>
      <c r="J1475" s="3">
        <v>114.29</v>
      </c>
      <c r="K1475" s="3">
        <v>247.55</v>
      </c>
      <c r="L1475" s="3"/>
      <c r="N1475" s="4"/>
    </row>
    <row r="1476" spans="1:14" ht="17.5" thickBot="1" x14ac:dyDescent="0.45">
      <c r="A1476" s="4">
        <v>44333</v>
      </c>
      <c r="B1476" s="3">
        <v>177.32</v>
      </c>
      <c r="C1476" s="3">
        <v>335.34</v>
      </c>
      <c r="D1476" s="3">
        <v>118.96</v>
      </c>
      <c r="E1476" s="3">
        <v>1.3956</v>
      </c>
      <c r="F1476" s="3">
        <v>319.20999999999998</v>
      </c>
      <c r="G1476" s="3">
        <v>326.33</v>
      </c>
      <c r="H1476" s="3">
        <v>217.64</v>
      </c>
      <c r="I1476" s="3">
        <v>274.02</v>
      </c>
      <c r="J1476" s="3">
        <v>114.29</v>
      </c>
      <c r="K1476" s="3">
        <v>248.1</v>
      </c>
      <c r="L1476" s="3"/>
      <c r="N1476" s="4"/>
    </row>
    <row r="1477" spans="1:14" ht="17.5" thickBot="1" x14ac:dyDescent="0.45">
      <c r="A1477" s="4">
        <v>44334</v>
      </c>
      <c r="B1477" s="3">
        <v>179.72</v>
      </c>
      <c r="C1477" s="3">
        <v>342.85</v>
      </c>
      <c r="D1477" s="3">
        <v>119.14</v>
      </c>
      <c r="E1477" s="3">
        <v>1.3960999999999999</v>
      </c>
      <c r="F1477" s="3">
        <v>322.10000000000002</v>
      </c>
      <c r="G1477" s="3">
        <v>323.37</v>
      </c>
      <c r="H1477" s="3">
        <v>219.27</v>
      </c>
      <c r="I1477" s="3">
        <v>272.12</v>
      </c>
      <c r="J1477" s="3">
        <v>114.29</v>
      </c>
      <c r="K1477" s="3">
        <v>249.51</v>
      </c>
      <c r="L1477" s="3"/>
      <c r="N1477" s="4"/>
    </row>
    <row r="1478" spans="1:14" ht="17.5" thickBot="1" x14ac:dyDescent="0.45">
      <c r="A1478" s="4">
        <v>44335</v>
      </c>
      <c r="B1478" s="3">
        <v>179.72</v>
      </c>
      <c r="C1478" s="3">
        <v>342.85</v>
      </c>
      <c r="D1478" s="3">
        <v>119.14</v>
      </c>
      <c r="E1478" s="3">
        <v>1.3960999999999999</v>
      </c>
      <c r="F1478" s="3">
        <v>322.10000000000002</v>
      </c>
      <c r="G1478" s="3">
        <v>323.37</v>
      </c>
      <c r="H1478" s="3">
        <v>219.27</v>
      </c>
      <c r="I1478" s="3">
        <v>272.12</v>
      </c>
      <c r="J1478" s="3">
        <v>114.29</v>
      </c>
      <c r="K1478" s="3">
        <v>249.51</v>
      </c>
      <c r="L1478" s="3"/>
      <c r="N1478" s="4"/>
    </row>
    <row r="1479" spans="1:14" ht="17.5" thickBot="1" x14ac:dyDescent="0.45">
      <c r="A1479" s="4">
        <v>44336</v>
      </c>
      <c r="B1479" s="3">
        <v>178.95</v>
      </c>
      <c r="C1479" s="3">
        <v>339.11</v>
      </c>
      <c r="D1479" s="3">
        <v>118.95</v>
      </c>
      <c r="E1479" s="3">
        <v>1.3993</v>
      </c>
      <c r="F1479" s="3">
        <v>321.58</v>
      </c>
      <c r="G1479" s="3">
        <v>325.62</v>
      </c>
      <c r="H1479" s="3">
        <v>219.02</v>
      </c>
      <c r="I1479" s="3">
        <v>273.39</v>
      </c>
      <c r="J1479" s="3">
        <v>114.29</v>
      </c>
      <c r="K1479" s="3">
        <v>249.29</v>
      </c>
      <c r="L1479" s="3"/>
      <c r="N1479" s="4"/>
    </row>
    <row r="1480" spans="1:14" ht="17.5" thickBot="1" x14ac:dyDescent="0.45">
      <c r="A1480" s="4">
        <v>44337</v>
      </c>
      <c r="B1480" s="3">
        <v>179.21</v>
      </c>
      <c r="C1480" s="3">
        <v>341.47</v>
      </c>
      <c r="D1480" s="3">
        <v>119.04</v>
      </c>
      <c r="E1480" s="3">
        <v>1.4005000000000001</v>
      </c>
      <c r="F1480" s="3">
        <v>322.57</v>
      </c>
      <c r="G1480" s="3">
        <v>325.08</v>
      </c>
      <c r="H1480" s="3">
        <v>219.51</v>
      </c>
      <c r="I1480" s="3">
        <v>272.83999999999997</v>
      </c>
      <c r="J1480" s="3">
        <v>114.29</v>
      </c>
      <c r="K1480" s="3">
        <v>249.73</v>
      </c>
      <c r="L1480" s="3"/>
      <c r="N1480" s="4"/>
    </row>
    <row r="1481" spans="1:14" ht="17.5" thickBot="1" x14ac:dyDescent="0.45">
      <c r="A1481" s="4">
        <v>44338</v>
      </c>
      <c r="B1481" s="3">
        <v>179.21</v>
      </c>
      <c r="C1481" s="3">
        <v>341.47</v>
      </c>
      <c r="D1481" s="3">
        <v>119.04</v>
      </c>
      <c r="E1481" s="3">
        <v>1.4005000000000001</v>
      </c>
      <c r="F1481" s="3">
        <v>322.57</v>
      </c>
      <c r="G1481" s="3">
        <v>325.08</v>
      </c>
      <c r="H1481" s="3">
        <v>219.51</v>
      </c>
      <c r="I1481" s="3">
        <v>272.83999999999997</v>
      </c>
      <c r="J1481" s="3">
        <v>114.29</v>
      </c>
      <c r="K1481" s="3">
        <v>249.73</v>
      </c>
      <c r="L1481" s="3"/>
      <c r="N1481" s="4"/>
    </row>
    <row r="1482" spans="1:14" ht="17.5" thickBot="1" x14ac:dyDescent="0.45">
      <c r="A1482" s="4">
        <v>44339</v>
      </c>
      <c r="B1482" s="3">
        <v>179.21</v>
      </c>
      <c r="C1482" s="3">
        <v>341.47</v>
      </c>
      <c r="D1482" s="3">
        <v>119.04</v>
      </c>
      <c r="E1482" s="3">
        <v>1.4005000000000001</v>
      </c>
      <c r="F1482" s="3">
        <v>322.57</v>
      </c>
      <c r="G1482" s="3">
        <v>325.08</v>
      </c>
      <c r="H1482" s="3">
        <v>219.51</v>
      </c>
      <c r="I1482" s="3">
        <v>272.83999999999997</v>
      </c>
      <c r="J1482" s="3">
        <v>114.29</v>
      </c>
      <c r="K1482" s="3">
        <v>249.73</v>
      </c>
      <c r="L1482" s="3"/>
      <c r="N1482" s="4"/>
    </row>
    <row r="1483" spans="1:14" ht="17.5" thickBot="1" x14ac:dyDescent="0.45">
      <c r="A1483" s="4">
        <v>44340</v>
      </c>
      <c r="B1483" s="3">
        <v>179.17</v>
      </c>
      <c r="C1483" s="3">
        <v>341.04</v>
      </c>
      <c r="D1483" s="3">
        <v>119.12</v>
      </c>
      <c r="E1483" s="3">
        <v>1.4071</v>
      </c>
      <c r="F1483" s="3">
        <v>323.58</v>
      </c>
      <c r="G1483" s="3">
        <v>327.93</v>
      </c>
      <c r="H1483" s="3">
        <v>220.03</v>
      </c>
      <c r="I1483" s="3">
        <v>275.39999999999998</v>
      </c>
      <c r="J1483" s="3">
        <v>114.29</v>
      </c>
      <c r="K1483" s="3">
        <v>250.26</v>
      </c>
      <c r="L1483" s="3"/>
      <c r="N1483" s="4"/>
    </row>
    <row r="1484" spans="1:14" ht="17.5" thickBot="1" x14ac:dyDescent="0.45">
      <c r="A1484" s="4">
        <v>44341</v>
      </c>
      <c r="B1484" s="3">
        <v>182.28</v>
      </c>
      <c r="C1484" s="3">
        <v>344.47</v>
      </c>
      <c r="D1484" s="3">
        <v>119.3</v>
      </c>
      <c r="E1484" s="3">
        <v>1.4092</v>
      </c>
      <c r="F1484" s="3">
        <v>325.85000000000002</v>
      </c>
      <c r="G1484" s="3">
        <v>326.83999999999997</v>
      </c>
      <c r="H1484" s="3">
        <v>221.27</v>
      </c>
      <c r="I1484" s="3">
        <v>274.12</v>
      </c>
      <c r="J1484" s="3">
        <v>114.29</v>
      </c>
      <c r="K1484" s="3">
        <v>251.42</v>
      </c>
      <c r="L1484" s="3"/>
      <c r="N1484" s="4"/>
    </row>
    <row r="1485" spans="1:14" ht="17.5" thickBot="1" x14ac:dyDescent="0.45">
      <c r="A1485" s="4">
        <v>44342</v>
      </c>
      <c r="B1485" s="3">
        <v>183.44</v>
      </c>
      <c r="C1485" s="3">
        <v>344.56</v>
      </c>
      <c r="D1485" s="3">
        <v>119.39</v>
      </c>
      <c r="E1485" s="3">
        <v>1.4113</v>
      </c>
      <c r="F1485" s="3">
        <v>326.73</v>
      </c>
      <c r="G1485" s="3">
        <v>327.49</v>
      </c>
      <c r="H1485" s="3">
        <v>221.76</v>
      </c>
      <c r="I1485" s="3">
        <v>275.10000000000002</v>
      </c>
      <c r="J1485" s="3">
        <v>114.29</v>
      </c>
      <c r="K1485" s="3">
        <v>251.85</v>
      </c>
      <c r="L1485" s="3"/>
      <c r="N1485" s="4"/>
    </row>
    <row r="1486" spans="1:14" ht="17.5" thickBot="1" x14ac:dyDescent="0.45">
      <c r="A1486" s="4">
        <v>44343</v>
      </c>
      <c r="B1486" s="3">
        <v>183.5</v>
      </c>
      <c r="C1486" s="3">
        <v>345</v>
      </c>
      <c r="D1486" s="3">
        <v>119.48</v>
      </c>
      <c r="E1486" s="3">
        <v>1.4101999999999999</v>
      </c>
      <c r="F1486" s="3">
        <v>326.43</v>
      </c>
      <c r="G1486" s="3">
        <v>327.64</v>
      </c>
      <c r="H1486" s="3">
        <v>221.61</v>
      </c>
      <c r="I1486" s="3">
        <v>275.75</v>
      </c>
      <c r="J1486" s="3">
        <v>114.29</v>
      </c>
      <c r="K1486" s="3">
        <v>251.56</v>
      </c>
      <c r="L1486" s="3"/>
      <c r="N1486" s="4"/>
    </row>
    <row r="1487" spans="1:14" ht="17.5" thickBot="1" x14ac:dyDescent="0.45">
      <c r="A1487" s="4">
        <v>44344</v>
      </c>
      <c r="B1487" s="3">
        <v>183.56</v>
      </c>
      <c r="C1487" s="3">
        <v>348.46</v>
      </c>
      <c r="D1487" s="3">
        <v>119.39</v>
      </c>
      <c r="E1487" s="3">
        <v>1.4137</v>
      </c>
      <c r="F1487" s="3">
        <v>327.42</v>
      </c>
      <c r="G1487" s="3">
        <v>327.95</v>
      </c>
      <c r="H1487" s="3">
        <v>222.1</v>
      </c>
      <c r="I1487" s="3">
        <v>276.99</v>
      </c>
      <c r="J1487" s="3">
        <v>114.29</v>
      </c>
      <c r="K1487" s="3">
        <v>251.99</v>
      </c>
      <c r="L1487" s="3"/>
      <c r="N1487" s="4"/>
    </row>
    <row r="1488" spans="1:14" ht="17.5" thickBot="1" x14ac:dyDescent="0.45">
      <c r="A1488" s="4">
        <v>44345</v>
      </c>
      <c r="B1488" s="3">
        <v>183.56</v>
      </c>
      <c r="C1488" s="3">
        <v>348.46</v>
      </c>
      <c r="D1488" s="3">
        <v>119.39</v>
      </c>
      <c r="E1488" s="3">
        <v>1.4137</v>
      </c>
      <c r="F1488" s="3">
        <v>327.42</v>
      </c>
      <c r="G1488" s="3">
        <v>327.95</v>
      </c>
      <c r="H1488" s="3">
        <v>222.1</v>
      </c>
      <c r="I1488" s="3">
        <v>276.99</v>
      </c>
      <c r="J1488" s="3">
        <v>114.29</v>
      </c>
      <c r="K1488" s="3">
        <v>251.99</v>
      </c>
      <c r="L1488" s="3"/>
      <c r="N1488" s="4"/>
    </row>
    <row r="1489" spans="1:14" ht="17.5" thickBot="1" x14ac:dyDescent="0.45">
      <c r="A1489" s="4">
        <v>44346</v>
      </c>
      <c r="B1489" s="3">
        <v>183.56</v>
      </c>
      <c r="C1489" s="3">
        <v>348.46</v>
      </c>
      <c r="D1489" s="3">
        <v>119.39</v>
      </c>
      <c r="E1489" s="3">
        <v>1.4137</v>
      </c>
      <c r="F1489" s="3">
        <v>327.42</v>
      </c>
      <c r="G1489" s="3">
        <v>327.95</v>
      </c>
      <c r="H1489" s="3">
        <v>222.1</v>
      </c>
      <c r="I1489" s="3">
        <v>276.99</v>
      </c>
      <c r="J1489" s="3">
        <v>114.29</v>
      </c>
      <c r="K1489" s="3">
        <v>251.99</v>
      </c>
      <c r="L1489" s="3"/>
      <c r="N1489" s="4"/>
    </row>
    <row r="1490" spans="1:14" ht="17.5" thickBot="1" x14ac:dyDescent="0.45">
      <c r="A1490" s="4">
        <v>44347</v>
      </c>
      <c r="B1490" s="3">
        <v>183.6</v>
      </c>
      <c r="C1490" s="3">
        <v>351.85</v>
      </c>
      <c r="D1490" s="3">
        <v>119.56</v>
      </c>
      <c r="E1490" s="3">
        <v>1.4139999999999999</v>
      </c>
      <c r="F1490" s="3">
        <v>328.48</v>
      </c>
      <c r="G1490" s="3">
        <v>327.97</v>
      </c>
      <c r="H1490" s="3">
        <v>222.62</v>
      </c>
      <c r="I1490" s="3">
        <v>277.01</v>
      </c>
      <c r="J1490" s="3">
        <v>114.3</v>
      </c>
      <c r="K1490" s="3">
        <v>252.49</v>
      </c>
      <c r="L1490" s="3"/>
      <c r="N1490" s="4"/>
    </row>
    <row r="1491" spans="1:14" ht="17.5" thickBot="1" x14ac:dyDescent="0.45">
      <c r="A1491" s="4">
        <v>44348</v>
      </c>
      <c r="B1491" s="3">
        <v>185.95</v>
      </c>
      <c r="C1491" s="3">
        <v>352.58</v>
      </c>
      <c r="D1491" s="3">
        <v>119.65</v>
      </c>
      <c r="E1491" s="3">
        <v>1.4156</v>
      </c>
      <c r="F1491" s="3">
        <v>330.5</v>
      </c>
      <c r="G1491" s="3">
        <v>327.55</v>
      </c>
      <c r="H1491" s="3">
        <v>223.61</v>
      </c>
      <c r="I1491" s="3">
        <v>277.95999999999998</v>
      </c>
      <c r="J1491" s="3">
        <v>114.3</v>
      </c>
      <c r="K1491" s="3">
        <v>253.29</v>
      </c>
      <c r="L1491" s="3"/>
      <c r="N1491" s="4"/>
    </row>
    <row r="1492" spans="1:14" ht="17.5" thickBot="1" x14ac:dyDescent="0.45">
      <c r="A1492" s="4">
        <v>44349</v>
      </c>
      <c r="B1492" s="3">
        <v>184.81</v>
      </c>
      <c r="C1492" s="3">
        <v>351.1</v>
      </c>
      <c r="D1492" s="3">
        <v>119.37</v>
      </c>
      <c r="E1492" s="3">
        <v>1.4171</v>
      </c>
      <c r="F1492" s="3">
        <v>330.18</v>
      </c>
      <c r="G1492" s="3">
        <v>327.91</v>
      </c>
      <c r="H1492" s="3">
        <v>223.46</v>
      </c>
      <c r="I1492" s="3">
        <v>279.16000000000003</v>
      </c>
      <c r="J1492" s="3">
        <v>114.3</v>
      </c>
      <c r="K1492" s="3">
        <v>253.16</v>
      </c>
      <c r="L1492" s="3"/>
      <c r="N1492" s="4"/>
    </row>
    <row r="1493" spans="1:14" ht="17.5" thickBot="1" x14ac:dyDescent="0.45">
      <c r="A1493" s="4">
        <v>44350</v>
      </c>
      <c r="B1493" s="3">
        <v>182.82</v>
      </c>
      <c r="C1493" s="3">
        <v>352.64</v>
      </c>
      <c r="D1493" s="3">
        <v>119.19</v>
      </c>
      <c r="E1493" s="3">
        <v>1.413</v>
      </c>
      <c r="F1493" s="3">
        <v>328.27</v>
      </c>
      <c r="G1493" s="3">
        <v>326.82</v>
      </c>
      <c r="H1493" s="3">
        <v>222.33</v>
      </c>
      <c r="I1493" s="3">
        <v>277.8</v>
      </c>
      <c r="J1493" s="3">
        <v>114.3</v>
      </c>
      <c r="K1493" s="3">
        <v>252.03</v>
      </c>
      <c r="L1493" s="3"/>
      <c r="N1493" s="4"/>
    </row>
    <row r="1494" spans="1:14" ht="17.5" thickBot="1" x14ac:dyDescent="0.45">
      <c r="A1494" s="4">
        <v>44351</v>
      </c>
      <c r="B1494" s="3">
        <v>182.72</v>
      </c>
      <c r="C1494" s="3">
        <v>352.63</v>
      </c>
      <c r="D1494" s="3">
        <v>119.19</v>
      </c>
      <c r="E1494" s="3">
        <v>1.42</v>
      </c>
      <c r="F1494" s="3">
        <v>329.16</v>
      </c>
      <c r="G1494" s="3">
        <v>329.73</v>
      </c>
      <c r="H1494" s="3">
        <v>222.92</v>
      </c>
      <c r="I1494" s="3">
        <v>280.64</v>
      </c>
      <c r="J1494" s="3">
        <v>114.3</v>
      </c>
      <c r="K1494" s="3">
        <v>252.73</v>
      </c>
      <c r="L1494" s="3"/>
      <c r="N1494" s="4"/>
    </row>
    <row r="1495" spans="1:14" ht="17.5" thickBot="1" x14ac:dyDescent="0.45">
      <c r="A1495" s="4">
        <v>44352</v>
      </c>
      <c r="B1495" s="3">
        <v>182.72</v>
      </c>
      <c r="C1495" s="3">
        <v>352.63</v>
      </c>
      <c r="D1495" s="3">
        <v>119.19</v>
      </c>
      <c r="E1495" s="3">
        <v>1.42</v>
      </c>
      <c r="F1495" s="3">
        <v>329.16</v>
      </c>
      <c r="G1495" s="3">
        <v>329.73</v>
      </c>
      <c r="H1495" s="3">
        <v>222.92</v>
      </c>
      <c r="I1495" s="3">
        <v>280.64</v>
      </c>
      <c r="J1495" s="3">
        <v>114.3</v>
      </c>
      <c r="K1495" s="3">
        <v>252.73</v>
      </c>
      <c r="L1495" s="3"/>
      <c r="N1495" s="4"/>
    </row>
    <row r="1496" spans="1:14" ht="17.5" thickBot="1" x14ac:dyDescent="0.45">
      <c r="A1496" s="4">
        <v>44353</v>
      </c>
      <c r="B1496" s="3">
        <v>182.72</v>
      </c>
      <c r="C1496" s="3">
        <v>352.63</v>
      </c>
      <c r="D1496" s="3">
        <v>119.19</v>
      </c>
      <c r="E1496" s="3">
        <v>1.42</v>
      </c>
      <c r="F1496" s="3">
        <v>329.16</v>
      </c>
      <c r="G1496" s="3">
        <v>329.73</v>
      </c>
      <c r="H1496" s="3">
        <v>222.92</v>
      </c>
      <c r="I1496" s="3">
        <v>280.64</v>
      </c>
      <c r="J1496" s="3">
        <v>114.3</v>
      </c>
      <c r="K1496" s="3">
        <v>252.73</v>
      </c>
      <c r="L1496" s="3"/>
      <c r="N1496" s="4"/>
    </row>
    <row r="1497" spans="1:14" ht="17.5" thickBot="1" x14ac:dyDescent="0.45">
      <c r="A1497" s="4">
        <v>44354</v>
      </c>
      <c r="B1497" s="3">
        <v>181.98</v>
      </c>
      <c r="C1497" s="3">
        <v>353.73</v>
      </c>
      <c r="D1497" s="3">
        <v>119.54</v>
      </c>
      <c r="E1497" s="3">
        <v>1.4207000000000001</v>
      </c>
      <c r="F1497" s="3">
        <v>329.53</v>
      </c>
      <c r="G1497" s="3">
        <v>329.18</v>
      </c>
      <c r="H1497" s="3">
        <v>223.12</v>
      </c>
      <c r="I1497" s="3">
        <v>280.58999999999997</v>
      </c>
      <c r="J1497" s="3">
        <v>114.3</v>
      </c>
      <c r="K1497" s="3">
        <v>252.92</v>
      </c>
      <c r="L1497" s="3"/>
      <c r="N1497" s="4"/>
    </row>
    <row r="1498" spans="1:14" ht="17.5" thickBot="1" x14ac:dyDescent="0.45">
      <c r="A1498" s="4">
        <v>44355</v>
      </c>
      <c r="B1498" s="3">
        <v>181.77</v>
      </c>
      <c r="C1498" s="3">
        <v>353.65</v>
      </c>
      <c r="D1498" s="3">
        <v>119.54</v>
      </c>
      <c r="E1498" s="3">
        <v>1.4218</v>
      </c>
      <c r="F1498" s="3">
        <v>329.04</v>
      </c>
      <c r="G1498" s="3">
        <v>329.26</v>
      </c>
      <c r="H1498" s="3">
        <v>222.97</v>
      </c>
      <c r="I1498" s="3">
        <v>280.36</v>
      </c>
      <c r="J1498" s="3">
        <v>114.3</v>
      </c>
      <c r="K1498" s="3">
        <v>252.94</v>
      </c>
      <c r="L1498" s="3"/>
      <c r="N1498" s="4"/>
    </row>
    <row r="1499" spans="1:14" ht="17.5" thickBot="1" x14ac:dyDescent="0.45">
      <c r="A1499" s="4">
        <v>44356</v>
      </c>
      <c r="B1499" s="3">
        <v>181.68</v>
      </c>
      <c r="C1499" s="3">
        <v>350.92</v>
      </c>
      <c r="D1499" s="3">
        <v>119.54</v>
      </c>
      <c r="E1499" s="3">
        <v>1.4212</v>
      </c>
      <c r="F1499" s="3">
        <v>328.34</v>
      </c>
      <c r="G1499" s="3">
        <v>328.33</v>
      </c>
      <c r="H1499" s="3">
        <v>222.7</v>
      </c>
      <c r="I1499" s="3">
        <v>279.72000000000003</v>
      </c>
      <c r="J1499" s="3">
        <v>114.3</v>
      </c>
      <c r="K1499" s="3">
        <v>252.86</v>
      </c>
      <c r="L1499" s="3"/>
      <c r="N1499" s="4"/>
    </row>
    <row r="1500" spans="1:14" ht="17.5" thickBot="1" x14ac:dyDescent="0.45">
      <c r="A1500" s="4">
        <v>44357</v>
      </c>
      <c r="B1500" s="3">
        <v>181.57</v>
      </c>
      <c r="C1500" s="3">
        <v>353.3</v>
      </c>
      <c r="D1500" s="3">
        <v>119.72</v>
      </c>
      <c r="E1500" s="3">
        <v>1.4246000000000001</v>
      </c>
      <c r="F1500" s="3">
        <v>328.62</v>
      </c>
      <c r="G1500" s="3">
        <v>329.76</v>
      </c>
      <c r="H1500" s="3">
        <v>222.81</v>
      </c>
      <c r="I1500" s="3">
        <v>280.61</v>
      </c>
      <c r="J1500" s="3">
        <v>114.3</v>
      </c>
      <c r="K1500" s="3">
        <v>253</v>
      </c>
      <c r="L1500" s="3"/>
      <c r="N1500" s="4"/>
    </row>
    <row r="1501" spans="1:14" ht="17.5" thickBot="1" x14ac:dyDescent="0.45">
      <c r="A1501" s="4">
        <v>44358</v>
      </c>
      <c r="B1501" s="3">
        <v>182.25</v>
      </c>
      <c r="C1501" s="3">
        <v>354.95</v>
      </c>
      <c r="D1501" s="3">
        <v>119.89</v>
      </c>
      <c r="E1501" s="3">
        <v>1.4266000000000001</v>
      </c>
      <c r="F1501" s="3">
        <v>329.09</v>
      </c>
      <c r="G1501" s="3">
        <v>330.61</v>
      </c>
      <c r="H1501" s="3">
        <v>223.01</v>
      </c>
      <c r="I1501" s="3">
        <v>280.77999999999997</v>
      </c>
      <c r="J1501" s="3">
        <v>114.3</v>
      </c>
      <c r="K1501" s="3">
        <v>253.17</v>
      </c>
      <c r="L1501" s="3"/>
      <c r="N1501" s="4"/>
    </row>
    <row r="1502" spans="1:14" ht="17.5" thickBot="1" x14ac:dyDescent="0.45">
      <c r="A1502" s="4">
        <v>44359</v>
      </c>
      <c r="B1502" s="3">
        <v>182.25</v>
      </c>
      <c r="C1502" s="3">
        <v>354.95</v>
      </c>
      <c r="D1502" s="3">
        <v>119.89</v>
      </c>
      <c r="E1502" s="3">
        <v>1.4266000000000001</v>
      </c>
      <c r="F1502" s="3">
        <v>329.09</v>
      </c>
      <c r="G1502" s="3">
        <v>330.61</v>
      </c>
      <c r="H1502" s="3">
        <v>223.01</v>
      </c>
      <c r="I1502" s="3">
        <v>280.77999999999997</v>
      </c>
      <c r="J1502" s="3">
        <v>114.3</v>
      </c>
      <c r="K1502" s="3">
        <v>253.17</v>
      </c>
      <c r="L1502" s="3"/>
      <c r="N1502" s="4"/>
    </row>
    <row r="1503" spans="1:14" ht="17.5" thickBot="1" x14ac:dyDescent="0.45">
      <c r="A1503" s="4">
        <v>44360</v>
      </c>
      <c r="B1503" s="3">
        <v>182.25</v>
      </c>
      <c r="C1503" s="3">
        <v>354.95</v>
      </c>
      <c r="D1503" s="3">
        <v>119.89</v>
      </c>
      <c r="E1503" s="3">
        <v>1.4266000000000001</v>
      </c>
      <c r="F1503" s="3">
        <v>329.09</v>
      </c>
      <c r="G1503" s="3">
        <v>330.61</v>
      </c>
      <c r="H1503" s="3">
        <v>223.01</v>
      </c>
      <c r="I1503" s="3">
        <v>280.77999999999997</v>
      </c>
      <c r="J1503" s="3">
        <v>114.3</v>
      </c>
      <c r="K1503" s="3">
        <v>253.17</v>
      </c>
      <c r="L1503" s="3"/>
      <c r="N1503" s="4"/>
    </row>
    <row r="1504" spans="1:14" ht="17.5" thickBot="1" x14ac:dyDescent="0.45">
      <c r="A1504" s="4">
        <v>44361</v>
      </c>
      <c r="B1504" s="3">
        <v>182.25</v>
      </c>
      <c r="C1504" s="3">
        <v>354.95</v>
      </c>
      <c r="D1504" s="3">
        <v>119.89</v>
      </c>
      <c r="E1504" s="3">
        <v>1.4266000000000001</v>
      </c>
      <c r="F1504" s="3">
        <v>329.09</v>
      </c>
      <c r="G1504" s="3">
        <v>330.61</v>
      </c>
      <c r="H1504" s="3">
        <v>223.01</v>
      </c>
      <c r="I1504" s="3">
        <v>280.77999999999997</v>
      </c>
      <c r="J1504" s="3">
        <v>114.3</v>
      </c>
      <c r="K1504" s="3">
        <v>253.17</v>
      </c>
      <c r="L1504" s="3"/>
      <c r="N1504" s="4"/>
    </row>
    <row r="1505" spans="1:14" ht="17.5" thickBot="1" x14ac:dyDescent="0.45">
      <c r="A1505" s="4">
        <v>44362</v>
      </c>
      <c r="B1505" s="3">
        <v>180.95</v>
      </c>
      <c r="C1505" s="3">
        <v>355.9</v>
      </c>
      <c r="D1505" s="3">
        <v>119.62</v>
      </c>
      <c r="E1505" s="3">
        <v>1.4263999999999999</v>
      </c>
      <c r="F1505" s="3">
        <v>329.25</v>
      </c>
      <c r="G1505" s="3">
        <v>330.23</v>
      </c>
      <c r="H1505" s="3">
        <v>222.97</v>
      </c>
      <c r="I1505" s="3">
        <v>281.08</v>
      </c>
      <c r="J1505" s="3">
        <v>114.3</v>
      </c>
      <c r="K1505" s="3">
        <v>252.99</v>
      </c>
      <c r="L1505" s="3"/>
      <c r="N1505" s="4"/>
    </row>
    <row r="1506" spans="1:14" ht="17.5" thickBot="1" x14ac:dyDescent="0.45">
      <c r="A1506" s="4">
        <v>44363</v>
      </c>
      <c r="B1506" s="3">
        <v>179.68</v>
      </c>
      <c r="C1506" s="3">
        <v>355.23</v>
      </c>
      <c r="D1506" s="3">
        <v>119.61</v>
      </c>
      <c r="E1506" s="3">
        <v>1.423</v>
      </c>
      <c r="F1506" s="3">
        <v>327.88</v>
      </c>
      <c r="G1506" s="3">
        <v>328.49</v>
      </c>
      <c r="H1506" s="3">
        <v>222.26</v>
      </c>
      <c r="I1506" s="3">
        <v>279.26</v>
      </c>
      <c r="J1506" s="3">
        <v>114.3</v>
      </c>
      <c r="K1506" s="3">
        <v>252.34</v>
      </c>
      <c r="L1506" s="3"/>
      <c r="N1506" s="4"/>
    </row>
    <row r="1507" spans="1:14" ht="17.5" thickBot="1" x14ac:dyDescent="0.45">
      <c r="A1507" s="4">
        <v>44364</v>
      </c>
      <c r="B1507" s="3">
        <v>180.06</v>
      </c>
      <c r="C1507" s="3">
        <v>351.24</v>
      </c>
      <c r="D1507" s="3">
        <v>118.62</v>
      </c>
      <c r="E1507" s="3">
        <v>1.4198999999999999</v>
      </c>
      <c r="F1507" s="3">
        <v>326.32</v>
      </c>
      <c r="G1507" s="3">
        <v>328.12</v>
      </c>
      <c r="H1507" s="3">
        <v>221.28</v>
      </c>
      <c r="I1507" s="3">
        <v>278.88</v>
      </c>
      <c r="J1507" s="3">
        <v>114.3</v>
      </c>
      <c r="K1507" s="3">
        <v>251.27</v>
      </c>
      <c r="L1507" s="3"/>
      <c r="N1507" s="4"/>
    </row>
    <row r="1508" spans="1:14" ht="17.5" thickBot="1" x14ac:dyDescent="0.45">
      <c r="A1508" s="4">
        <v>44365</v>
      </c>
      <c r="B1508" s="3">
        <v>181.77</v>
      </c>
      <c r="C1508" s="3">
        <v>349.35</v>
      </c>
      <c r="D1508" s="3">
        <v>118.35</v>
      </c>
      <c r="E1508" s="3">
        <v>1.4100999999999999</v>
      </c>
      <c r="F1508" s="3">
        <v>324.37</v>
      </c>
      <c r="G1508" s="3">
        <v>324.08</v>
      </c>
      <c r="H1508" s="3">
        <v>220.17</v>
      </c>
      <c r="I1508" s="3">
        <v>275.37</v>
      </c>
      <c r="J1508" s="3">
        <v>114.3</v>
      </c>
      <c r="K1508" s="3">
        <v>250.35</v>
      </c>
      <c r="L1508" s="3"/>
      <c r="N1508" s="4"/>
    </row>
    <row r="1509" spans="1:14" ht="17.5" thickBot="1" x14ac:dyDescent="0.45">
      <c r="A1509" s="4">
        <v>44366</v>
      </c>
      <c r="B1509" s="3">
        <v>181.77</v>
      </c>
      <c r="C1509" s="3">
        <v>349.35</v>
      </c>
      <c r="D1509" s="3">
        <v>118.35</v>
      </c>
      <c r="E1509" s="3">
        <v>1.4100999999999999</v>
      </c>
      <c r="F1509" s="3">
        <v>324.37</v>
      </c>
      <c r="G1509" s="3">
        <v>324.08</v>
      </c>
      <c r="H1509" s="3">
        <v>220.17</v>
      </c>
      <c r="I1509" s="3">
        <v>275.37</v>
      </c>
      <c r="J1509" s="3">
        <v>114.3</v>
      </c>
      <c r="K1509" s="3">
        <v>250.35</v>
      </c>
      <c r="L1509" s="3"/>
      <c r="N1509" s="4"/>
    </row>
    <row r="1510" spans="1:14" ht="17.5" thickBot="1" x14ac:dyDescent="0.45">
      <c r="A1510" s="4">
        <v>44367</v>
      </c>
      <c r="B1510" s="3">
        <v>181.77</v>
      </c>
      <c r="C1510" s="3">
        <v>349.35</v>
      </c>
      <c r="D1510" s="3">
        <v>118.35</v>
      </c>
      <c r="E1510" s="3">
        <v>1.4100999999999999</v>
      </c>
      <c r="F1510" s="3">
        <v>324.37</v>
      </c>
      <c r="G1510" s="3">
        <v>324.08</v>
      </c>
      <c r="H1510" s="3">
        <v>220.17</v>
      </c>
      <c r="I1510" s="3">
        <v>275.37</v>
      </c>
      <c r="J1510" s="3">
        <v>114.3</v>
      </c>
      <c r="K1510" s="3">
        <v>250.35</v>
      </c>
      <c r="L1510" s="3"/>
      <c r="N1510" s="4"/>
    </row>
    <row r="1511" spans="1:14" ht="17.5" thickBot="1" x14ac:dyDescent="0.45">
      <c r="A1511" s="4">
        <v>44368</v>
      </c>
      <c r="B1511" s="3">
        <v>180</v>
      </c>
      <c r="C1511" s="3">
        <v>344.6</v>
      </c>
      <c r="D1511" s="3">
        <v>118.52</v>
      </c>
      <c r="E1511" s="3">
        <v>1.4152</v>
      </c>
      <c r="F1511" s="3">
        <v>324.05</v>
      </c>
      <c r="G1511" s="3">
        <v>328.44</v>
      </c>
      <c r="H1511" s="3">
        <v>219.78</v>
      </c>
      <c r="I1511" s="3">
        <v>279.17</v>
      </c>
      <c r="J1511" s="3">
        <v>114.3</v>
      </c>
      <c r="K1511" s="3">
        <v>250</v>
      </c>
      <c r="L1511" s="3"/>
      <c r="N1511" s="4"/>
    </row>
    <row r="1512" spans="1:14" ht="17.5" thickBot="1" x14ac:dyDescent="0.45">
      <c r="A1512" s="4">
        <v>44369</v>
      </c>
      <c r="B1512" s="3">
        <v>178.73</v>
      </c>
      <c r="C1512" s="3">
        <v>346.34</v>
      </c>
      <c r="D1512" s="3">
        <v>118.34</v>
      </c>
      <c r="E1512" s="3">
        <v>1.4197</v>
      </c>
      <c r="F1512" s="3">
        <v>324.69</v>
      </c>
      <c r="G1512" s="3">
        <v>330.02</v>
      </c>
      <c r="H1512" s="3">
        <v>220.31</v>
      </c>
      <c r="I1512" s="3">
        <v>280.45</v>
      </c>
      <c r="J1512" s="3">
        <v>114.3</v>
      </c>
      <c r="K1512" s="3">
        <v>250.37</v>
      </c>
      <c r="L1512" s="3"/>
      <c r="N1512" s="4"/>
    </row>
    <row r="1513" spans="1:14" ht="17.5" thickBot="1" x14ac:dyDescent="0.45">
      <c r="A1513" s="4">
        <v>44370</v>
      </c>
      <c r="B1513" s="3">
        <v>182.16</v>
      </c>
      <c r="C1513" s="3">
        <v>348.05</v>
      </c>
      <c r="D1513" s="3">
        <v>118.42</v>
      </c>
      <c r="E1513" s="3">
        <v>1.4196</v>
      </c>
      <c r="F1513" s="3">
        <v>326.29000000000002</v>
      </c>
      <c r="G1513" s="3">
        <v>329.42</v>
      </c>
      <c r="H1513" s="3">
        <v>221.17</v>
      </c>
      <c r="I1513" s="3">
        <v>280.27</v>
      </c>
      <c r="J1513" s="3">
        <v>114.3</v>
      </c>
      <c r="K1513" s="3">
        <v>251.14</v>
      </c>
      <c r="L1513" s="3"/>
      <c r="N1513" s="4"/>
    </row>
    <row r="1514" spans="1:14" ht="17.5" thickBot="1" x14ac:dyDescent="0.45">
      <c r="A1514" s="4">
        <v>44371</v>
      </c>
      <c r="B1514" s="3">
        <v>182.57</v>
      </c>
      <c r="C1514" s="3">
        <v>348.45</v>
      </c>
      <c r="D1514" s="3">
        <v>118.33</v>
      </c>
      <c r="E1514" s="3">
        <v>1.4241999999999999</v>
      </c>
      <c r="F1514" s="3">
        <v>327.33999999999997</v>
      </c>
      <c r="G1514" s="3">
        <v>331.24</v>
      </c>
      <c r="H1514" s="3">
        <v>221.75</v>
      </c>
      <c r="I1514" s="3">
        <v>281.85000000000002</v>
      </c>
      <c r="J1514" s="3">
        <v>114.3</v>
      </c>
      <c r="K1514" s="3">
        <v>251.6</v>
      </c>
      <c r="L1514" s="3"/>
      <c r="N1514" s="4"/>
    </row>
    <row r="1515" spans="1:14" ht="17.5" thickBot="1" x14ac:dyDescent="0.45">
      <c r="A1515" s="4">
        <v>44372</v>
      </c>
      <c r="B1515" s="3">
        <v>184.77</v>
      </c>
      <c r="C1515" s="3">
        <v>350.69</v>
      </c>
      <c r="D1515" s="3">
        <v>118.6</v>
      </c>
      <c r="E1515" s="3">
        <v>1.4261999999999999</v>
      </c>
      <c r="F1515" s="3">
        <v>329.93</v>
      </c>
      <c r="G1515" s="3">
        <v>332.28</v>
      </c>
      <c r="H1515" s="3">
        <v>223.08</v>
      </c>
      <c r="I1515" s="3">
        <v>282.8</v>
      </c>
      <c r="J1515" s="3">
        <v>114.3</v>
      </c>
      <c r="K1515" s="3">
        <v>252.53</v>
      </c>
      <c r="L1515" s="3"/>
      <c r="N1515" s="4"/>
    </row>
    <row r="1516" spans="1:14" ht="17.5" thickBot="1" x14ac:dyDescent="0.45">
      <c r="A1516" s="4">
        <v>44373</v>
      </c>
      <c r="B1516" s="3">
        <v>184.77</v>
      </c>
      <c r="C1516" s="3">
        <v>350.69</v>
      </c>
      <c r="D1516" s="3">
        <v>118.6</v>
      </c>
      <c r="E1516" s="3">
        <v>1.4261999999999999</v>
      </c>
      <c r="F1516" s="3">
        <v>329.93</v>
      </c>
      <c r="G1516" s="3">
        <v>332.28</v>
      </c>
      <c r="H1516" s="3">
        <v>223.08</v>
      </c>
      <c r="I1516" s="3">
        <v>282.8</v>
      </c>
      <c r="J1516" s="3">
        <v>114.3</v>
      </c>
      <c r="K1516" s="3">
        <v>252.53</v>
      </c>
      <c r="L1516" s="3"/>
      <c r="N1516" s="4"/>
    </row>
    <row r="1517" spans="1:14" ht="17.5" thickBot="1" x14ac:dyDescent="0.45">
      <c r="A1517" s="4">
        <v>44374</v>
      </c>
      <c r="B1517" s="3">
        <v>184.77</v>
      </c>
      <c r="C1517" s="3">
        <v>350.69</v>
      </c>
      <c r="D1517" s="3">
        <v>118.6</v>
      </c>
      <c r="E1517" s="3">
        <v>1.4261999999999999</v>
      </c>
      <c r="F1517" s="3">
        <v>329.93</v>
      </c>
      <c r="G1517" s="3">
        <v>332.28</v>
      </c>
      <c r="H1517" s="3">
        <v>223.08</v>
      </c>
      <c r="I1517" s="3">
        <v>282.8</v>
      </c>
      <c r="J1517" s="3">
        <v>114.3</v>
      </c>
      <c r="K1517" s="3">
        <v>252.53</v>
      </c>
      <c r="L1517" s="3"/>
      <c r="N1517" s="4"/>
    </row>
    <row r="1518" spans="1:14" ht="17.5" thickBot="1" x14ac:dyDescent="0.45">
      <c r="A1518" s="4">
        <v>44375</v>
      </c>
      <c r="B1518" s="3">
        <v>184.84</v>
      </c>
      <c r="C1518" s="3">
        <v>349.08</v>
      </c>
      <c r="D1518" s="3">
        <v>118.32</v>
      </c>
      <c r="E1518" s="3">
        <v>1.4278</v>
      </c>
      <c r="F1518" s="3">
        <v>329.8</v>
      </c>
      <c r="G1518" s="3">
        <v>333.32</v>
      </c>
      <c r="H1518" s="3">
        <v>223.05</v>
      </c>
      <c r="I1518" s="3">
        <v>283.38</v>
      </c>
      <c r="J1518" s="3">
        <v>114.3</v>
      </c>
      <c r="K1518" s="3">
        <v>252.63</v>
      </c>
      <c r="L1518" s="3"/>
      <c r="N1518" s="4"/>
    </row>
    <row r="1519" spans="1:14" ht="17.5" thickBot="1" x14ac:dyDescent="0.45">
      <c r="A1519" s="4">
        <v>44376</v>
      </c>
      <c r="B1519" s="3">
        <v>183.44</v>
      </c>
      <c r="C1519" s="3">
        <v>347.95</v>
      </c>
      <c r="D1519" s="3">
        <v>118.23</v>
      </c>
      <c r="E1519" s="3">
        <v>1.4273</v>
      </c>
      <c r="F1519" s="3">
        <v>329.19</v>
      </c>
      <c r="G1519" s="3">
        <v>333.8</v>
      </c>
      <c r="H1519" s="3">
        <v>222.69</v>
      </c>
      <c r="I1519" s="3">
        <v>283.52</v>
      </c>
      <c r="J1519" s="3">
        <v>114.3</v>
      </c>
      <c r="K1519" s="3">
        <v>252.31</v>
      </c>
      <c r="L1519" s="3"/>
      <c r="N1519" s="4"/>
    </row>
    <row r="1520" spans="1:14" ht="17.5" thickBot="1" x14ac:dyDescent="0.45">
      <c r="A1520" s="4">
        <v>44377</v>
      </c>
      <c r="B1520" s="3">
        <v>182.35</v>
      </c>
      <c r="C1520" s="3">
        <v>348.58</v>
      </c>
      <c r="D1520" s="3">
        <v>118.32</v>
      </c>
      <c r="E1520" s="3">
        <v>1.4266000000000001</v>
      </c>
      <c r="F1520" s="3">
        <v>327.81</v>
      </c>
      <c r="G1520" s="3">
        <v>334.34</v>
      </c>
      <c r="H1520" s="3">
        <v>222.05</v>
      </c>
      <c r="I1520" s="3">
        <v>283.83</v>
      </c>
      <c r="J1520" s="3">
        <v>114.31</v>
      </c>
      <c r="K1520" s="3">
        <v>251.84</v>
      </c>
      <c r="L1520" s="3"/>
      <c r="N1520" s="4"/>
    </row>
    <row r="1521" spans="1:14" ht="17.5" thickBot="1" x14ac:dyDescent="0.45">
      <c r="A1521" s="4">
        <v>44378</v>
      </c>
      <c r="B1521" s="3">
        <v>182.35</v>
      </c>
      <c r="C1521" s="3">
        <v>348.58</v>
      </c>
      <c r="D1521" s="3">
        <v>118.32</v>
      </c>
      <c r="E1521" s="3">
        <v>1.4266000000000001</v>
      </c>
      <c r="F1521" s="3">
        <v>327.81</v>
      </c>
      <c r="G1521" s="3">
        <v>334.34</v>
      </c>
      <c r="H1521" s="3">
        <v>222.05</v>
      </c>
      <c r="I1521" s="3">
        <v>283.83</v>
      </c>
      <c r="J1521" s="3">
        <v>114.31</v>
      </c>
      <c r="K1521" s="3">
        <v>251.84</v>
      </c>
      <c r="L1521" s="3"/>
      <c r="N1521" s="4"/>
    </row>
    <row r="1522" spans="1:14" ht="17.5" thickBot="1" x14ac:dyDescent="0.45">
      <c r="A1522" s="4">
        <v>44379</v>
      </c>
      <c r="B1522" s="3">
        <v>179.13</v>
      </c>
      <c r="C1522" s="3">
        <v>344.8</v>
      </c>
      <c r="D1522" s="3">
        <v>118.31</v>
      </c>
      <c r="E1522" s="3">
        <v>1.4336</v>
      </c>
      <c r="F1522" s="3">
        <v>327</v>
      </c>
      <c r="G1522" s="3">
        <v>338.53</v>
      </c>
      <c r="H1522" s="3">
        <v>221.61</v>
      </c>
      <c r="I1522" s="3">
        <v>287.64</v>
      </c>
      <c r="J1522" s="3">
        <v>114.31</v>
      </c>
      <c r="K1522" s="3">
        <v>251.58</v>
      </c>
      <c r="L1522" s="3"/>
      <c r="N1522" s="4"/>
    </row>
    <row r="1523" spans="1:14" ht="17.5" thickBot="1" x14ac:dyDescent="0.45">
      <c r="A1523" s="4">
        <v>44380</v>
      </c>
      <c r="B1523" s="3">
        <v>179.13</v>
      </c>
      <c r="C1523" s="3">
        <v>344.8</v>
      </c>
      <c r="D1523" s="3">
        <v>118.31</v>
      </c>
      <c r="E1523" s="3">
        <v>1.4336</v>
      </c>
      <c r="F1523" s="3">
        <v>327</v>
      </c>
      <c r="G1523" s="3">
        <v>338.53</v>
      </c>
      <c r="H1523" s="3">
        <v>221.61</v>
      </c>
      <c r="I1523" s="3">
        <v>287.64</v>
      </c>
      <c r="J1523" s="3">
        <v>114.31</v>
      </c>
      <c r="K1523" s="3">
        <v>251.58</v>
      </c>
      <c r="L1523" s="3"/>
      <c r="N1523" s="4"/>
    </row>
    <row r="1524" spans="1:14" ht="17.5" thickBot="1" x14ac:dyDescent="0.45">
      <c r="A1524" s="4">
        <v>44381</v>
      </c>
      <c r="B1524" s="3">
        <v>179.13</v>
      </c>
      <c r="C1524" s="3">
        <v>344.8</v>
      </c>
      <c r="D1524" s="3">
        <v>118.31</v>
      </c>
      <c r="E1524" s="3">
        <v>1.4336</v>
      </c>
      <c r="F1524" s="3">
        <v>327</v>
      </c>
      <c r="G1524" s="3">
        <v>338.53</v>
      </c>
      <c r="H1524" s="3">
        <v>221.61</v>
      </c>
      <c r="I1524" s="3">
        <v>287.64</v>
      </c>
      <c r="J1524" s="3">
        <v>114.31</v>
      </c>
      <c r="K1524" s="3">
        <v>251.58</v>
      </c>
      <c r="L1524" s="3"/>
      <c r="N1524" s="4"/>
    </row>
    <row r="1525" spans="1:14" ht="17.5" thickBot="1" x14ac:dyDescent="0.45">
      <c r="A1525" s="4">
        <v>44382</v>
      </c>
      <c r="B1525" s="3">
        <v>178.54</v>
      </c>
      <c r="C1525" s="3">
        <v>346.9</v>
      </c>
      <c r="D1525" s="3">
        <v>118.58</v>
      </c>
      <c r="E1525" s="3">
        <v>1.4339999999999999</v>
      </c>
      <c r="F1525" s="3">
        <v>326.7</v>
      </c>
      <c r="G1525" s="3">
        <v>338.5</v>
      </c>
      <c r="H1525" s="3">
        <v>221.51</v>
      </c>
      <c r="I1525" s="3">
        <v>287.60000000000002</v>
      </c>
      <c r="J1525" s="3">
        <v>114.31</v>
      </c>
      <c r="K1525" s="3">
        <v>251.53</v>
      </c>
      <c r="L1525" s="3"/>
      <c r="N1525" s="4"/>
    </row>
    <row r="1526" spans="1:14" ht="17.5" thickBot="1" x14ac:dyDescent="0.45">
      <c r="A1526" s="4">
        <v>44383</v>
      </c>
      <c r="B1526" s="3">
        <v>178.04</v>
      </c>
      <c r="C1526" s="3">
        <v>347.09</v>
      </c>
      <c r="D1526" s="3">
        <v>118.49</v>
      </c>
      <c r="E1526" s="3">
        <v>1.4339</v>
      </c>
      <c r="F1526" s="3">
        <v>325.74</v>
      </c>
      <c r="G1526" s="3">
        <v>337.77</v>
      </c>
      <c r="H1526" s="3">
        <v>221.07</v>
      </c>
      <c r="I1526" s="3">
        <v>286.89</v>
      </c>
      <c r="J1526" s="3">
        <v>114.31</v>
      </c>
      <c r="K1526" s="3">
        <v>251.36</v>
      </c>
      <c r="L1526" s="3"/>
      <c r="N1526" s="4"/>
    </row>
    <row r="1527" spans="1:14" ht="17.5" thickBot="1" x14ac:dyDescent="0.45">
      <c r="A1527" s="4">
        <v>44384</v>
      </c>
      <c r="B1527" s="3">
        <v>177.85</v>
      </c>
      <c r="C1527" s="3">
        <v>346.16</v>
      </c>
      <c r="D1527" s="3">
        <v>118.48</v>
      </c>
      <c r="E1527" s="3">
        <v>1.4367000000000001</v>
      </c>
      <c r="F1527" s="3">
        <v>325.87</v>
      </c>
      <c r="G1527" s="3">
        <v>339.33</v>
      </c>
      <c r="H1527" s="3">
        <v>221.09</v>
      </c>
      <c r="I1527" s="3">
        <v>288.02999999999997</v>
      </c>
      <c r="J1527" s="3">
        <v>114.31</v>
      </c>
      <c r="K1527" s="3">
        <v>251.49</v>
      </c>
      <c r="L1527" s="3"/>
      <c r="N1527" s="4"/>
    </row>
    <row r="1528" spans="1:14" ht="17.5" thickBot="1" x14ac:dyDescent="0.45">
      <c r="A1528" s="4">
        <v>44385</v>
      </c>
      <c r="B1528" s="3">
        <v>172.84</v>
      </c>
      <c r="C1528" s="3">
        <v>343.05</v>
      </c>
      <c r="D1528" s="3">
        <v>118.3</v>
      </c>
      <c r="E1528" s="3">
        <v>1.429</v>
      </c>
      <c r="F1528" s="3">
        <v>320.92</v>
      </c>
      <c r="G1528" s="3">
        <v>336.27</v>
      </c>
      <c r="H1528" s="3">
        <v>218.49</v>
      </c>
      <c r="I1528" s="3">
        <v>285.75</v>
      </c>
      <c r="J1528" s="3">
        <v>114.31</v>
      </c>
      <c r="K1528" s="3">
        <v>249.59</v>
      </c>
      <c r="L1528" s="3"/>
      <c r="N1528" s="4"/>
    </row>
    <row r="1529" spans="1:14" ht="17.5" thickBot="1" x14ac:dyDescent="0.45">
      <c r="A1529" s="4">
        <v>44386</v>
      </c>
      <c r="B1529" s="3">
        <v>174.04</v>
      </c>
      <c r="C1529" s="3">
        <v>340.85</v>
      </c>
      <c r="D1529" s="3">
        <v>118.3</v>
      </c>
      <c r="E1529" s="3">
        <v>1.4346000000000001</v>
      </c>
      <c r="F1529" s="3">
        <v>322.74</v>
      </c>
      <c r="G1529" s="3">
        <v>340.04</v>
      </c>
      <c r="H1529" s="3">
        <v>219.32</v>
      </c>
      <c r="I1529" s="3">
        <v>288.74</v>
      </c>
      <c r="J1529" s="3">
        <v>114.31</v>
      </c>
      <c r="K1529" s="3">
        <v>250.04</v>
      </c>
      <c r="L1529" s="3"/>
      <c r="N1529" s="4"/>
    </row>
    <row r="1530" spans="1:14" ht="17.5" thickBot="1" x14ac:dyDescent="0.45">
      <c r="A1530" s="4">
        <v>44387</v>
      </c>
      <c r="B1530" s="3">
        <v>174.04</v>
      </c>
      <c r="C1530" s="3">
        <v>340.85</v>
      </c>
      <c r="D1530" s="3">
        <v>118.3</v>
      </c>
      <c r="E1530" s="3">
        <v>1.4346000000000001</v>
      </c>
      <c r="F1530" s="3">
        <v>322.74</v>
      </c>
      <c r="G1530" s="3">
        <v>340.04</v>
      </c>
      <c r="H1530" s="3">
        <v>219.32</v>
      </c>
      <c r="I1530" s="3">
        <v>288.74</v>
      </c>
      <c r="J1530" s="3">
        <v>114.31</v>
      </c>
      <c r="K1530" s="3">
        <v>250.04</v>
      </c>
      <c r="L1530" s="3"/>
      <c r="N1530" s="4"/>
    </row>
    <row r="1531" spans="1:14" ht="17.5" thickBot="1" x14ac:dyDescent="0.45">
      <c r="A1531" s="4">
        <v>44388</v>
      </c>
      <c r="B1531" s="3">
        <v>174.04</v>
      </c>
      <c r="C1531" s="3">
        <v>340.85</v>
      </c>
      <c r="D1531" s="3">
        <v>118.3</v>
      </c>
      <c r="E1531" s="3">
        <v>1.4346000000000001</v>
      </c>
      <c r="F1531" s="3">
        <v>322.74</v>
      </c>
      <c r="G1531" s="3">
        <v>340.04</v>
      </c>
      <c r="H1531" s="3">
        <v>219.32</v>
      </c>
      <c r="I1531" s="3">
        <v>288.74</v>
      </c>
      <c r="J1531" s="3">
        <v>114.31</v>
      </c>
      <c r="K1531" s="3">
        <v>250.04</v>
      </c>
      <c r="L1531" s="3"/>
      <c r="N1531" s="4"/>
    </row>
    <row r="1532" spans="1:14" ht="17.5" thickBot="1" x14ac:dyDescent="0.45">
      <c r="A1532" s="4">
        <v>44389</v>
      </c>
      <c r="B1532" s="3">
        <v>175.02</v>
      </c>
      <c r="C1532" s="3">
        <v>343.92</v>
      </c>
      <c r="D1532" s="3">
        <v>118.29</v>
      </c>
      <c r="E1532" s="3">
        <v>1.4393</v>
      </c>
      <c r="F1532" s="3">
        <v>325.33999999999997</v>
      </c>
      <c r="G1532" s="3">
        <v>340.8</v>
      </c>
      <c r="H1532" s="3">
        <v>220.64</v>
      </c>
      <c r="I1532" s="3">
        <v>289.77999999999997</v>
      </c>
      <c r="J1532" s="3">
        <v>114.31</v>
      </c>
      <c r="K1532" s="3">
        <v>251.21</v>
      </c>
      <c r="L1532" s="3"/>
      <c r="N1532" s="4"/>
    </row>
    <row r="1533" spans="1:14" ht="17.5" thickBot="1" x14ac:dyDescent="0.45">
      <c r="A1533" s="4">
        <v>44390</v>
      </c>
      <c r="B1533" s="3">
        <v>177.42</v>
      </c>
      <c r="C1533" s="3">
        <v>345.58</v>
      </c>
      <c r="D1533" s="3">
        <v>118.29</v>
      </c>
      <c r="E1533" s="3">
        <v>1.4377</v>
      </c>
      <c r="F1533" s="3">
        <v>326.99</v>
      </c>
      <c r="G1533" s="3">
        <v>339.21</v>
      </c>
      <c r="H1533" s="3">
        <v>221.48</v>
      </c>
      <c r="I1533" s="3">
        <v>288.73</v>
      </c>
      <c r="J1533" s="3">
        <v>114.31</v>
      </c>
      <c r="K1533" s="3">
        <v>251.78</v>
      </c>
      <c r="L1533" s="3"/>
      <c r="N1533" s="4"/>
    </row>
    <row r="1534" spans="1:14" ht="17.5" thickBot="1" x14ac:dyDescent="0.45">
      <c r="A1534" s="4">
        <v>44391</v>
      </c>
      <c r="B1534" s="3">
        <v>176.31</v>
      </c>
      <c r="C1534" s="3">
        <v>345.26</v>
      </c>
      <c r="D1534" s="3">
        <v>118.29</v>
      </c>
      <c r="E1534" s="3">
        <v>1.4388000000000001</v>
      </c>
      <c r="F1534" s="3">
        <v>326.68</v>
      </c>
      <c r="G1534" s="3">
        <v>339.68</v>
      </c>
      <c r="H1534" s="3">
        <v>221.3</v>
      </c>
      <c r="I1534" s="3">
        <v>289.14999999999998</v>
      </c>
      <c r="J1534" s="3">
        <v>114.31</v>
      </c>
      <c r="K1534" s="3">
        <v>251.78</v>
      </c>
      <c r="L1534" s="3"/>
      <c r="N1534" s="4"/>
    </row>
    <row r="1535" spans="1:14" ht="17.5" thickBot="1" x14ac:dyDescent="0.45">
      <c r="A1535" s="4">
        <v>44392</v>
      </c>
      <c r="B1535" s="3">
        <v>177.61</v>
      </c>
      <c r="C1535" s="3">
        <v>347.22</v>
      </c>
      <c r="D1535" s="3">
        <v>118.37</v>
      </c>
      <c r="E1535" s="3">
        <v>1.4368000000000001</v>
      </c>
      <c r="F1535" s="3">
        <v>326.63</v>
      </c>
      <c r="G1535" s="3">
        <v>338.73</v>
      </c>
      <c r="H1535" s="3">
        <v>221.33</v>
      </c>
      <c r="I1535" s="3">
        <v>288.16000000000003</v>
      </c>
      <c r="J1535" s="3">
        <v>114.31</v>
      </c>
      <c r="K1535" s="3">
        <v>251.92</v>
      </c>
      <c r="L1535" s="3"/>
      <c r="N1535" s="4"/>
    </row>
    <row r="1536" spans="1:14" ht="17.5" thickBot="1" x14ac:dyDescent="0.45">
      <c r="A1536" s="4">
        <v>44393</v>
      </c>
      <c r="B1536" s="3">
        <v>178.23</v>
      </c>
      <c r="C1536" s="3">
        <v>345.15</v>
      </c>
      <c r="D1536" s="3">
        <v>118.37</v>
      </c>
      <c r="E1536" s="3">
        <v>1.4319999999999999</v>
      </c>
      <c r="F1536" s="3">
        <v>325.19</v>
      </c>
      <c r="G1536" s="3">
        <v>336.3</v>
      </c>
      <c r="H1536" s="3">
        <v>220.58</v>
      </c>
      <c r="I1536" s="3">
        <v>286.02</v>
      </c>
      <c r="J1536" s="3">
        <v>114.31</v>
      </c>
      <c r="K1536" s="3">
        <v>251.27</v>
      </c>
      <c r="L1536" s="3"/>
      <c r="N1536" s="4"/>
    </row>
    <row r="1537" spans="1:14" ht="17.5" thickBot="1" x14ac:dyDescent="0.45">
      <c r="A1537" s="4">
        <v>44394</v>
      </c>
      <c r="B1537" s="3">
        <v>178.23</v>
      </c>
      <c r="C1537" s="3">
        <v>345.15</v>
      </c>
      <c r="D1537" s="3">
        <v>118.37</v>
      </c>
      <c r="E1537" s="3">
        <v>1.4319999999999999</v>
      </c>
      <c r="F1537" s="3">
        <v>325.19</v>
      </c>
      <c r="G1537" s="3">
        <v>336.3</v>
      </c>
      <c r="H1537" s="3">
        <v>220.58</v>
      </c>
      <c r="I1537" s="3">
        <v>286.02</v>
      </c>
      <c r="J1537" s="3">
        <v>114.31</v>
      </c>
      <c r="K1537" s="3">
        <v>251.27</v>
      </c>
      <c r="L1537" s="3"/>
      <c r="N1537" s="4"/>
    </row>
    <row r="1538" spans="1:14" ht="17.5" thickBot="1" x14ac:dyDescent="0.45">
      <c r="A1538" s="4">
        <v>44395</v>
      </c>
      <c r="B1538" s="3">
        <v>178.23</v>
      </c>
      <c r="C1538" s="3">
        <v>345.15</v>
      </c>
      <c r="D1538" s="3">
        <v>118.37</v>
      </c>
      <c r="E1538" s="3">
        <v>1.4319999999999999</v>
      </c>
      <c r="F1538" s="3">
        <v>325.19</v>
      </c>
      <c r="G1538" s="3">
        <v>336.3</v>
      </c>
      <c r="H1538" s="3">
        <v>220.58</v>
      </c>
      <c r="I1538" s="3">
        <v>286.02</v>
      </c>
      <c r="J1538" s="3">
        <v>114.31</v>
      </c>
      <c r="K1538" s="3">
        <v>251.27</v>
      </c>
      <c r="L1538" s="3"/>
      <c r="N1538" s="4"/>
    </row>
    <row r="1539" spans="1:14" ht="17.5" thickBot="1" x14ac:dyDescent="0.45">
      <c r="A1539" s="4">
        <v>44396</v>
      </c>
      <c r="B1539" s="3">
        <v>174.48</v>
      </c>
      <c r="C1539" s="3">
        <v>339.38</v>
      </c>
      <c r="D1539" s="3">
        <v>118.19</v>
      </c>
      <c r="E1539" s="3">
        <v>1.4212</v>
      </c>
      <c r="F1539" s="3">
        <v>320.02</v>
      </c>
      <c r="G1539" s="3">
        <v>331.69</v>
      </c>
      <c r="H1539" s="3">
        <v>218.08</v>
      </c>
      <c r="I1539" s="3">
        <v>281.75</v>
      </c>
      <c r="J1539" s="3">
        <v>114.31</v>
      </c>
      <c r="K1539" s="3">
        <v>249.41</v>
      </c>
      <c r="L1539" s="3"/>
      <c r="N1539" s="4"/>
    </row>
    <row r="1540" spans="1:14" ht="17.5" thickBot="1" x14ac:dyDescent="0.45">
      <c r="A1540" s="4">
        <v>44397</v>
      </c>
      <c r="B1540" s="3">
        <v>172.96</v>
      </c>
      <c r="C1540" s="3">
        <v>337.95</v>
      </c>
      <c r="D1540" s="3">
        <v>118.18</v>
      </c>
      <c r="E1540" s="3">
        <v>1.4278999999999999</v>
      </c>
      <c r="F1540" s="3">
        <v>319.66000000000003</v>
      </c>
      <c r="G1540" s="3">
        <v>336.28</v>
      </c>
      <c r="H1540" s="3">
        <v>217.87</v>
      </c>
      <c r="I1540" s="3">
        <v>285.87</v>
      </c>
      <c r="J1540" s="3">
        <v>114.31</v>
      </c>
      <c r="K1540" s="3">
        <v>249.14</v>
      </c>
      <c r="L1540" s="3"/>
      <c r="N1540" s="4"/>
    </row>
    <row r="1541" spans="1:14" ht="17.5" thickBot="1" x14ac:dyDescent="0.45">
      <c r="A1541" s="4">
        <v>44398</v>
      </c>
      <c r="B1541" s="3">
        <v>172.93</v>
      </c>
      <c r="C1541" s="3">
        <v>339.59</v>
      </c>
      <c r="D1541" s="3">
        <v>118.36</v>
      </c>
      <c r="E1541" s="3">
        <v>1.4338</v>
      </c>
      <c r="F1541" s="3">
        <v>321.81</v>
      </c>
      <c r="G1541" s="3">
        <v>338.63</v>
      </c>
      <c r="H1541" s="3">
        <v>218.92</v>
      </c>
      <c r="I1541" s="3">
        <v>288.26</v>
      </c>
      <c r="J1541" s="3">
        <v>114.31</v>
      </c>
      <c r="K1541" s="3">
        <v>249.93</v>
      </c>
      <c r="L1541" s="3"/>
      <c r="N1541" s="4"/>
    </row>
    <row r="1542" spans="1:14" ht="17.5" thickBot="1" x14ac:dyDescent="0.45">
      <c r="A1542" s="4">
        <v>44399</v>
      </c>
      <c r="B1542" s="3">
        <v>175.88</v>
      </c>
      <c r="C1542" s="3">
        <v>344.7</v>
      </c>
      <c r="D1542" s="3">
        <v>118.54</v>
      </c>
      <c r="E1542" s="3">
        <v>1.4381999999999999</v>
      </c>
      <c r="F1542" s="3">
        <v>324.20999999999998</v>
      </c>
      <c r="G1542" s="3">
        <v>338.86</v>
      </c>
      <c r="H1542" s="3">
        <v>220.11</v>
      </c>
      <c r="I1542" s="3">
        <v>288.83</v>
      </c>
      <c r="J1542" s="3">
        <v>114.31</v>
      </c>
      <c r="K1542" s="3">
        <v>251.09</v>
      </c>
      <c r="L1542" s="3"/>
      <c r="N1542" s="4"/>
    </row>
    <row r="1543" spans="1:14" ht="17.5" thickBot="1" x14ac:dyDescent="0.45">
      <c r="A1543" s="4">
        <v>44400</v>
      </c>
      <c r="B1543" s="3">
        <v>173.47</v>
      </c>
      <c r="C1543" s="3">
        <v>343.13</v>
      </c>
      <c r="D1543" s="3">
        <v>118.45</v>
      </c>
      <c r="E1543" s="3">
        <v>1.4434</v>
      </c>
      <c r="F1543" s="3">
        <v>323.54000000000002</v>
      </c>
      <c r="G1543" s="3">
        <v>342.64</v>
      </c>
      <c r="H1543" s="3">
        <v>219.7</v>
      </c>
      <c r="I1543" s="3">
        <v>291.64</v>
      </c>
      <c r="J1543" s="3">
        <v>114.31</v>
      </c>
      <c r="K1543" s="3">
        <v>250.65</v>
      </c>
      <c r="L1543" s="3"/>
      <c r="N1543" s="4"/>
    </row>
    <row r="1544" spans="1:14" ht="17.5" thickBot="1" x14ac:dyDescent="0.45">
      <c r="A1544" s="4">
        <v>44401</v>
      </c>
      <c r="B1544" s="3">
        <v>173.47</v>
      </c>
      <c r="C1544" s="3">
        <v>343.13</v>
      </c>
      <c r="D1544" s="3">
        <v>118.45</v>
      </c>
      <c r="E1544" s="3">
        <v>1.4434</v>
      </c>
      <c r="F1544" s="3">
        <v>323.54000000000002</v>
      </c>
      <c r="G1544" s="3">
        <v>342.64</v>
      </c>
      <c r="H1544" s="3">
        <v>219.7</v>
      </c>
      <c r="I1544" s="3">
        <v>291.64</v>
      </c>
      <c r="J1544" s="3">
        <v>114.31</v>
      </c>
      <c r="K1544" s="3">
        <v>250.65</v>
      </c>
      <c r="L1544" s="3"/>
      <c r="N1544" s="4"/>
    </row>
    <row r="1545" spans="1:14" ht="17.5" thickBot="1" x14ac:dyDescent="0.45">
      <c r="A1545" s="4">
        <v>44402</v>
      </c>
      <c r="B1545" s="3">
        <v>173.47</v>
      </c>
      <c r="C1545" s="3">
        <v>343.13</v>
      </c>
      <c r="D1545" s="3">
        <v>118.45</v>
      </c>
      <c r="E1545" s="3">
        <v>1.4434</v>
      </c>
      <c r="F1545" s="3">
        <v>323.54000000000002</v>
      </c>
      <c r="G1545" s="3">
        <v>342.64</v>
      </c>
      <c r="H1545" s="3">
        <v>219.7</v>
      </c>
      <c r="I1545" s="3">
        <v>291.64</v>
      </c>
      <c r="J1545" s="3">
        <v>114.31</v>
      </c>
      <c r="K1545" s="3">
        <v>250.65</v>
      </c>
      <c r="L1545" s="3"/>
      <c r="N1545" s="4"/>
    </row>
    <row r="1546" spans="1:14" ht="17.5" thickBot="1" x14ac:dyDescent="0.45">
      <c r="A1546" s="4">
        <v>44403</v>
      </c>
      <c r="B1546" s="3">
        <v>166.41</v>
      </c>
      <c r="C1546" s="3">
        <v>342.53</v>
      </c>
      <c r="D1546" s="3">
        <v>118.62</v>
      </c>
      <c r="E1546" s="3">
        <v>1.4440999999999999</v>
      </c>
      <c r="F1546" s="3">
        <v>319.76</v>
      </c>
      <c r="G1546" s="3">
        <v>343.63</v>
      </c>
      <c r="H1546" s="3">
        <v>217.89</v>
      </c>
      <c r="I1546" s="3">
        <v>292.49</v>
      </c>
      <c r="J1546" s="3">
        <v>114.31</v>
      </c>
      <c r="K1546" s="3">
        <v>249.24</v>
      </c>
      <c r="L1546" s="3"/>
      <c r="N1546" s="4"/>
    </row>
    <row r="1547" spans="1:14" ht="17.5" thickBot="1" x14ac:dyDescent="0.45">
      <c r="A1547" s="4">
        <v>44404</v>
      </c>
      <c r="B1547" s="3">
        <v>159.77000000000001</v>
      </c>
      <c r="C1547" s="3">
        <v>343.01</v>
      </c>
      <c r="D1547" s="3">
        <v>118.62</v>
      </c>
      <c r="E1547" s="3">
        <v>1.4407000000000001</v>
      </c>
      <c r="F1547" s="3">
        <v>314.8</v>
      </c>
      <c r="G1547" s="3">
        <v>341.68</v>
      </c>
      <c r="H1547" s="3">
        <v>215.48</v>
      </c>
      <c r="I1547" s="3">
        <v>291.37</v>
      </c>
      <c r="J1547" s="3">
        <v>114.31</v>
      </c>
      <c r="K1547" s="3">
        <v>247.34</v>
      </c>
      <c r="L1547" s="3"/>
      <c r="N1547" s="4"/>
    </row>
    <row r="1548" spans="1:14" ht="17.5" thickBot="1" x14ac:dyDescent="0.45">
      <c r="A1548" s="4">
        <v>44405</v>
      </c>
      <c r="B1548" s="3">
        <v>162.09</v>
      </c>
      <c r="C1548" s="3">
        <v>340.32</v>
      </c>
      <c r="D1548" s="3">
        <v>118.44</v>
      </c>
      <c r="E1548" s="3">
        <v>1.4404999999999999</v>
      </c>
      <c r="F1548" s="3">
        <v>317.89999999999998</v>
      </c>
      <c r="G1548" s="3">
        <v>340.99</v>
      </c>
      <c r="H1548" s="3">
        <v>216.67</v>
      </c>
      <c r="I1548" s="3">
        <v>291.22000000000003</v>
      </c>
      <c r="J1548" s="3">
        <v>114.31</v>
      </c>
      <c r="K1548" s="3">
        <v>248.25</v>
      </c>
      <c r="L1548" s="3"/>
      <c r="N1548" s="4"/>
    </row>
    <row r="1549" spans="1:14" ht="17.5" thickBot="1" x14ac:dyDescent="0.45">
      <c r="A1549" s="4">
        <v>44406</v>
      </c>
      <c r="B1549" s="3">
        <v>167.04</v>
      </c>
      <c r="C1549" s="3">
        <v>344.42</v>
      </c>
      <c r="D1549" s="3">
        <v>118.71</v>
      </c>
      <c r="E1549" s="3">
        <v>1.4471000000000001</v>
      </c>
      <c r="F1549" s="3">
        <v>321.57</v>
      </c>
      <c r="G1549" s="3">
        <v>342.83</v>
      </c>
      <c r="H1549" s="3">
        <v>218.76</v>
      </c>
      <c r="I1549" s="3">
        <v>292.27</v>
      </c>
      <c r="J1549" s="3">
        <v>114.31</v>
      </c>
      <c r="K1549" s="3">
        <v>250.17</v>
      </c>
      <c r="L1549" s="3"/>
      <c r="N1549" s="4"/>
    </row>
    <row r="1550" spans="1:14" ht="17.5" thickBot="1" x14ac:dyDescent="0.45">
      <c r="A1550" s="4">
        <v>44407</v>
      </c>
      <c r="B1550" s="3">
        <v>165.05</v>
      </c>
      <c r="C1550" s="3">
        <v>340.77</v>
      </c>
      <c r="D1550" s="3">
        <v>118.61</v>
      </c>
      <c r="E1550" s="3">
        <v>1.4409000000000001</v>
      </c>
      <c r="F1550" s="3">
        <v>318.67</v>
      </c>
      <c r="G1550" s="3">
        <v>341.13</v>
      </c>
      <c r="H1550" s="3">
        <v>217.32</v>
      </c>
      <c r="I1550" s="3">
        <v>290.73</v>
      </c>
      <c r="J1550" s="3">
        <v>114.32</v>
      </c>
      <c r="K1550" s="3">
        <v>248.93</v>
      </c>
      <c r="L1550" s="3"/>
      <c r="N1550" s="4"/>
    </row>
    <row r="1551" spans="1:14" ht="17.5" thickBot="1" x14ac:dyDescent="0.45">
      <c r="A1551" s="4">
        <v>44408</v>
      </c>
      <c r="B1551" s="3">
        <v>165.05</v>
      </c>
      <c r="C1551" s="3">
        <v>340.77</v>
      </c>
      <c r="D1551" s="3">
        <v>118.61</v>
      </c>
      <c r="E1551" s="3">
        <v>1.4409000000000001</v>
      </c>
      <c r="F1551" s="3">
        <v>318.67</v>
      </c>
      <c r="G1551" s="3">
        <v>341.13</v>
      </c>
      <c r="H1551" s="3">
        <v>217.32</v>
      </c>
      <c r="I1551" s="3">
        <v>290.73</v>
      </c>
      <c r="J1551" s="3">
        <v>114.32</v>
      </c>
      <c r="K1551" s="3">
        <v>248.93</v>
      </c>
      <c r="L1551" s="3"/>
      <c r="N1551" s="4"/>
    </row>
    <row r="1552" spans="1:14" ht="17.5" thickBot="1" x14ac:dyDescent="0.45">
      <c r="A1552" s="4">
        <v>44409</v>
      </c>
      <c r="B1552" s="3">
        <v>165.05</v>
      </c>
      <c r="C1552" s="3">
        <v>340.77</v>
      </c>
      <c r="D1552" s="3">
        <v>118.61</v>
      </c>
      <c r="E1552" s="3">
        <v>1.4409000000000001</v>
      </c>
      <c r="F1552" s="3">
        <v>318.67</v>
      </c>
      <c r="G1552" s="3">
        <v>341.13</v>
      </c>
      <c r="H1552" s="3">
        <v>217.32</v>
      </c>
      <c r="I1552" s="3">
        <v>290.73</v>
      </c>
      <c r="J1552" s="3">
        <v>114.32</v>
      </c>
      <c r="K1552" s="3">
        <v>248.93</v>
      </c>
      <c r="L1552" s="3"/>
      <c r="N1552" s="4"/>
    </row>
    <row r="1553" spans="1:14" ht="17.5" thickBot="1" x14ac:dyDescent="0.45">
      <c r="A1553" s="4">
        <v>44410</v>
      </c>
      <c r="B1553" s="3">
        <v>166.32</v>
      </c>
      <c r="C1553" s="3">
        <v>345.25</v>
      </c>
      <c r="D1553" s="3">
        <v>118.7</v>
      </c>
      <c r="E1553" s="3">
        <v>1.4457</v>
      </c>
      <c r="F1553" s="3">
        <v>321.49</v>
      </c>
      <c r="G1553" s="3">
        <v>340.75</v>
      </c>
      <c r="H1553" s="3">
        <v>218.87</v>
      </c>
      <c r="I1553" s="3">
        <v>290.2</v>
      </c>
      <c r="J1553" s="3">
        <v>114.32</v>
      </c>
      <c r="K1553" s="3">
        <v>250.45</v>
      </c>
      <c r="L1553" s="3"/>
      <c r="N1553" s="4"/>
    </row>
    <row r="1554" spans="1:14" ht="17.5" thickBot="1" x14ac:dyDescent="0.45">
      <c r="A1554" s="4">
        <v>44411</v>
      </c>
      <c r="B1554" s="3">
        <v>166.03</v>
      </c>
      <c r="C1554" s="3">
        <v>347.27</v>
      </c>
      <c r="D1554" s="3">
        <v>118.78</v>
      </c>
      <c r="E1554" s="3">
        <v>1.4507000000000001</v>
      </c>
      <c r="F1554" s="3">
        <v>322.11</v>
      </c>
      <c r="G1554" s="3">
        <v>343.76</v>
      </c>
      <c r="H1554" s="3">
        <v>219.19</v>
      </c>
      <c r="I1554" s="3">
        <v>292.52</v>
      </c>
      <c r="J1554" s="3">
        <v>114.32</v>
      </c>
      <c r="K1554" s="3">
        <v>250.79</v>
      </c>
      <c r="L1554" s="3"/>
      <c r="N1554" s="4"/>
    </row>
    <row r="1555" spans="1:14" ht="17.5" thickBot="1" x14ac:dyDescent="0.45">
      <c r="A1555" s="4">
        <v>44412</v>
      </c>
      <c r="B1555" s="3">
        <v>167.72</v>
      </c>
      <c r="C1555" s="3">
        <v>351.12</v>
      </c>
      <c r="D1555" s="3">
        <v>118.87</v>
      </c>
      <c r="E1555" s="3">
        <v>1.4491000000000001</v>
      </c>
      <c r="F1555" s="3">
        <v>322.72000000000003</v>
      </c>
      <c r="G1555" s="3">
        <v>341.67</v>
      </c>
      <c r="H1555" s="3">
        <v>219.41</v>
      </c>
      <c r="I1555" s="3">
        <v>291.08</v>
      </c>
      <c r="J1555" s="3">
        <v>114.32</v>
      </c>
      <c r="K1555" s="3">
        <v>250.93</v>
      </c>
      <c r="L1555" s="3"/>
      <c r="N1555" s="4"/>
    </row>
    <row r="1556" spans="1:14" ht="17.5" thickBot="1" x14ac:dyDescent="0.45">
      <c r="A1556" s="4">
        <v>44413</v>
      </c>
      <c r="B1556" s="3">
        <v>166.36</v>
      </c>
      <c r="C1556" s="3">
        <v>351.4</v>
      </c>
      <c r="D1556" s="3">
        <v>118.87</v>
      </c>
      <c r="E1556" s="3">
        <v>1.4530000000000001</v>
      </c>
      <c r="F1556" s="3">
        <v>322.35000000000002</v>
      </c>
      <c r="G1556" s="3">
        <v>343.51</v>
      </c>
      <c r="H1556" s="3">
        <v>219.18</v>
      </c>
      <c r="I1556" s="3">
        <v>292.93</v>
      </c>
      <c r="J1556" s="3">
        <v>114.32</v>
      </c>
      <c r="K1556" s="3">
        <v>250.71</v>
      </c>
      <c r="L1556" s="3"/>
      <c r="N1556" s="4"/>
    </row>
    <row r="1557" spans="1:14" ht="17.5" thickBot="1" x14ac:dyDescent="0.45">
      <c r="A1557" s="4">
        <v>44414</v>
      </c>
      <c r="B1557" s="3">
        <v>166.21</v>
      </c>
      <c r="C1557" s="3">
        <v>349.43</v>
      </c>
      <c r="D1557" s="3">
        <v>118.6</v>
      </c>
      <c r="E1557" s="3">
        <v>1.4497</v>
      </c>
      <c r="F1557" s="3">
        <v>321.39999999999998</v>
      </c>
      <c r="G1557" s="3">
        <v>344.15</v>
      </c>
      <c r="H1557" s="3">
        <v>218.56</v>
      </c>
      <c r="I1557" s="3">
        <v>293.42</v>
      </c>
      <c r="J1557" s="3">
        <v>114.32</v>
      </c>
      <c r="K1557" s="3">
        <v>249.76</v>
      </c>
      <c r="L1557" s="3"/>
      <c r="N1557" s="4"/>
    </row>
    <row r="1558" spans="1:14" ht="17.5" thickBot="1" x14ac:dyDescent="0.45">
      <c r="A1558" s="4">
        <v>44415</v>
      </c>
      <c r="B1558" s="3">
        <v>166.21</v>
      </c>
      <c r="C1558" s="3">
        <v>349.43</v>
      </c>
      <c r="D1558" s="3">
        <v>118.6</v>
      </c>
      <c r="E1558" s="3">
        <v>1.4497</v>
      </c>
      <c r="F1558" s="3">
        <v>321.39999999999998</v>
      </c>
      <c r="G1558" s="3">
        <v>344.15</v>
      </c>
      <c r="H1558" s="3">
        <v>218.56</v>
      </c>
      <c r="I1558" s="3">
        <v>293.42</v>
      </c>
      <c r="J1558" s="3">
        <v>114.32</v>
      </c>
      <c r="K1558" s="3">
        <v>249.76</v>
      </c>
      <c r="L1558" s="3"/>
      <c r="N1558" s="4"/>
    </row>
    <row r="1559" spans="1:14" ht="17.5" thickBot="1" x14ac:dyDescent="0.45">
      <c r="A1559" s="4">
        <v>44416</v>
      </c>
      <c r="B1559" s="3">
        <v>166.21</v>
      </c>
      <c r="C1559" s="3">
        <v>349.43</v>
      </c>
      <c r="D1559" s="3">
        <v>118.6</v>
      </c>
      <c r="E1559" s="3">
        <v>1.4497</v>
      </c>
      <c r="F1559" s="3">
        <v>321.39999999999998</v>
      </c>
      <c r="G1559" s="3">
        <v>344.15</v>
      </c>
      <c r="H1559" s="3">
        <v>218.56</v>
      </c>
      <c r="I1559" s="3">
        <v>293.42</v>
      </c>
      <c r="J1559" s="3">
        <v>114.32</v>
      </c>
      <c r="K1559" s="3">
        <v>249.76</v>
      </c>
      <c r="L1559" s="3"/>
      <c r="N1559" s="4"/>
    </row>
    <row r="1560" spans="1:14" ht="17.5" thickBot="1" x14ac:dyDescent="0.45">
      <c r="A1560" s="4">
        <v>44417</v>
      </c>
      <c r="B1560" s="3">
        <v>166.6</v>
      </c>
      <c r="C1560" s="3">
        <v>348.76</v>
      </c>
      <c r="D1560" s="3">
        <v>118.32</v>
      </c>
      <c r="E1560" s="3">
        <v>1.4494</v>
      </c>
      <c r="F1560" s="3">
        <v>321.70999999999998</v>
      </c>
      <c r="G1560" s="3">
        <v>343.87</v>
      </c>
      <c r="H1560" s="3">
        <v>218.76</v>
      </c>
      <c r="I1560" s="3">
        <v>293.36</v>
      </c>
      <c r="J1560" s="3">
        <v>114.32</v>
      </c>
      <c r="K1560" s="3">
        <v>249.89</v>
      </c>
      <c r="L1560" s="3"/>
      <c r="N1560" s="4"/>
    </row>
    <row r="1561" spans="1:14" ht="17.5" thickBot="1" x14ac:dyDescent="0.45">
      <c r="A1561" s="4">
        <v>44418</v>
      </c>
      <c r="B1561" s="3">
        <v>168.49</v>
      </c>
      <c r="C1561" s="3">
        <v>347.95</v>
      </c>
      <c r="D1561" s="3">
        <v>118.14</v>
      </c>
      <c r="E1561" s="3">
        <v>1.4502999999999999</v>
      </c>
      <c r="F1561" s="3">
        <v>323.16000000000003</v>
      </c>
      <c r="G1561" s="3">
        <v>344.64</v>
      </c>
      <c r="H1561" s="3">
        <v>219.49</v>
      </c>
      <c r="I1561" s="3">
        <v>293.70999999999998</v>
      </c>
      <c r="J1561" s="3">
        <v>114.32</v>
      </c>
      <c r="K1561" s="3">
        <v>250.41</v>
      </c>
      <c r="L1561" s="3"/>
      <c r="N1561" s="4"/>
    </row>
    <row r="1562" spans="1:14" ht="17.5" thickBot="1" x14ac:dyDescent="0.45">
      <c r="A1562" s="4">
        <v>44419</v>
      </c>
      <c r="B1562" s="3">
        <v>168.85</v>
      </c>
      <c r="C1562" s="3">
        <v>346.35</v>
      </c>
      <c r="D1562" s="3">
        <v>118.14</v>
      </c>
      <c r="E1562" s="3">
        <v>1.4520999999999999</v>
      </c>
      <c r="F1562" s="3">
        <v>323.98</v>
      </c>
      <c r="G1562" s="3">
        <v>346.17</v>
      </c>
      <c r="H1562" s="3">
        <v>219.99</v>
      </c>
      <c r="I1562" s="3">
        <v>294.36</v>
      </c>
      <c r="J1562" s="3">
        <v>114.32</v>
      </c>
      <c r="K1562" s="3">
        <v>250.81</v>
      </c>
      <c r="L1562" s="3"/>
      <c r="N1562" s="4"/>
    </row>
    <row r="1563" spans="1:14" ht="17.5" thickBot="1" x14ac:dyDescent="0.45">
      <c r="A1563" s="4">
        <v>44420</v>
      </c>
      <c r="B1563" s="3">
        <v>167.92</v>
      </c>
      <c r="C1563" s="3">
        <v>345.66</v>
      </c>
      <c r="D1563" s="3">
        <v>118.04</v>
      </c>
      <c r="E1563" s="3">
        <v>1.4535</v>
      </c>
      <c r="F1563" s="3">
        <v>323.68</v>
      </c>
      <c r="G1563" s="3">
        <v>347.47</v>
      </c>
      <c r="H1563" s="3">
        <v>219.81</v>
      </c>
      <c r="I1563" s="3">
        <v>295.04000000000002</v>
      </c>
      <c r="J1563" s="3">
        <v>114.32</v>
      </c>
      <c r="K1563" s="3">
        <v>250.66</v>
      </c>
      <c r="L1563" s="3"/>
      <c r="N1563" s="4"/>
    </row>
    <row r="1564" spans="1:14" ht="17.5" thickBot="1" x14ac:dyDescent="0.45">
      <c r="A1564" s="4">
        <v>44421</v>
      </c>
      <c r="B1564" s="3">
        <v>167.4</v>
      </c>
      <c r="C1564" s="3">
        <v>344.32</v>
      </c>
      <c r="D1564" s="3">
        <v>118.04</v>
      </c>
      <c r="E1564" s="3">
        <v>1.4564999999999999</v>
      </c>
      <c r="F1564" s="3">
        <v>324.04000000000002</v>
      </c>
      <c r="G1564" s="3">
        <v>347.99</v>
      </c>
      <c r="H1564" s="3">
        <v>220.02</v>
      </c>
      <c r="I1564" s="3">
        <v>295.81</v>
      </c>
      <c r="J1564" s="3">
        <v>114.32</v>
      </c>
      <c r="K1564" s="3">
        <v>251.1</v>
      </c>
      <c r="L1564" s="3"/>
      <c r="N1564" s="4"/>
    </row>
    <row r="1565" spans="1:14" ht="17.5" thickBot="1" x14ac:dyDescent="0.45">
      <c r="A1565" s="4">
        <v>44422</v>
      </c>
      <c r="B1565" s="3">
        <v>167.4</v>
      </c>
      <c r="C1565" s="3">
        <v>344.32</v>
      </c>
      <c r="D1565" s="3">
        <v>118.04</v>
      </c>
      <c r="E1565" s="3">
        <v>1.4564999999999999</v>
      </c>
      <c r="F1565" s="3">
        <v>324.04000000000002</v>
      </c>
      <c r="G1565" s="3">
        <v>347.99</v>
      </c>
      <c r="H1565" s="3">
        <v>220.02</v>
      </c>
      <c r="I1565" s="3">
        <v>295.81</v>
      </c>
      <c r="J1565" s="3">
        <v>114.32</v>
      </c>
      <c r="K1565" s="3">
        <v>251.1</v>
      </c>
      <c r="L1565" s="3"/>
      <c r="N1565" s="4"/>
    </row>
    <row r="1566" spans="1:14" ht="17.5" thickBot="1" x14ac:dyDescent="0.45">
      <c r="A1566" s="4">
        <v>44423</v>
      </c>
      <c r="B1566" s="3">
        <v>167.4</v>
      </c>
      <c r="C1566" s="3">
        <v>344.32</v>
      </c>
      <c r="D1566" s="3">
        <v>118.04</v>
      </c>
      <c r="E1566" s="3">
        <v>1.4564999999999999</v>
      </c>
      <c r="F1566" s="3">
        <v>324.04000000000002</v>
      </c>
      <c r="G1566" s="3">
        <v>347.99</v>
      </c>
      <c r="H1566" s="3">
        <v>220.02</v>
      </c>
      <c r="I1566" s="3">
        <v>295.81</v>
      </c>
      <c r="J1566" s="3">
        <v>114.32</v>
      </c>
      <c r="K1566" s="3">
        <v>251.1</v>
      </c>
      <c r="L1566" s="3"/>
      <c r="N1566" s="4"/>
    </row>
    <row r="1567" spans="1:14" ht="17.5" thickBot="1" x14ac:dyDescent="0.45">
      <c r="A1567" s="4">
        <v>44424</v>
      </c>
      <c r="B1567" s="3">
        <v>166.3</v>
      </c>
      <c r="C1567" s="3">
        <v>342.48</v>
      </c>
      <c r="D1567" s="3">
        <v>118.12</v>
      </c>
      <c r="E1567" s="3">
        <v>1.4558</v>
      </c>
      <c r="F1567" s="3">
        <v>322.44</v>
      </c>
      <c r="G1567" s="3">
        <v>349.24</v>
      </c>
      <c r="H1567" s="3">
        <v>219.3</v>
      </c>
      <c r="I1567" s="3">
        <v>296.54000000000002</v>
      </c>
      <c r="J1567" s="3">
        <v>114.32</v>
      </c>
      <c r="K1567" s="3">
        <v>250.58</v>
      </c>
      <c r="L1567" s="3"/>
      <c r="N1567" s="4"/>
    </row>
    <row r="1568" spans="1:14" ht="17.5" thickBot="1" x14ac:dyDescent="0.45">
      <c r="A1568" s="4">
        <v>44425</v>
      </c>
      <c r="B1568" s="3">
        <v>163.41999999999999</v>
      </c>
      <c r="C1568" s="3">
        <v>339.09</v>
      </c>
      <c r="D1568" s="3">
        <v>117.94</v>
      </c>
      <c r="E1568" s="3">
        <v>1.4499</v>
      </c>
      <c r="F1568" s="3">
        <v>318.88</v>
      </c>
      <c r="G1568" s="3">
        <v>346.41</v>
      </c>
      <c r="H1568" s="3">
        <v>217.42</v>
      </c>
      <c r="I1568" s="3">
        <v>294.67</v>
      </c>
      <c r="J1568" s="3">
        <v>114.32</v>
      </c>
      <c r="K1568" s="3">
        <v>248.85</v>
      </c>
      <c r="L1568" s="3"/>
      <c r="N1568" s="4"/>
    </row>
    <row r="1569" spans="1:14" ht="17.5" thickBot="1" x14ac:dyDescent="0.45">
      <c r="A1569" s="4">
        <v>44426</v>
      </c>
      <c r="B1569" s="3">
        <v>164.15</v>
      </c>
      <c r="C1569" s="3">
        <v>340.01</v>
      </c>
      <c r="D1569" s="3">
        <v>117.94</v>
      </c>
      <c r="E1569" s="3">
        <v>1.4444999999999999</v>
      </c>
      <c r="F1569" s="3">
        <v>318.77999999999997</v>
      </c>
      <c r="G1569" s="3">
        <v>342.73</v>
      </c>
      <c r="H1569" s="3">
        <v>217.42</v>
      </c>
      <c r="I1569" s="3">
        <v>291.45</v>
      </c>
      <c r="J1569" s="3">
        <v>114.32</v>
      </c>
      <c r="K1569" s="3">
        <v>248.82</v>
      </c>
      <c r="L1569" s="3"/>
      <c r="N1569" s="4"/>
    </row>
    <row r="1570" spans="1:14" ht="17.5" thickBot="1" x14ac:dyDescent="0.45">
      <c r="A1570" s="4">
        <v>44427</v>
      </c>
      <c r="B1570" s="3">
        <v>160.81</v>
      </c>
      <c r="C1570" s="3">
        <v>333.73</v>
      </c>
      <c r="D1570" s="3">
        <v>117.67</v>
      </c>
      <c r="E1570" s="3">
        <v>1.44</v>
      </c>
      <c r="F1570" s="3">
        <v>314.98</v>
      </c>
      <c r="G1570" s="3">
        <v>343.36</v>
      </c>
      <c r="H1570" s="3">
        <v>215.55</v>
      </c>
      <c r="I1570" s="3">
        <v>292.01</v>
      </c>
      <c r="J1570" s="3">
        <v>114.32</v>
      </c>
      <c r="K1570" s="3">
        <v>247.14</v>
      </c>
      <c r="L1570" s="3"/>
      <c r="N1570" s="4"/>
    </row>
    <row r="1571" spans="1:14" ht="17.5" thickBot="1" x14ac:dyDescent="0.45">
      <c r="A1571" s="4">
        <v>44428</v>
      </c>
      <c r="B1571" s="3">
        <v>157.96</v>
      </c>
      <c r="C1571" s="3">
        <v>331.18</v>
      </c>
      <c r="D1571" s="3">
        <v>117.67</v>
      </c>
      <c r="E1571" s="3">
        <v>1.4429000000000001</v>
      </c>
      <c r="F1571" s="3">
        <v>313.24</v>
      </c>
      <c r="G1571" s="3">
        <v>346.41</v>
      </c>
      <c r="H1571" s="3">
        <v>214.71</v>
      </c>
      <c r="I1571" s="3">
        <v>294.27999999999997</v>
      </c>
      <c r="J1571" s="3">
        <v>114.32</v>
      </c>
      <c r="K1571" s="3">
        <v>246.37</v>
      </c>
      <c r="L1571" s="3"/>
      <c r="N1571" s="4"/>
    </row>
    <row r="1572" spans="1:14" ht="17.5" thickBot="1" x14ac:dyDescent="0.45">
      <c r="A1572" s="4">
        <v>44429</v>
      </c>
      <c r="B1572" s="3">
        <v>157.96</v>
      </c>
      <c r="C1572" s="3">
        <v>331.18</v>
      </c>
      <c r="D1572" s="3">
        <v>117.67</v>
      </c>
      <c r="E1572" s="3">
        <v>1.4429000000000001</v>
      </c>
      <c r="F1572" s="3">
        <v>313.24</v>
      </c>
      <c r="G1572" s="3">
        <v>346.41</v>
      </c>
      <c r="H1572" s="3">
        <v>214.71</v>
      </c>
      <c r="I1572" s="3">
        <v>294.27999999999997</v>
      </c>
      <c r="J1572" s="3">
        <v>114.32</v>
      </c>
      <c r="K1572" s="3">
        <v>246.37</v>
      </c>
      <c r="L1572" s="3"/>
      <c r="N1572" s="4"/>
    </row>
    <row r="1573" spans="1:14" ht="17.5" thickBot="1" x14ac:dyDescent="0.45">
      <c r="A1573" s="4">
        <v>44430</v>
      </c>
      <c r="B1573" s="3">
        <v>157.96</v>
      </c>
      <c r="C1573" s="3">
        <v>331.18</v>
      </c>
      <c r="D1573" s="3">
        <v>117.67</v>
      </c>
      <c r="E1573" s="3">
        <v>1.4429000000000001</v>
      </c>
      <c r="F1573" s="3">
        <v>313.24</v>
      </c>
      <c r="G1573" s="3">
        <v>346.41</v>
      </c>
      <c r="H1573" s="3">
        <v>214.71</v>
      </c>
      <c r="I1573" s="3">
        <v>294.27999999999997</v>
      </c>
      <c r="J1573" s="3">
        <v>114.32</v>
      </c>
      <c r="K1573" s="3">
        <v>246.37</v>
      </c>
      <c r="L1573" s="3"/>
      <c r="N1573" s="4"/>
    </row>
    <row r="1574" spans="1:14" ht="17.5" thickBot="1" x14ac:dyDescent="0.45">
      <c r="A1574" s="4">
        <v>44431</v>
      </c>
      <c r="B1574" s="3">
        <v>159.78</v>
      </c>
      <c r="C1574" s="3">
        <v>335.93</v>
      </c>
      <c r="D1574" s="3">
        <v>117.93</v>
      </c>
      <c r="E1574" s="3">
        <v>1.4521999999999999</v>
      </c>
      <c r="F1574" s="3">
        <v>317.48</v>
      </c>
      <c r="G1574" s="3">
        <v>349.19</v>
      </c>
      <c r="H1574" s="3">
        <v>216.77</v>
      </c>
      <c r="I1574" s="3">
        <v>296.83999999999997</v>
      </c>
      <c r="J1574" s="3">
        <v>114.32</v>
      </c>
      <c r="K1574" s="3">
        <v>248.29</v>
      </c>
      <c r="L1574" s="3"/>
      <c r="N1574" s="4"/>
    </row>
    <row r="1575" spans="1:14" ht="17.5" thickBot="1" x14ac:dyDescent="0.45">
      <c r="A1575" s="4">
        <v>44432</v>
      </c>
      <c r="B1575" s="3">
        <v>163.21</v>
      </c>
      <c r="C1575" s="3">
        <v>339.72</v>
      </c>
      <c r="D1575" s="3">
        <v>118.29</v>
      </c>
      <c r="E1575" s="3">
        <v>1.4558</v>
      </c>
      <c r="F1575" s="3">
        <v>320.93</v>
      </c>
      <c r="G1575" s="3">
        <v>349.63</v>
      </c>
      <c r="H1575" s="3">
        <v>218.47</v>
      </c>
      <c r="I1575" s="3">
        <v>297.3</v>
      </c>
      <c r="J1575" s="3">
        <v>114.32</v>
      </c>
      <c r="K1575" s="3">
        <v>249.77</v>
      </c>
      <c r="L1575" s="3"/>
      <c r="N1575" s="4"/>
    </row>
    <row r="1576" spans="1:14" ht="17.5" thickBot="1" x14ac:dyDescent="0.45">
      <c r="A1576" s="4">
        <v>44433</v>
      </c>
      <c r="B1576" s="3">
        <v>163.36000000000001</v>
      </c>
      <c r="C1576" s="3">
        <v>340.94</v>
      </c>
      <c r="D1576" s="3">
        <v>118.29</v>
      </c>
      <c r="E1576" s="3">
        <v>1.4547000000000001</v>
      </c>
      <c r="F1576" s="3">
        <v>321.06</v>
      </c>
      <c r="G1576" s="3">
        <v>350.33</v>
      </c>
      <c r="H1576" s="3">
        <v>218.36</v>
      </c>
      <c r="I1576" s="3">
        <v>297.64999999999998</v>
      </c>
      <c r="J1576" s="3">
        <v>114.32</v>
      </c>
      <c r="K1576" s="3">
        <v>249.45</v>
      </c>
      <c r="L1576" s="3"/>
      <c r="N1576" s="4"/>
    </row>
    <row r="1577" spans="1:14" ht="17.5" thickBot="1" x14ac:dyDescent="0.45">
      <c r="A1577" s="4">
        <v>44434</v>
      </c>
      <c r="B1577" s="3">
        <v>161.62</v>
      </c>
      <c r="C1577" s="3">
        <v>339.28</v>
      </c>
      <c r="D1577" s="3">
        <v>118.1</v>
      </c>
      <c r="E1577" s="3">
        <v>1.4504999999999999</v>
      </c>
      <c r="F1577" s="3">
        <v>319.27999999999997</v>
      </c>
      <c r="G1577" s="3">
        <v>348.55</v>
      </c>
      <c r="H1577" s="3">
        <v>217.5</v>
      </c>
      <c r="I1577" s="3">
        <v>295.94</v>
      </c>
      <c r="J1577" s="3">
        <v>114.32</v>
      </c>
      <c r="K1577" s="3">
        <v>248.67</v>
      </c>
      <c r="L1577" s="3"/>
      <c r="N1577" s="4"/>
    </row>
    <row r="1578" spans="1:14" ht="17.5" thickBot="1" x14ac:dyDescent="0.45">
      <c r="A1578" s="4">
        <v>44435</v>
      </c>
      <c r="B1578" s="3">
        <v>161.52000000000001</v>
      </c>
      <c r="C1578" s="3">
        <v>340.57</v>
      </c>
      <c r="D1578" s="3">
        <v>118.37</v>
      </c>
      <c r="E1578" s="3">
        <v>1.4575</v>
      </c>
      <c r="F1578" s="3">
        <v>320.77</v>
      </c>
      <c r="G1578" s="3">
        <v>351.77</v>
      </c>
      <c r="H1578" s="3">
        <v>218.31</v>
      </c>
      <c r="I1578" s="3">
        <v>298.64</v>
      </c>
      <c r="J1578" s="3">
        <v>114.32</v>
      </c>
      <c r="K1578" s="3">
        <v>249.52</v>
      </c>
      <c r="L1578" s="3"/>
      <c r="N1578" s="4"/>
    </row>
    <row r="1579" spans="1:14" ht="17.5" thickBot="1" x14ac:dyDescent="0.45">
      <c r="A1579" s="4">
        <v>44436</v>
      </c>
      <c r="B1579" s="3">
        <v>161.52000000000001</v>
      </c>
      <c r="C1579" s="3">
        <v>340.57</v>
      </c>
      <c r="D1579" s="3">
        <v>118.37</v>
      </c>
      <c r="E1579" s="3">
        <v>1.4575</v>
      </c>
      <c r="F1579" s="3">
        <v>320.77</v>
      </c>
      <c r="G1579" s="3">
        <v>351.77</v>
      </c>
      <c r="H1579" s="3">
        <v>218.31</v>
      </c>
      <c r="I1579" s="3">
        <v>298.64</v>
      </c>
      <c r="J1579" s="3">
        <v>114.32</v>
      </c>
      <c r="K1579" s="3">
        <v>249.52</v>
      </c>
      <c r="L1579" s="3"/>
      <c r="N1579" s="4"/>
    </row>
    <row r="1580" spans="1:14" ht="17.5" thickBot="1" x14ac:dyDescent="0.45">
      <c r="A1580" s="4">
        <v>44437</v>
      </c>
      <c r="B1580" s="3">
        <v>161.52000000000001</v>
      </c>
      <c r="C1580" s="3">
        <v>340.57</v>
      </c>
      <c r="D1580" s="3">
        <v>118.37</v>
      </c>
      <c r="E1580" s="3">
        <v>1.4575</v>
      </c>
      <c r="F1580" s="3">
        <v>320.77</v>
      </c>
      <c r="G1580" s="3">
        <v>351.77</v>
      </c>
      <c r="H1580" s="3">
        <v>218.31</v>
      </c>
      <c r="I1580" s="3">
        <v>298.64</v>
      </c>
      <c r="J1580" s="3">
        <v>114.32</v>
      </c>
      <c r="K1580" s="3">
        <v>249.52</v>
      </c>
      <c r="L1580" s="3"/>
      <c r="N1580" s="4"/>
    </row>
    <row r="1581" spans="1:14" ht="17.5" thickBot="1" x14ac:dyDescent="0.45">
      <c r="A1581" s="4">
        <v>44438</v>
      </c>
      <c r="B1581" s="3">
        <v>162.34</v>
      </c>
      <c r="C1581" s="3">
        <v>344.31</v>
      </c>
      <c r="D1581" s="3">
        <v>118.73</v>
      </c>
      <c r="E1581" s="3">
        <v>1.4622999999999999</v>
      </c>
      <c r="F1581" s="3">
        <v>322.60000000000002</v>
      </c>
      <c r="G1581" s="3">
        <v>353.26</v>
      </c>
      <c r="H1581" s="3">
        <v>219.26</v>
      </c>
      <c r="I1581" s="3">
        <v>299.94</v>
      </c>
      <c r="J1581" s="3">
        <v>114.32</v>
      </c>
      <c r="K1581" s="3">
        <v>250.44</v>
      </c>
      <c r="L1581" s="3"/>
      <c r="N1581" s="4"/>
    </row>
    <row r="1582" spans="1:14" ht="17.5" thickBot="1" x14ac:dyDescent="0.45">
      <c r="A1582" s="4">
        <v>44439</v>
      </c>
      <c r="B1582" s="3">
        <v>164.24</v>
      </c>
      <c r="C1582" s="3">
        <v>347.9</v>
      </c>
      <c r="D1582" s="3">
        <v>118.9</v>
      </c>
      <c r="E1582" s="3">
        <v>1.4601</v>
      </c>
      <c r="F1582" s="3">
        <v>323.86</v>
      </c>
      <c r="G1582" s="3">
        <v>352.39</v>
      </c>
      <c r="H1582" s="3">
        <v>219.76</v>
      </c>
      <c r="I1582" s="3">
        <v>299.45999999999998</v>
      </c>
      <c r="J1582" s="3">
        <v>114.33</v>
      </c>
      <c r="K1582" s="3">
        <v>250.73</v>
      </c>
      <c r="L1582" s="3"/>
      <c r="N1582" s="4"/>
    </row>
    <row r="1583" spans="1:14" ht="17.5" thickBot="1" x14ac:dyDescent="0.45">
      <c r="A1583" s="4">
        <v>44440</v>
      </c>
      <c r="B1583" s="3">
        <v>165.44</v>
      </c>
      <c r="C1583" s="3">
        <v>349.04</v>
      </c>
      <c r="D1583" s="3">
        <v>118.9</v>
      </c>
      <c r="E1583" s="3">
        <v>1.4628000000000001</v>
      </c>
      <c r="F1583" s="3">
        <v>325.5</v>
      </c>
      <c r="G1583" s="3">
        <v>352.4</v>
      </c>
      <c r="H1583" s="3">
        <v>220.75</v>
      </c>
      <c r="I1583" s="3">
        <v>299.5</v>
      </c>
      <c r="J1583" s="3">
        <v>114.33</v>
      </c>
      <c r="K1583" s="3">
        <v>251.63</v>
      </c>
      <c r="L1583" s="3"/>
      <c r="N1583" s="4"/>
    </row>
    <row r="1584" spans="1:14" ht="17.5" thickBot="1" x14ac:dyDescent="0.45">
      <c r="A1584" s="4">
        <v>44441</v>
      </c>
      <c r="B1584" s="3">
        <v>166.08</v>
      </c>
      <c r="C1584" s="3">
        <v>348.71</v>
      </c>
      <c r="D1584" s="3">
        <v>118.9</v>
      </c>
      <c r="E1584" s="3">
        <v>1.4653</v>
      </c>
      <c r="F1584" s="3">
        <v>326.33999999999997</v>
      </c>
      <c r="G1584" s="3">
        <v>353.13</v>
      </c>
      <c r="H1584" s="3">
        <v>221.21</v>
      </c>
      <c r="I1584" s="3">
        <v>300.35000000000002</v>
      </c>
      <c r="J1584" s="3">
        <v>114.33</v>
      </c>
      <c r="K1584" s="3">
        <v>252.11</v>
      </c>
      <c r="L1584" s="3"/>
      <c r="N1584" s="4"/>
    </row>
    <row r="1585" spans="1:14" ht="17.5" thickBot="1" x14ac:dyDescent="0.45">
      <c r="A1585" s="4">
        <v>44442</v>
      </c>
      <c r="B1585" s="3">
        <v>165.1</v>
      </c>
      <c r="C1585" s="3">
        <v>352.16</v>
      </c>
      <c r="D1585" s="3">
        <v>119.08</v>
      </c>
      <c r="E1585" s="3">
        <v>1.4653</v>
      </c>
      <c r="F1585" s="3">
        <v>326.64999999999998</v>
      </c>
      <c r="G1585" s="3">
        <v>352.9</v>
      </c>
      <c r="H1585" s="3">
        <v>221.28</v>
      </c>
      <c r="I1585" s="3">
        <v>300.11</v>
      </c>
      <c r="J1585" s="3">
        <v>114.33</v>
      </c>
      <c r="K1585" s="3">
        <v>252.09</v>
      </c>
      <c r="L1585" s="3"/>
      <c r="N1585" s="4"/>
    </row>
    <row r="1586" spans="1:14" ht="17.5" thickBot="1" x14ac:dyDescent="0.45">
      <c r="A1586" s="4">
        <v>44443</v>
      </c>
      <c r="B1586" s="3">
        <v>165.1</v>
      </c>
      <c r="C1586" s="3">
        <v>352.16</v>
      </c>
      <c r="D1586" s="3">
        <v>119.08</v>
      </c>
      <c r="E1586" s="3">
        <v>1.4653</v>
      </c>
      <c r="F1586" s="3">
        <v>326.64999999999998</v>
      </c>
      <c r="G1586" s="3">
        <v>352.9</v>
      </c>
      <c r="H1586" s="3">
        <v>221.28</v>
      </c>
      <c r="I1586" s="3">
        <v>300.11</v>
      </c>
      <c r="J1586" s="3">
        <v>114.33</v>
      </c>
      <c r="K1586" s="3">
        <v>252.09</v>
      </c>
      <c r="L1586" s="3"/>
      <c r="N1586" s="4"/>
    </row>
    <row r="1587" spans="1:14" ht="17.5" thickBot="1" x14ac:dyDescent="0.45">
      <c r="A1587" s="4">
        <v>44444</v>
      </c>
      <c r="B1587" s="3">
        <v>165.1</v>
      </c>
      <c r="C1587" s="3">
        <v>352.16</v>
      </c>
      <c r="D1587" s="3">
        <v>119.08</v>
      </c>
      <c r="E1587" s="3">
        <v>1.4653</v>
      </c>
      <c r="F1587" s="3">
        <v>326.64999999999998</v>
      </c>
      <c r="G1587" s="3">
        <v>352.9</v>
      </c>
      <c r="H1587" s="3">
        <v>221.28</v>
      </c>
      <c r="I1587" s="3">
        <v>300.11</v>
      </c>
      <c r="J1587" s="3">
        <v>114.33</v>
      </c>
      <c r="K1587" s="3">
        <v>252.09</v>
      </c>
      <c r="L1587" s="3"/>
      <c r="N1587" s="4"/>
    </row>
    <row r="1588" spans="1:14" ht="17.5" thickBot="1" x14ac:dyDescent="0.45">
      <c r="A1588" s="4">
        <v>44445</v>
      </c>
      <c r="B1588" s="3">
        <v>166.44</v>
      </c>
      <c r="C1588" s="3">
        <v>354.04</v>
      </c>
      <c r="D1588" s="3">
        <v>118.98</v>
      </c>
      <c r="E1588" s="3">
        <v>1.4678</v>
      </c>
      <c r="F1588" s="3">
        <v>328.57</v>
      </c>
      <c r="G1588" s="3">
        <v>352.94</v>
      </c>
      <c r="H1588" s="3">
        <v>222.2</v>
      </c>
      <c r="I1588" s="3">
        <v>300.14</v>
      </c>
      <c r="J1588" s="3">
        <v>114.33</v>
      </c>
      <c r="K1588" s="3">
        <v>252.89</v>
      </c>
      <c r="L1588" s="3"/>
      <c r="N1588" s="4"/>
    </row>
    <row r="1589" spans="1:14" ht="17.5" thickBot="1" x14ac:dyDescent="0.45">
      <c r="A1589" s="4">
        <v>44446</v>
      </c>
      <c r="B1589" s="3">
        <v>167.86</v>
      </c>
      <c r="C1589" s="3">
        <v>352.68</v>
      </c>
      <c r="D1589" s="3">
        <v>118.71</v>
      </c>
      <c r="E1589" s="3">
        <v>1.4637</v>
      </c>
      <c r="F1589" s="3">
        <v>328.61</v>
      </c>
      <c r="G1589" s="3">
        <v>351.45</v>
      </c>
      <c r="H1589" s="3">
        <v>222.1</v>
      </c>
      <c r="I1589" s="3">
        <v>299.18</v>
      </c>
      <c r="J1589" s="3">
        <v>114.33</v>
      </c>
      <c r="K1589" s="3">
        <v>252.64</v>
      </c>
      <c r="L1589" s="3"/>
      <c r="N1589" s="4"/>
    </row>
    <row r="1590" spans="1:14" ht="17.5" thickBot="1" x14ac:dyDescent="0.45">
      <c r="A1590" s="4">
        <v>44447</v>
      </c>
      <c r="B1590" s="3">
        <v>167.26</v>
      </c>
      <c r="C1590" s="3">
        <v>350.23</v>
      </c>
      <c r="D1590" s="3">
        <v>118.53</v>
      </c>
      <c r="E1590" s="3">
        <v>1.4609000000000001</v>
      </c>
      <c r="F1590" s="3">
        <v>327.57</v>
      </c>
      <c r="G1590" s="3">
        <v>351.06</v>
      </c>
      <c r="H1590" s="3">
        <v>221.55</v>
      </c>
      <c r="I1590" s="3">
        <v>298.86</v>
      </c>
      <c r="J1590" s="3">
        <v>114.33</v>
      </c>
      <c r="K1590" s="3">
        <v>252.15</v>
      </c>
      <c r="L1590" s="3"/>
      <c r="N1590" s="4"/>
    </row>
    <row r="1591" spans="1:14" ht="17.5" thickBot="1" x14ac:dyDescent="0.45">
      <c r="A1591" s="4">
        <v>44448</v>
      </c>
      <c r="B1591" s="3">
        <v>163.84</v>
      </c>
      <c r="C1591" s="3">
        <v>347.45</v>
      </c>
      <c r="D1591" s="3">
        <v>118.52</v>
      </c>
      <c r="E1591" s="3">
        <v>1.4589000000000001</v>
      </c>
      <c r="F1591" s="3">
        <v>324.72000000000003</v>
      </c>
      <c r="G1591" s="3">
        <v>349.6</v>
      </c>
      <c r="H1591" s="3">
        <v>220.33</v>
      </c>
      <c r="I1591" s="3">
        <v>297.54000000000002</v>
      </c>
      <c r="J1591" s="3">
        <v>114.33</v>
      </c>
      <c r="K1591" s="3">
        <v>251.22</v>
      </c>
      <c r="L1591" s="3"/>
      <c r="N1591" s="4"/>
    </row>
    <row r="1592" spans="1:14" ht="17.5" thickBot="1" x14ac:dyDescent="0.45">
      <c r="A1592" s="4">
        <v>44449</v>
      </c>
      <c r="B1592" s="3">
        <v>166.92</v>
      </c>
      <c r="C1592" s="3">
        <v>349.49</v>
      </c>
      <c r="D1592" s="3">
        <v>118.7</v>
      </c>
      <c r="E1592" s="3">
        <v>1.4554</v>
      </c>
      <c r="F1592" s="3">
        <v>326.70999999999998</v>
      </c>
      <c r="G1592" s="3">
        <v>347.23</v>
      </c>
      <c r="H1592" s="3">
        <v>221.31</v>
      </c>
      <c r="I1592" s="3">
        <v>295.22000000000003</v>
      </c>
      <c r="J1592" s="3">
        <v>114.33</v>
      </c>
      <c r="K1592" s="3">
        <v>252.06</v>
      </c>
      <c r="L1592" s="3"/>
      <c r="N1592" s="4"/>
    </row>
    <row r="1593" spans="1:14" ht="17.5" thickBot="1" x14ac:dyDescent="0.45">
      <c r="A1593" s="4">
        <v>44450</v>
      </c>
      <c r="B1593" s="3">
        <v>166.92</v>
      </c>
      <c r="C1593" s="3">
        <v>349.49</v>
      </c>
      <c r="D1593" s="3">
        <v>118.7</v>
      </c>
      <c r="E1593" s="3">
        <v>1.4554</v>
      </c>
      <c r="F1593" s="3">
        <v>326.70999999999998</v>
      </c>
      <c r="G1593" s="3">
        <v>347.23</v>
      </c>
      <c r="H1593" s="3">
        <v>221.31</v>
      </c>
      <c r="I1593" s="3">
        <v>295.22000000000003</v>
      </c>
      <c r="J1593" s="3">
        <v>114.33</v>
      </c>
      <c r="K1593" s="3">
        <v>252.06</v>
      </c>
      <c r="L1593" s="3"/>
      <c r="N1593" s="4"/>
    </row>
    <row r="1594" spans="1:14" ht="17.5" thickBot="1" x14ac:dyDescent="0.45">
      <c r="A1594" s="4">
        <v>44451</v>
      </c>
      <c r="B1594" s="3">
        <v>166.92</v>
      </c>
      <c r="C1594" s="3">
        <v>349.49</v>
      </c>
      <c r="D1594" s="3">
        <v>118.7</v>
      </c>
      <c r="E1594" s="3">
        <v>1.4554</v>
      </c>
      <c r="F1594" s="3">
        <v>326.70999999999998</v>
      </c>
      <c r="G1594" s="3">
        <v>347.23</v>
      </c>
      <c r="H1594" s="3">
        <v>221.31</v>
      </c>
      <c r="I1594" s="3">
        <v>295.22000000000003</v>
      </c>
      <c r="J1594" s="3">
        <v>114.33</v>
      </c>
      <c r="K1594" s="3">
        <v>252.06</v>
      </c>
      <c r="L1594" s="3"/>
      <c r="N1594" s="4"/>
    </row>
    <row r="1595" spans="1:14" ht="17.5" thickBot="1" x14ac:dyDescent="0.45">
      <c r="A1595" s="4">
        <v>44452</v>
      </c>
      <c r="B1595" s="3">
        <v>164.55</v>
      </c>
      <c r="C1595" s="3">
        <v>348.83</v>
      </c>
      <c r="D1595" s="3">
        <v>118.43</v>
      </c>
      <c r="E1595" s="3">
        <v>1.4564999999999999</v>
      </c>
      <c r="F1595" s="3">
        <v>325.54000000000002</v>
      </c>
      <c r="G1595" s="3">
        <v>348.29</v>
      </c>
      <c r="H1595" s="3">
        <v>220.68</v>
      </c>
      <c r="I1595" s="3">
        <v>295.99</v>
      </c>
      <c r="J1595" s="3">
        <v>114.33</v>
      </c>
      <c r="K1595" s="3">
        <v>251.49</v>
      </c>
      <c r="L1595" s="3"/>
      <c r="N1595" s="4"/>
    </row>
    <row r="1596" spans="1:14" ht="17.5" thickBot="1" x14ac:dyDescent="0.45">
      <c r="A1596" s="4">
        <v>44453</v>
      </c>
      <c r="B1596" s="3">
        <v>162.65</v>
      </c>
      <c r="C1596" s="3">
        <v>350.01</v>
      </c>
      <c r="D1596" s="3">
        <v>118.42</v>
      </c>
      <c r="E1596" s="3">
        <v>1.4547000000000001</v>
      </c>
      <c r="F1596" s="3">
        <v>324.7</v>
      </c>
      <c r="G1596" s="3">
        <v>345.97</v>
      </c>
      <c r="H1596" s="3">
        <v>220.21</v>
      </c>
      <c r="I1596" s="3">
        <v>294.39999999999998</v>
      </c>
      <c r="J1596" s="3">
        <v>114.33</v>
      </c>
      <c r="K1596" s="3">
        <v>251.15</v>
      </c>
      <c r="L1596" s="3"/>
      <c r="N1596" s="4"/>
    </row>
    <row r="1597" spans="1:14" ht="17.5" thickBot="1" x14ac:dyDescent="0.45">
      <c r="A1597" s="4">
        <v>44454</v>
      </c>
      <c r="B1597" s="3">
        <v>160.24</v>
      </c>
      <c r="C1597" s="3">
        <v>348.43</v>
      </c>
      <c r="D1597" s="3">
        <v>118.51</v>
      </c>
      <c r="E1597" s="3">
        <v>1.4560999999999999</v>
      </c>
      <c r="F1597" s="3">
        <v>322.64</v>
      </c>
      <c r="G1597" s="3">
        <v>349.29</v>
      </c>
      <c r="H1597" s="3">
        <v>219.17</v>
      </c>
      <c r="I1597" s="3">
        <v>296.83</v>
      </c>
      <c r="J1597" s="3">
        <v>114.33</v>
      </c>
      <c r="K1597" s="3">
        <v>250.1</v>
      </c>
      <c r="L1597" s="3"/>
      <c r="N1597" s="4"/>
    </row>
    <row r="1598" spans="1:14" ht="17.5" thickBot="1" x14ac:dyDescent="0.45">
      <c r="A1598" s="4">
        <v>44455</v>
      </c>
      <c r="B1598" s="3">
        <v>157.68</v>
      </c>
      <c r="C1598" s="3">
        <v>347.23</v>
      </c>
      <c r="D1598" s="3">
        <v>118.24</v>
      </c>
      <c r="E1598" s="3">
        <v>1.4536</v>
      </c>
      <c r="F1598" s="3">
        <v>320.64</v>
      </c>
      <c r="G1598" s="3">
        <v>348.77</v>
      </c>
      <c r="H1598" s="3">
        <v>218.15</v>
      </c>
      <c r="I1598" s="3">
        <v>296.39999999999998</v>
      </c>
      <c r="J1598" s="3">
        <v>114.33</v>
      </c>
      <c r="K1598" s="3">
        <v>249.01</v>
      </c>
      <c r="L1598" s="3"/>
      <c r="N1598" s="4"/>
    </row>
    <row r="1599" spans="1:14" ht="17.5" thickBot="1" x14ac:dyDescent="0.45">
      <c r="A1599" s="4">
        <v>44456</v>
      </c>
      <c r="B1599" s="3">
        <v>159.05000000000001</v>
      </c>
      <c r="C1599" s="3">
        <v>346.16</v>
      </c>
      <c r="D1599" s="3">
        <v>117.97</v>
      </c>
      <c r="E1599" s="3">
        <v>1.4458</v>
      </c>
      <c r="F1599" s="3">
        <v>320.16000000000003</v>
      </c>
      <c r="G1599" s="3">
        <v>345.43</v>
      </c>
      <c r="H1599" s="3">
        <v>217.78</v>
      </c>
      <c r="I1599" s="3">
        <v>293.39999999999998</v>
      </c>
      <c r="J1599" s="3">
        <v>114.33</v>
      </c>
      <c r="K1599" s="3">
        <v>248.54</v>
      </c>
      <c r="L1599" s="3"/>
      <c r="N1599" s="4"/>
    </row>
    <row r="1600" spans="1:14" ht="17.5" thickBot="1" x14ac:dyDescent="0.45">
      <c r="A1600" s="4">
        <v>44457</v>
      </c>
      <c r="B1600" s="3">
        <v>159.05000000000001</v>
      </c>
      <c r="C1600" s="3">
        <v>346.16</v>
      </c>
      <c r="D1600" s="3">
        <v>117.97</v>
      </c>
      <c r="E1600" s="3">
        <v>1.4458</v>
      </c>
      <c r="F1600" s="3">
        <v>320.16000000000003</v>
      </c>
      <c r="G1600" s="3">
        <v>345.43</v>
      </c>
      <c r="H1600" s="3">
        <v>217.78</v>
      </c>
      <c r="I1600" s="3">
        <v>293.39999999999998</v>
      </c>
      <c r="J1600" s="3">
        <v>114.33</v>
      </c>
      <c r="K1600" s="3">
        <v>248.54</v>
      </c>
      <c r="L1600" s="3"/>
      <c r="N1600" s="4"/>
    </row>
    <row r="1601" spans="1:14" ht="17.5" thickBot="1" x14ac:dyDescent="0.45">
      <c r="A1601" s="4">
        <v>44458</v>
      </c>
      <c r="B1601" s="3">
        <v>159.05000000000001</v>
      </c>
      <c r="C1601" s="3">
        <v>346.16</v>
      </c>
      <c r="D1601" s="3">
        <v>117.97</v>
      </c>
      <c r="E1601" s="3">
        <v>1.4458</v>
      </c>
      <c r="F1601" s="3">
        <v>320.16000000000003</v>
      </c>
      <c r="G1601" s="3">
        <v>345.43</v>
      </c>
      <c r="H1601" s="3">
        <v>217.78</v>
      </c>
      <c r="I1601" s="3">
        <v>293.39999999999998</v>
      </c>
      <c r="J1601" s="3">
        <v>114.33</v>
      </c>
      <c r="K1601" s="3">
        <v>248.54</v>
      </c>
      <c r="L1601" s="3"/>
      <c r="N1601" s="4"/>
    </row>
    <row r="1602" spans="1:14" ht="17.5" thickBot="1" x14ac:dyDescent="0.45">
      <c r="A1602" s="4">
        <v>44459</v>
      </c>
      <c r="B1602" s="3">
        <v>153.99</v>
      </c>
      <c r="C1602" s="3">
        <v>346.25</v>
      </c>
      <c r="D1602" s="3">
        <v>117.69</v>
      </c>
      <c r="E1602" s="3">
        <v>1.4342999999999999</v>
      </c>
      <c r="F1602" s="3">
        <v>315.20999999999998</v>
      </c>
      <c r="G1602" s="3">
        <v>339.54</v>
      </c>
      <c r="H1602" s="3">
        <v>215.62</v>
      </c>
      <c r="I1602" s="3">
        <v>288.58</v>
      </c>
      <c r="J1602" s="3">
        <v>114.33</v>
      </c>
      <c r="K1602" s="3">
        <v>246.59</v>
      </c>
      <c r="L1602" s="3"/>
      <c r="N1602" s="4"/>
    </row>
    <row r="1603" spans="1:14" ht="17.5" thickBot="1" x14ac:dyDescent="0.45">
      <c r="A1603" s="4">
        <v>44460</v>
      </c>
      <c r="B1603" s="3">
        <v>154.63999999999999</v>
      </c>
      <c r="C1603" s="3">
        <v>345.58</v>
      </c>
      <c r="D1603" s="3">
        <v>117.69</v>
      </c>
      <c r="E1603" s="3">
        <v>1.4357</v>
      </c>
      <c r="F1603" s="3">
        <v>315.85000000000002</v>
      </c>
      <c r="G1603" s="3">
        <v>339.51</v>
      </c>
      <c r="H1603" s="3">
        <v>215.94</v>
      </c>
      <c r="I1603" s="3">
        <v>288.3</v>
      </c>
      <c r="J1603" s="3">
        <v>114.33</v>
      </c>
      <c r="K1603" s="3">
        <v>246.91</v>
      </c>
      <c r="L1603" s="3"/>
      <c r="N1603" s="4"/>
    </row>
    <row r="1604" spans="1:14" ht="17.5" thickBot="1" x14ac:dyDescent="0.45">
      <c r="A1604" s="4">
        <v>44461</v>
      </c>
      <c r="B1604" s="3">
        <v>154.63999999999999</v>
      </c>
      <c r="C1604" s="3">
        <v>345.58</v>
      </c>
      <c r="D1604" s="3">
        <v>117.69</v>
      </c>
      <c r="E1604" s="3">
        <v>1.4357</v>
      </c>
      <c r="F1604" s="3">
        <v>315.85000000000002</v>
      </c>
      <c r="G1604" s="3">
        <v>339.51</v>
      </c>
      <c r="H1604" s="3">
        <v>215.94</v>
      </c>
      <c r="I1604" s="3">
        <v>288.3</v>
      </c>
      <c r="J1604" s="3">
        <v>114.33</v>
      </c>
      <c r="K1604" s="3">
        <v>246.91</v>
      </c>
      <c r="L1604" s="3"/>
      <c r="N1604" s="4"/>
    </row>
    <row r="1605" spans="1:14" ht="17.5" thickBot="1" x14ac:dyDescent="0.45">
      <c r="A1605" s="4">
        <v>44462</v>
      </c>
      <c r="B1605" s="3">
        <v>156.53</v>
      </c>
      <c r="C1605" s="3">
        <v>345.48</v>
      </c>
      <c r="D1605" s="3">
        <v>117.86</v>
      </c>
      <c r="E1605" s="3">
        <v>1.4474</v>
      </c>
      <c r="F1605" s="3">
        <v>319.33</v>
      </c>
      <c r="G1605" s="3">
        <v>346.06</v>
      </c>
      <c r="H1605" s="3">
        <v>217.27</v>
      </c>
      <c r="I1605" s="3">
        <v>294.63</v>
      </c>
      <c r="J1605" s="3">
        <v>114.33</v>
      </c>
      <c r="K1605" s="3">
        <v>247.98</v>
      </c>
      <c r="L1605" s="3"/>
      <c r="N1605" s="4"/>
    </row>
    <row r="1606" spans="1:14" ht="17.5" thickBot="1" x14ac:dyDescent="0.45">
      <c r="A1606" s="4">
        <v>44463</v>
      </c>
      <c r="B1606" s="3">
        <v>154.53</v>
      </c>
      <c r="C1606" s="3">
        <v>344.98</v>
      </c>
      <c r="D1606" s="3">
        <v>117.41</v>
      </c>
      <c r="E1606" s="3">
        <v>1.4447000000000001</v>
      </c>
      <c r="F1606" s="3">
        <v>317.31</v>
      </c>
      <c r="G1606" s="3">
        <v>346.56</v>
      </c>
      <c r="H1606" s="3">
        <v>216.23</v>
      </c>
      <c r="I1606" s="3">
        <v>294.99</v>
      </c>
      <c r="J1606" s="3">
        <v>114.33</v>
      </c>
      <c r="K1606" s="3">
        <v>246.83</v>
      </c>
      <c r="L1606" s="3"/>
      <c r="N1606" s="4"/>
    </row>
    <row r="1607" spans="1:14" ht="17.5" thickBot="1" x14ac:dyDescent="0.45">
      <c r="A1607" s="4">
        <v>44464</v>
      </c>
      <c r="B1607" s="3">
        <v>154.53</v>
      </c>
      <c r="C1607" s="3">
        <v>344.98</v>
      </c>
      <c r="D1607" s="3">
        <v>117.41</v>
      </c>
      <c r="E1607" s="3">
        <v>1.4447000000000001</v>
      </c>
      <c r="F1607" s="3">
        <v>317.31</v>
      </c>
      <c r="G1607" s="3">
        <v>346.56</v>
      </c>
      <c r="H1607" s="3">
        <v>216.23</v>
      </c>
      <c r="I1607" s="3">
        <v>294.99</v>
      </c>
      <c r="J1607" s="3">
        <v>114.33</v>
      </c>
      <c r="K1607" s="3">
        <v>246.83</v>
      </c>
      <c r="L1607" s="3"/>
      <c r="N1607" s="4"/>
    </row>
    <row r="1608" spans="1:14" ht="17.5" thickBot="1" x14ac:dyDescent="0.45">
      <c r="A1608" s="4">
        <v>44465</v>
      </c>
      <c r="B1608" s="3">
        <v>154.53</v>
      </c>
      <c r="C1608" s="3">
        <v>344.98</v>
      </c>
      <c r="D1608" s="3">
        <v>117.41</v>
      </c>
      <c r="E1608" s="3">
        <v>1.4447000000000001</v>
      </c>
      <c r="F1608" s="3">
        <v>317.31</v>
      </c>
      <c r="G1608" s="3">
        <v>346.56</v>
      </c>
      <c r="H1608" s="3">
        <v>216.23</v>
      </c>
      <c r="I1608" s="3">
        <v>294.99</v>
      </c>
      <c r="J1608" s="3">
        <v>114.33</v>
      </c>
      <c r="K1608" s="3">
        <v>246.83</v>
      </c>
      <c r="L1608" s="3"/>
      <c r="N1608" s="4"/>
    </row>
    <row r="1609" spans="1:14" ht="17.5" thickBot="1" x14ac:dyDescent="0.45">
      <c r="A1609" s="4">
        <v>44466</v>
      </c>
      <c r="B1609" s="3">
        <v>154.34</v>
      </c>
      <c r="C1609" s="3">
        <v>345.55</v>
      </c>
      <c r="D1609" s="3">
        <v>117.22</v>
      </c>
      <c r="E1609" s="3">
        <v>1.4418</v>
      </c>
      <c r="F1609" s="3">
        <v>316.75</v>
      </c>
      <c r="G1609" s="3">
        <v>345.95</v>
      </c>
      <c r="H1609" s="3">
        <v>215.87</v>
      </c>
      <c r="I1609" s="3">
        <v>294.02999999999997</v>
      </c>
      <c r="J1609" s="3">
        <v>114.33</v>
      </c>
      <c r="K1609" s="3">
        <v>246.44</v>
      </c>
      <c r="L1609" s="3"/>
      <c r="N1609" s="4"/>
    </row>
    <row r="1610" spans="1:14" ht="17.5" thickBot="1" x14ac:dyDescent="0.45">
      <c r="A1610" s="4">
        <v>44467</v>
      </c>
      <c r="B1610" s="3">
        <v>156.24</v>
      </c>
      <c r="C1610" s="3">
        <v>340.13</v>
      </c>
      <c r="D1610" s="3">
        <v>116.68</v>
      </c>
      <c r="E1610" s="3">
        <v>1.4244000000000001</v>
      </c>
      <c r="F1610" s="3">
        <v>314.22000000000003</v>
      </c>
      <c r="G1610" s="3">
        <v>338.99</v>
      </c>
      <c r="H1610" s="3">
        <v>214.62</v>
      </c>
      <c r="I1610" s="3">
        <v>288.16000000000003</v>
      </c>
      <c r="J1610" s="3">
        <v>114.33</v>
      </c>
      <c r="K1610" s="3">
        <v>245.11</v>
      </c>
      <c r="L1610" s="3"/>
      <c r="N1610" s="4"/>
    </row>
    <row r="1611" spans="1:14" ht="17.5" thickBot="1" x14ac:dyDescent="0.45">
      <c r="A1611" s="4">
        <v>44468</v>
      </c>
      <c r="B1611" s="3">
        <v>157.41999999999999</v>
      </c>
      <c r="C1611" s="3">
        <v>333.98</v>
      </c>
      <c r="D1611" s="3">
        <v>116.41</v>
      </c>
      <c r="E1611" s="3">
        <v>1.4234</v>
      </c>
      <c r="F1611" s="3">
        <v>312.94</v>
      </c>
      <c r="G1611" s="3">
        <v>339.55</v>
      </c>
      <c r="H1611" s="3">
        <v>214.07</v>
      </c>
      <c r="I1611" s="3">
        <v>288.64</v>
      </c>
      <c r="J1611" s="3">
        <v>114.33</v>
      </c>
      <c r="K1611" s="3">
        <v>244.57</v>
      </c>
      <c r="L1611" s="3"/>
      <c r="N1611" s="4"/>
    </row>
    <row r="1612" spans="1:14" ht="17.5" thickBot="1" x14ac:dyDescent="0.45">
      <c r="A1612" s="4">
        <v>44469</v>
      </c>
      <c r="B1612" s="3">
        <v>156.72</v>
      </c>
      <c r="C1612" s="3">
        <v>336.59</v>
      </c>
      <c r="D1612" s="3">
        <v>116.59</v>
      </c>
      <c r="E1612" s="3">
        <v>1.4175</v>
      </c>
      <c r="F1612" s="3">
        <v>312.37</v>
      </c>
      <c r="G1612" s="3">
        <v>335</v>
      </c>
      <c r="H1612" s="3">
        <v>213.8</v>
      </c>
      <c r="I1612" s="3">
        <v>285.2</v>
      </c>
      <c r="J1612" s="3">
        <v>114.34</v>
      </c>
      <c r="K1612" s="3">
        <v>244.25</v>
      </c>
      <c r="L1612" s="3"/>
      <c r="N1612" s="4"/>
    </row>
    <row r="1613" spans="1:14" ht="17.5" thickBot="1" x14ac:dyDescent="0.45">
      <c r="A1613" s="4">
        <v>44470</v>
      </c>
      <c r="B1613" s="3">
        <v>156.72</v>
      </c>
      <c r="C1613" s="3">
        <v>336.59</v>
      </c>
      <c r="D1613" s="3">
        <v>116.59</v>
      </c>
      <c r="E1613" s="3">
        <v>1.4175</v>
      </c>
      <c r="F1613" s="3">
        <v>312.37</v>
      </c>
      <c r="G1613" s="3">
        <v>335</v>
      </c>
      <c r="H1613" s="3">
        <v>213.8</v>
      </c>
      <c r="I1613" s="3">
        <v>285.2</v>
      </c>
      <c r="J1613" s="3">
        <v>114.34</v>
      </c>
      <c r="K1613" s="3">
        <v>244.25</v>
      </c>
      <c r="L1613" s="3"/>
      <c r="N1613" s="4"/>
    </row>
    <row r="1614" spans="1:14" ht="17.5" thickBot="1" x14ac:dyDescent="0.45">
      <c r="A1614" s="4">
        <v>44471</v>
      </c>
      <c r="B1614" s="3">
        <v>156.72</v>
      </c>
      <c r="C1614" s="3">
        <v>336.59</v>
      </c>
      <c r="D1614" s="3">
        <v>116.59</v>
      </c>
      <c r="E1614" s="3">
        <v>1.4175</v>
      </c>
      <c r="F1614" s="3">
        <v>312.37</v>
      </c>
      <c r="G1614" s="3">
        <v>335</v>
      </c>
      <c r="H1614" s="3">
        <v>213.8</v>
      </c>
      <c r="I1614" s="3">
        <v>285.2</v>
      </c>
      <c r="J1614" s="3">
        <v>114.34</v>
      </c>
      <c r="K1614" s="3">
        <v>244.25</v>
      </c>
      <c r="L1614" s="3"/>
      <c r="N1614" s="4"/>
    </row>
    <row r="1615" spans="1:14" ht="17.5" thickBot="1" x14ac:dyDescent="0.45">
      <c r="A1615" s="4">
        <v>44472</v>
      </c>
      <c r="B1615" s="3">
        <v>156.72</v>
      </c>
      <c r="C1615" s="3">
        <v>336.59</v>
      </c>
      <c r="D1615" s="3">
        <v>116.59</v>
      </c>
      <c r="E1615" s="3">
        <v>1.4175</v>
      </c>
      <c r="F1615" s="3">
        <v>312.37</v>
      </c>
      <c r="G1615" s="3">
        <v>335</v>
      </c>
      <c r="H1615" s="3">
        <v>213.8</v>
      </c>
      <c r="I1615" s="3">
        <v>285.2</v>
      </c>
      <c r="J1615" s="3">
        <v>114.34</v>
      </c>
      <c r="K1615" s="3">
        <v>244.25</v>
      </c>
      <c r="L1615" s="3"/>
      <c r="N1615" s="4"/>
    </row>
    <row r="1616" spans="1:14" ht="17.5" thickBot="1" x14ac:dyDescent="0.45">
      <c r="A1616" s="4">
        <v>44473</v>
      </c>
      <c r="B1616" s="3">
        <v>153.6</v>
      </c>
      <c r="C1616" s="3">
        <v>332.12</v>
      </c>
      <c r="D1616" s="3">
        <v>116.76</v>
      </c>
      <c r="E1616" s="3">
        <v>1.4141999999999999</v>
      </c>
      <c r="F1616" s="3">
        <v>308.58999999999997</v>
      </c>
      <c r="G1616" s="3">
        <v>334.59</v>
      </c>
      <c r="H1616" s="3">
        <v>212.35</v>
      </c>
      <c r="I1616" s="3">
        <v>284.82</v>
      </c>
      <c r="J1616" s="3">
        <v>114.34</v>
      </c>
      <c r="K1616" s="3">
        <v>243</v>
      </c>
      <c r="L1616" s="3"/>
      <c r="N1616" s="4"/>
    </row>
    <row r="1617" spans="1:14" ht="17.5" thickBot="1" x14ac:dyDescent="0.45">
      <c r="A1617" s="4">
        <v>44474</v>
      </c>
      <c r="B1617" s="3">
        <v>153.91999999999999</v>
      </c>
      <c r="C1617" s="3">
        <v>329.84</v>
      </c>
      <c r="D1617" s="3">
        <v>116.66</v>
      </c>
      <c r="E1617" s="3">
        <v>1.4180999999999999</v>
      </c>
      <c r="F1617" s="3">
        <v>308.97000000000003</v>
      </c>
      <c r="G1617" s="3">
        <v>337.94</v>
      </c>
      <c r="H1617" s="3">
        <v>212.34</v>
      </c>
      <c r="I1617" s="3">
        <v>287.72000000000003</v>
      </c>
      <c r="J1617" s="3">
        <v>114.34</v>
      </c>
      <c r="K1617" s="3">
        <v>242.84</v>
      </c>
      <c r="L1617" s="3"/>
      <c r="N1617" s="4"/>
    </row>
    <row r="1618" spans="1:14" ht="17.5" thickBot="1" x14ac:dyDescent="0.45">
      <c r="A1618" s="4">
        <v>44475</v>
      </c>
      <c r="B1618" s="3">
        <v>153.01</v>
      </c>
      <c r="C1618" s="3">
        <v>327.68</v>
      </c>
      <c r="D1618" s="3">
        <v>116.3</v>
      </c>
      <c r="E1618" s="3">
        <v>1.4176</v>
      </c>
      <c r="F1618" s="3">
        <v>307.36</v>
      </c>
      <c r="G1618" s="3">
        <v>339.12</v>
      </c>
      <c r="H1618" s="3">
        <v>211.61</v>
      </c>
      <c r="I1618" s="3">
        <v>288.98</v>
      </c>
      <c r="J1618" s="3">
        <v>114.34</v>
      </c>
      <c r="K1618" s="3">
        <v>242.09</v>
      </c>
      <c r="L1618" s="3"/>
      <c r="N1618" s="4"/>
    </row>
    <row r="1619" spans="1:14" ht="17.5" thickBot="1" x14ac:dyDescent="0.45">
      <c r="A1619" s="4">
        <v>44476</v>
      </c>
      <c r="B1619" s="3">
        <v>157.63999999999999</v>
      </c>
      <c r="C1619" s="3">
        <v>331.99</v>
      </c>
      <c r="D1619" s="3">
        <v>116.21</v>
      </c>
      <c r="E1619" s="3">
        <v>1.4260999999999999</v>
      </c>
      <c r="F1619" s="3">
        <v>311.86</v>
      </c>
      <c r="G1619" s="3">
        <v>341.73</v>
      </c>
      <c r="H1619" s="3">
        <v>213.59</v>
      </c>
      <c r="I1619" s="3">
        <v>291.36</v>
      </c>
      <c r="J1619" s="3">
        <v>114.34</v>
      </c>
      <c r="K1619" s="3">
        <v>243.96</v>
      </c>
      <c r="L1619" s="3"/>
      <c r="N1619" s="4"/>
    </row>
    <row r="1620" spans="1:14" ht="17.5" thickBot="1" x14ac:dyDescent="0.45">
      <c r="A1620" s="4">
        <v>44477</v>
      </c>
      <c r="B1620" s="3">
        <v>158.28</v>
      </c>
      <c r="C1620" s="3">
        <v>333.45</v>
      </c>
      <c r="D1620" s="3">
        <v>115.94</v>
      </c>
      <c r="E1620" s="3">
        <v>1.4245000000000001</v>
      </c>
      <c r="F1620" s="3">
        <v>312.25</v>
      </c>
      <c r="G1620" s="3">
        <v>340.85</v>
      </c>
      <c r="H1620" s="3">
        <v>213.6</v>
      </c>
      <c r="I1620" s="3">
        <v>290.91000000000003</v>
      </c>
      <c r="J1620" s="3">
        <v>114.34</v>
      </c>
      <c r="K1620" s="3">
        <v>243.89</v>
      </c>
      <c r="L1620" s="3"/>
      <c r="N1620" s="4"/>
    </row>
    <row r="1621" spans="1:14" ht="17.5" thickBot="1" x14ac:dyDescent="0.45">
      <c r="A1621" s="4">
        <v>44478</v>
      </c>
      <c r="B1621" s="3">
        <v>158.28</v>
      </c>
      <c r="C1621" s="3">
        <v>333.45</v>
      </c>
      <c r="D1621" s="3">
        <v>115.94</v>
      </c>
      <c r="E1621" s="3">
        <v>1.4245000000000001</v>
      </c>
      <c r="F1621" s="3">
        <v>312.25</v>
      </c>
      <c r="G1621" s="3">
        <v>340.85</v>
      </c>
      <c r="H1621" s="3">
        <v>213.6</v>
      </c>
      <c r="I1621" s="3">
        <v>290.91000000000003</v>
      </c>
      <c r="J1621" s="3">
        <v>114.34</v>
      </c>
      <c r="K1621" s="3">
        <v>243.89</v>
      </c>
      <c r="L1621" s="3"/>
      <c r="N1621" s="4"/>
    </row>
    <row r="1622" spans="1:14" ht="17.5" thickBot="1" x14ac:dyDescent="0.45">
      <c r="A1622" s="4">
        <v>44479</v>
      </c>
      <c r="B1622" s="3">
        <v>158.28</v>
      </c>
      <c r="C1622" s="3">
        <v>333.45</v>
      </c>
      <c r="D1622" s="3">
        <v>115.94</v>
      </c>
      <c r="E1622" s="3">
        <v>1.4245000000000001</v>
      </c>
      <c r="F1622" s="3">
        <v>312.25</v>
      </c>
      <c r="G1622" s="3">
        <v>340.85</v>
      </c>
      <c r="H1622" s="3">
        <v>213.6</v>
      </c>
      <c r="I1622" s="3">
        <v>290.91000000000003</v>
      </c>
      <c r="J1622" s="3">
        <v>114.34</v>
      </c>
      <c r="K1622" s="3">
        <v>243.89</v>
      </c>
      <c r="L1622" s="3"/>
      <c r="N1622" s="4"/>
    </row>
    <row r="1623" spans="1:14" ht="17.5" thickBot="1" x14ac:dyDescent="0.45">
      <c r="A1623" s="4">
        <v>44480</v>
      </c>
      <c r="B1623" s="3">
        <v>161.19</v>
      </c>
      <c r="C1623" s="3">
        <v>333.76</v>
      </c>
      <c r="D1623" s="3">
        <v>115.84</v>
      </c>
      <c r="E1623" s="3">
        <v>1.4206000000000001</v>
      </c>
      <c r="F1623" s="3">
        <v>313.58</v>
      </c>
      <c r="G1623" s="3">
        <v>338.48</v>
      </c>
      <c r="H1623" s="3">
        <v>213.99</v>
      </c>
      <c r="I1623" s="3">
        <v>288.64</v>
      </c>
      <c r="J1623" s="3">
        <v>114.34</v>
      </c>
      <c r="K1623" s="3">
        <v>244.19</v>
      </c>
      <c r="L1623" s="3"/>
      <c r="N1623" s="4"/>
    </row>
    <row r="1624" spans="1:14" ht="17.5" thickBot="1" x14ac:dyDescent="0.45">
      <c r="A1624" s="4">
        <v>44481</v>
      </c>
      <c r="B1624" s="3">
        <v>159.09</v>
      </c>
      <c r="C1624" s="3">
        <v>330.84</v>
      </c>
      <c r="D1624" s="3">
        <v>115.93</v>
      </c>
      <c r="E1624" s="3">
        <v>1.4188000000000001</v>
      </c>
      <c r="F1624" s="3">
        <v>311.29000000000002</v>
      </c>
      <c r="G1624" s="3">
        <v>337.6</v>
      </c>
      <c r="H1624" s="3">
        <v>212.95</v>
      </c>
      <c r="I1624" s="3">
        <v>287.93</v>
      </c>
      <c r="J1624" s="3">
        <v>114.34</v>
      </c>
      <c r="K1624" s="3">
        <v>243.14</v>
      </c>
      <c r="L1624" s="3"/>
      <c r="N1624" s="4"/>
    </row>
    <row r="1625" spans="1:14" ht="17.5" thickBot="1" x14ac:dyDescent="0.45">
      <c r="A1625" s="4">
        <v>44482</v>
      </c>
      <c r="B1625" s="3">
        <v>159.09</v>
      </c>
      <c r="C1625" s="3">
        <v>330.84</v>
      </c>
      <c r="D1625" s="3">
        <v>115.93</v>
      </c>
      <c r="E1625" s="3">
        <v>1.4188000000000001</v>
      </c>
      <c r="F1625" s="3">
        <v>311.29000000000002</v>
      </c>
      <c r="G1625" s="3">
        <v>337.6</v>
      </c>
      <c r="H1625" s="3">
        <v>212.95</v>
      </c>
      <c r="I1625" s="3">
        <v>287.93</v>
      </c>
      <c r="J1625" s="3">
        <v>114.34</v>
      </c>
      <c r="K1625" s="3">
        <v>243.14</v>
      </c>
      <c r="L1625" s="3"/>
      <c r="N1625" s="4"/>
    </row>
    <row r="1626" spans="1:14" ht="17.5" thickBot="1" x14ac:dyDescent="0.45">
      <c r="A1626" s="4">
        <v>44483</v>
      </c>
      <c r="B1626" s="3">
        <v>159.09</v>
      </c>
      <c r="C1626" s="3">
        <v>330.84</v>
      </c>
      <c r="D1626" s="3">
        <v>115.93</v>
      </c>
      <c r="E1626" s="3">
        <v>1.4188000000000001</v>
      </c>
      <c r="F1626" s="3">
        <v>311.29000000000002</v>
      </c>
      <c r="G1626" s="3">
        <v>337.6</v>
      </c>
      <c r="H1626" s="3">
        <v>212.95</v>
      </c>
      <c r="I1626" s="3">
        <v>287.93</v>
      </c>
      <c r="J1626" s="3">
        <v>114.34</v>
      </c>
      <c r="K1626" s="3">
        <v>243.14</v>
      </c>
      <c r="L1626" s="3"/>
      <c r="N1626" s="4"/>
    </row>
    <row r="1627" spans="1:14" ht="17.5" thickBot="1" x14ac:dyDescent="0.45">
      <c r="A1627" s="4">
        <v>44484</v>
      </c>
      <c r="B1627" s="3">
        <v>161.38999999999999</v>
      </c>
      <c r="C1627" s="3">
        <v>340.01</v>
      </c>
      <c r="D1627" s="3">
        <v>116.55</v>
      </c>
      <c r="E1627" s="3">
        <v>1.4439</v>
      </c>
      <c r="F1627" s="3">
        <v>318.08999999999997</v>
      </c>
      <c r="G1627" s="3">
        <v>346.21</v>
      </c>
      <c r="H1627" s="3">
        <v>215.87</v>
      </c>
      <c r="I1627" s="3">
        <v>296.01</v>
      </c>
      <c r="J1627" s="3">
        <v>114.34</v>
      </c>
      <c r="K1627" s="3">
        <v>246.25</v>
      </c>
      <c r="L1627" s="3"/>
      <c r="N1627" s="4"/>
    </row>
    <row r="1628" spans="1:14" ht="17.5" thickBot="1" x14ac:dyDescent="0.45">
      <c r="A1628" s="4">
        <v>44485</v>
      </c>
      <c r="B1628" s="3">
        <v>161.38999999999999</v>
      </c>
      <c r="C1628" s="3">
        <v>340.01</v>
      </c>
      <c r="D1628" s="3">
        <v>116.55</v>
      </c>
      <c r="E1628" s="3">
        <v>1.4439</v>
      </c>
      <c r="F1628" s="3">
        <v>318.08999999999997</v>
      </c>
      <c r="G1628" s="3">
        <v>346.21</v>
      </c>
      <c r="H1628" s="3">
        <v>215.87</v>
      </c>
      <c r="I1628" s="3">
        <v>296.01</v>
      </c>
      <c r="J1628" s="3">
        <v>114.34</v>
      </c>
      <c r="K1628" s="3">
        <v>246.25</v>
      </c>
      <c r="L1628" s="3"/>
      <c r="N1628" s="4"/>
    </row>
    <row r="1629" spans="1:14" ht="17.5" thickBot="1" x14ac:dyDescent="0.45">
      <c r="A1629" s="4">
        <v>44486</v>
      </c>
      <c r="B1629" s="3">
        <v>161.38999999999999</v>
      </c>
      <c r="C1629" s="3">
        <v>340.01</v>
      </c>
      <c r="D1629" s="3">
        <v>116.55</v>
      </c>
      <c r="E1629" s="3">
        <v>1.4439</v>
      </c>
      <c r="F1629" s="3">
        <v>318.08999999999997</v>
      </c>
      <c r="G1629" s="3">
        <v>346.21</v>
      </c>
      <c r="H1629" s="3">
        <v>215.87</v>
      </c>
      <c r="I1629" s="3">
        <v>296.01</v>
      </c>
      <c r="J1629" s="3">
        <v>114.34</v>
      </c>
      <c r="K1629" s="3">
        <v>246.25</v>
      </c>
      <c r="L1629" s="3"/>
      <c r="N1629" s="4"/>
    </row>
    <row r="1630" spans="1:14" ht="17.5" thickBot="1" x14ac:dyDescent="0.45">
      <c r="A1630" s="4">
        <v>44487</v>
      </c>
      <c r="B1630" s="3">
        <v>162.07</v>
      </c>
      <c r="C1630" s="3">
        <v>339.41</v>
      </c>
      <c r="D1630" s="3">
        <v>116.09</v>
      </c>
      <c r="E1630" s="3">
        <v>1.4444999999999999</v>
      </c>
      <c r="F1630" s="3">
        <v>318.22000000000003</v>
      </c>
      <c r="G1630" s="3">
        <v>347.65</v>
      </c>
      <c r="H1630" s="3">
        <v>215.9</v>
      </c>
      <c r="I1630" s="3">
        <v>296.82</v>
      </c>
      <c r="J1630" s="3">
        <v>114.34</v>
      </c>
      <c r="K1630" s="3">
        <v>246.24</v>
      </c>
      <c r="L1630" s="3"/>
      <c r="N1630" s="4"/>
    </row>
    <row r="1631" spans="1:14" ht="17.5" thickBot="1" x14ac:dyDescent="0.45">
      <c r="A1631" s="4">
        <v>44488</v>
      </c>
      <c r="B1631" s="3">
        <v>164.27</v>
      </c>
      <c r="C1631" s="3">
        <v>343.32</v>
      </c>
      <c r="D1631" s="3">
        <v>116.45</v>
      </c>
      <c r="E1631" s="3">
        <v>1.4489000000000001</v>
      </c>
      <c r="F1631" s="3">
        <v>321.02</v>
      </c>
      <c r="G1631" s="3">
        <v>349.94</v>
      </c>
      <c r="H1631" s="3">
        <v>217.03</v>
      </c>
      <c r="I1631" s="3">
        <v>299.11</v>
      </c>
      <c r="J1631" s="3">
        <v>114.34</v>
      </c>
      <c r="K1631" s="3">
        <v>247.31</v>
      </c>
      <c r="L1631" s="3"/>
      <c r="N1631" s="4"/>
    </row>
    <row r="1632" spans="1:14" ht="17.5" thickBot="1" x14ac:dyDescent="0.45">
      <c r="A1632" s="4">
        <v>44489</v>
      </c>
      <c r="B1632" s="3">
        <v>166.56</v>
      </c>
      <c r="C1632" s="3">
        <v>344</v>
      </c>
      <c r="D1632" s="3">
        <v>116.54</v>
      </c>
      <c r="E1632" s="3">
        <v>1.452</v>
      </c>
      <c r="F1632" s="3">
        <v>322.60000000000002</v>
      </c>
      <c r="G1632" s="3">
        <v>351.83</v>
      </c>
      <c r="H1632" s="3">
        <v>217.71</v>
      </c>
      <c r="I1632" s="3">
        <v>300.2</v>
      </c>
      <c r="J1632" s="3">
        <v>114.34</v>
      </c>
      <c r="K1632" s="3">
        <v>248.01</v>
      </c>
      <c r="L1632" s="3"/>
      <c r="N1632" s="4"/>
    </row>
    <row r="1633" spans="1:14" ht="17.5" thickBot="1" x14ac:dyDescent="0.45">
      <c r="A1633" s="4">
        <v>44490</v>
      </c>
      <c r="B1633" s="3">
        <v>165.44</v>
      </c>
      <c r="C1633" s="3">
        <v>342.34</v>
      </c>
      <c r="D1633" s="3">
        <v>116.36</v>
      </c>
      <c r="E1633" s="3">
        <v>1.4513</v>
      </c>
      <c r="F1633" s="3">
        <v>321.39999999999998</v>
      </c>
      <c r="G1633" s="3">
        <v>352.7</v>
      </c>
      <c r="H1633" s="3">
        <v>217.16</v>
      </c>
      <c r="I1633" s="3">
        <v>300.95</v>
      </c>
      <c r="J1633" s="3">
        <v>114.34</v>
      </c>
      <c r="K1633" s="3">
        <v>247.38</v>
      </c>
      <c r="L1633" s="3"/>
      <c r="N1633" s="4"/>
    </row>
    <row r="1634" spans="1:14" ht="17.5" thickBot="1" x14ac:dyDescent="0.45">
      <c r="A1634" s="4">
        <v>44491</v>
      </c>
      <c r="B1634" s="3">
        <v>166.27</v>
      </c>
      <c r="C1634" s="3">
        <v>342.34</v>
      </c>
      <c r="D1634" s="3">
        <v>116.18</v>
      </c>
      <c r="E1634" s="3">
        <v>1.4517</v>
      </c>
      <c r="F1634" s="3">
        <v>322.45</v>
      </c>
      <c r="G1634" s="3">
        <v>352.17</v>
      </c>
      <c r="H1634" s="3">
        <v>217.64</v>
      </c>
      <c r="I1634" s="3">
        <v>300.61</v>
      </c>
      <c r="J1634" s="3">
        <v>114.34</v>
      </c>
      <c r="K1634" s="3">
        <v>247.9</v>
      </c>
      <c r="L1634" s="3"/>
      <c r="N1634" s="4"/>
    </row>
    <row r="1635" spans="1:14" ht="17.5" thickBot="1" x14ac:dyDescent="0.45">
      <c r="A1635" s="4">
        <v>44492</v>
      </c>
      <c r="B1635" s="3">
        <v>166.27</v>
      </c>
      <c r="C1635" s="3">
        <v>342.34</v>
      </c>
      <c r="D1635" s="3">
        <v>116.18</v>
      </c>
      <c r="E1635" s="3">
        <v>1.4517</v>
      </c>
      <c r="F1635" s="3">
        <v>322.45</v>
      </c>
      <c r="G1635" s="3">
        <v>352.17</v>
      </c>
      <c r="H1635" s="3">
        <v>217.64</v>
      </c>
      <c r="I1635" s="3">
        <v>300.61</v>
      </c>
      <c r="J1635" s="3">
        <v>114.34</v>
      </c>
      <c r="K1635" s="3">
        <v>247.9</v>
      </c>
      <c r="L1635" s="3"/>
      <c r="N1635" s="4"/>
    </row>
    <row r="1636" spans="1:14" ht="17.5" thickBot="1" x14ac:dyDescent="0.45">
      <c r="A1636" s="4">
        <v>44493</v>
      </c>
      <c r="B1636" s="3">
        <v>166.27</v>
      </c>
      <c r="C1636" s="3">
        <v>342.34</v>
      </c>
      <c r="D1636" s="3">
        <v>116.18</v>
      </c>
      <c r="E1636" s="3">
        <v>1.4517</v>
      </c>
      <c r="F1636" s="3">
        <v>322.45</v>
      </c>
      <c r="G1636" s="3">
        <v>352.17</v>
      </c>
      <c r="H1636" s="3">
        <v>217.64</v>
      </c>
      <c r="I1636" s="3">
        <v>300.61</v>
      </c>
      <c r="J1636" s="3">
        <v>114.34</v>
      </c>
      <c r="K1636" s="3">
        <v>247.9</v>
      </c>
      <c r="L1636" s="3"/>
      <c r="N1636" s="4"/>
    </row>
    <row r="1637" spans="1:14" ht="17.5" thickBot="1" x14ac:dyDescent="0.45">
      <c r="A1637" s="4">
        <v>44494</v>
      </c>
      <c r="B1637" s="3">
        <v>166.4</v>
      </c>
      <c r="C1637" s="3">
        <v>342.3</v>
      </c>
      <c r="D1637" s="3">
        <v>116.44</v>
      </c>
      <c r="E1637" s="3">
        <v>1.4544999999999999</v>
      </c>
      <c r="F1637" s="3">
        <v>322.56</v>
      </c>
      <c r="G1637" s="3">
        <v>353.81</v>
      </c>
      <c r="H1637" s="3">
        <v>217.66</v>
      </c>
      <c r="I1637" s="3">
        <v>302.10000000000002</v>
      </c>
      <c r="J1637" s="3">
        <v>114.34</v>
      </c>
      <c r="K1637" s="3">
        <v>247.93</v>
      </c>
      <c r="L1637" s="3"/>
      <c r="N1637" s="4"/>
    </row>
    <row r="1638" spans="1:14" ht="17.5" thickBot="1" x14ac:dyDescent="0.45">
      <c r="A1638" s="4">
        <v>44495</v>
      </c>
      <c r="B1638" s="3">
        <v>165.74</v>
      </c>
      <c r="C1638" s="3">
        <v>344.34</v>
      </c>
      <c r="D1638" s="3">
        <v>116.53</v>
      </c>
      <c r="E1638" s="3">
        <v>1.4571000000000001</v>
      </c>
      <c r="F1638" s="3">
        <v>322.88</v>
      </c>
      <c r="G1638" s="3">
        <v>353.83</v>
      </c>
      <c r="H1638" s="3">
        <v>217.73</v>
      </c>
      <c r="I1638" s="3">
        <v>302.45999999999998</v>
      </c>
      <c r="J1638" s="3">
        <v>114.34</v>
      </c>
      <c r="K1638" s="3">
        <v>247.97</v>
      </c>
      <c r="L1638" s="3"/>
      <c r="N1638" s="4"/>
    </row>
    <row r="1639" spans="1:14" ht="17.5" thickBot="1" x14ac:dyDescent="0.45">
      <c r="A1639" s="4">
        <v>44496</v>
      </c>
      <c r="B1639" s="3">
        <v>163.22999999999999</v>
      </c>
      <c r="C1639" s="3">
        <v>344.04</v>
      </c>
      <c r="D1639" s="3">
        <v>116.25</v>
      </c>
      <c r="E1639" s="3">
        <v>1.4555</v>
      </c>
      <c r="F1639" s="3">
        <v>320.82</v>
      </c>
      <c r="G1639" s="3">
        <v>351.83</v>
      </c>
      <c r="H1639" s="3">
        <v>217.04</v>
      </c>
      <c r="I1639" s="3">
        <v>301.2</v>
      </c>
      <c r="J1639" s="3">
        <v>114.34</v>
      </c>
      <c r="K1639" s="3">
        <v>247.46</v>
      </c>
      <c r="L1639" s="3"/>
      <c r="N1639" s="4"/>
    </row>
    <row r="1640" spans="1:14" ht="17.5" thickBot="1" x14ac:dyDescent="0.45">
      <c r="A1640" s="4">
        <v>44497</v>
      </c>
      <c r="B1640" s="3">
        <v>162.63999999999999</v>
      </c>
      <c r="C1640" s="3">
        <v>343.02</v>
      </c>
      <c r="D1640" s="3">
        <v>116.34</v>
      </c>
      <c r="E1640" s="3">
        <v>1.4607000000000001</v>
      </c>
      <c r="F1640" s="3">
        <v>321.54000000000002</v>
      </c>
      <c r="G1640" s="3">
        <v>355.29</v>
      </c>
      <c r="H1640" s="3">
        <v>217.34</v>
      </c>
      <c r="I1640" s="3">
        <v>304.06</v>
      </c>
      <c r="J1640" s="3">
        <v>114.34</v>
      </c>
      <c r="K1640" s="3">
        <v>247.8</v>
      </c>
      <c r="L1640" s="3"/>
      <c r="N1640" s="4"/>
    </row>
    <row r="1641" spans="1:14" ht="17.5" thickBot="1" x14ac:dyDescent="0.45">
      <c r="A1641" s="4">
        <v>44498</v>
      </c>
      <c r="B1641" s="3">
        <v>159.12</v>
      </c>
      <c r="C1641" s="3">
        <v>339.4</v>
      </c>
      <c r="D1641" s="3">
        <v>116.16</v>
      </c>
      <c r="E1641" s="3">
        <v>1.4579</v>
      </c>
      <c r="F1641" s="3">
        <v>320.22000000000003</v>
      </c>
      <c r="G1641" s="3">
        <v>356.01</v>
      </c>
      <c r="H1641" s="3">
        <v>216.63</v>
      </c>
      <c r="I1641" s="3">
        <v>304.57</v>
      </c>
      <c r="J1641" s="3">
        <v>114.35</v>
      </c>
      <c r="K1641" s="3">
        <v>246.87</v>
      </c>
      <c r="L1641" s="3"/>
      <c r="N1641" s="4"/>
    </row>
    <row r="1642" spans="1:14" ht="17.5" thickBot="1" x14ac:dyDescent="0.45">
      <c r="A1642" s="4">
        <v>44499</v>
      </c>
      <c r="B1642" s="3">
        <v>159.12</v>
      </c>
      <c r="C1642" s="3">
        <v>339.4</v>
      </c>
      <c r="D1642" s="3">
        <v>116.16</v>
      </c>
      <c r="E1642" s="3">
        <v>1.4579</v>
      </c>
      <c r="F1642" s="3">
        <v>320.22000000000003</v>
      </c>
      <c r="G1642" s="3">
        <v>356.01</v>
      </c>
      <c r="H1642" s="3">
        <v>216.63</v>
      </c>
      <c r="I1642" s="3">
        <v>304.57</v>
      </c>
      <c r="J1642" s="3">
        <v>114.35</v>
      </c>
      <c r="K1642" s="3">
        <v>246.87</v>
      </c>
      <c r="L1642" s="3"/>
      <c r="N1642" s="4"/>
    </row>
    <row r="1643" spans="1:14" ht="17.5" thickBot="1" x14ac:dyDescent="0.45">
      <c r="A1643" s="4">
        <v>44500</v>
      </c>
      <c r="B1643" s="3">
        <v>159.12</v>
      </c>
      <c r="C1643" s="3">
        <v>339.4</v>
      </c>
      <c r="D1643" s="3">
        <v>116.16</v>
      </c>
      <c r="E1643" s="3">
        <v>1.4579</v>
      </c>
      <c r="F1643" s="3">
        <v>320.22000000000003</v>
      </c>
      <c r="G1643" s="3">
        <v>356.01</v>
      </c>
      <c r="H1643" s="3">
        <v>216.63</v>
      </c>
      <c r="I1643" s="3">
        <v>304.57</v>
      </c>
      <c r="J1643" s="3">
        <v>114.35</v>
      </c>
      <c r="K1643" s="3">
        <v>246.87</v>
      </c>
      <c r="L1643" s="3"/>
      <c r="N1643" s="4"/>
    </row>
    <row r="1644" spans="1:14" ht="17.5" thickBot="1" x14ac:dyDescent="0.45">
      <c r="A1644" s="4">
        <v>44501</v>
      </c>
      <c r="B1644" s="3">
        <v>160.46</v>
      </c>
      <c r="C1644" s="3">
        <v>341.61</v>
      </c>
      <c r="D1644" s="3">
        <v>116.06</v>
      </c>
      <c r="E1644" s="3">
        <v>1.4615</v>
      </c>
      <c r="F1644" s="3">
        <v>321.08999999999997</v>
      </c>
      <c r="G1644" s="3">
        <v>356.97</v>
      </c>
      <c r="H1644" s="3">
        <v>217</v>
      </c>
      <c r="I1644" s="3">
        <v>305.31</v>
      </c>
      <c r="J1644" s="3">
        <v>114.35</v>
      </c>
      <c r="K1644" s="3">
        <v>247.21</v>
      </c>
      <c r="L1644" s="3"/>
      <c r="N1644" s="4"/>
    </row>
    <row r="1645" spans="1:14" ht="17.5" thickBot="1" x14ac:dyDescent="0.45">
      <c r="A1645" s="4">
        <v>44502</v>
      </c>
      <c r="B1645" s="3">
        <v>160.37</v>
      </c>
      <c r="C1645" s="3">
        <v>340.73</v>
      </c>
      <c r="D1645" s="3">
        <v>115.88</v>
      </c>
      <c r="E1645" s="3">
        <v>1.4643999999999999</v>
      </c>
      <c r="F1645" s="3">
        <v>320.98</v>
      </c>
      <c r="G1645" s="3">
        <v>358.23</v>
      </c>
      <c r="H1645" s="3">
        <v>217.05</v>
      </c>
      <c r="I1645" s="3">
        <v>306.52999999999997</v>
      </c>
      <c r="J1645" s="3">
        <v>114.35</v>
      </c>
      <c r="K1645" s="3">
        <v>247.36</v>
      </c>
      <c r="L1645" s="3"/>
      <c r="N1645" s="4"/>
    </row>
    <row r="1646" spans="1:14" ht="17.5" thickBot="1" x14ac:dyDescent="0.45">
      <c r="A1646" s="4">
        <v>44503</v>
      </c>
      <c r="B1646" s="3">
        <v>159.54</v>
      </c>
      <c r="C1646" s="3">
        <v>340.13</v>
      </c>
      <c r="D1646" s="3">
        <v>115.88</v>
      </c>
      <c r="E1646" s="3">
        <v>1.4681999999999999</v>
      </c>
      <c r="F1646" s="3">
        <v>321.39</v>
      </c>
      <c r="G1646" s="3">
        <v>361.11</v>
      </c>
      <c r="H1646" s="3">
        <v>217.15</v>
      </c>
      <c r="I1646" s="3">
        <v>308.39</v>
      </c>
      <c r="J1646" s="3">
        <v>114.35</v>
      </c>
      <c r="K1646" s="3">
        <v>247.45</v>
      </c>
      <c r="L1646" s="3"/>
      <c r="N1646" s="4"/>
    </row>
    <row r="1647" spans="1:14" ht="17.5" thickBot="1" x14ac:dyDescent="0.45">
      <c r="A1647" s="4">
        <v>44504</v>
      </c>
      <c r="B1647" s="3">
        <v>160.88999999999999</v>
      </c>
      <c r="C1647" s="3">
        <v>340.64</v>
      </c>
      <c r="D1647" s="3">
        <v>115.7</v>
      </c>
      <c r="E1647" s="3">
        <v>1.4735</v>
      </c>
      <c r="F1647" s="3">
        <v>323.18</v>
      </c>
      <c r="G1647" s="3">
        <v>362.75</v>
      </c>
      <c r="H1647" s="3">
        <v>218.04</v>
      </c>
      <c r="I1647" s="3">
        <v>309.83</v>
      </c>
      <c r="J1647" s="3">
        <v>114.35</v>
      </c>
      <c r="K1647" s="3">
        <v>248.46</v>
      </c>
      <c r="L1647" s="3"/>
      <c r="N1647" s="4"/>
    </row>
    <row r="1648" spans="1:14" ht="17.5" thickBot="1" x14ac:dyDescent="0.45">
      <c r="A1648" s="4">
        <v>44505</v>
      </c>
      <c r="B1648" s="3">
        <v>159.02000000000001</v>
      </c>
      <c r="C1648" s="3">
        <v>341.7</v>
      </c>
      <c r="D1648" s="3">
        <v>115.78</v>
      </c>
      <c r="E1648" s="3">
        <v>1.4777</v>
      </c>
      <c r="F1648" s="3">
        <v>322.07</v>
      </c>
      <c r="G1648" s="3">
        <v>363.93</v>
      </c>
      <c r="H1648" s="3">
        <v>217.76</v>
      </c>
      <c r="I1648" s="3">
        <v>310.92</v>
      </c>
      <c r="J1648" s="3">
        <v>114.35</v>
      </c>
      <c r="K1648" s="3">
        <v>248.35</v>
      </c>
      <c r="L1648" s="3"/>
      <c r="N1648" s="4"/>
    </row>
    <row r="1649" spans="1:14" ht="17.5" thickBot="1" x14ac:dyDescent="0.45">
      <c r="A1649" s="4">
        <v>44506</v>
      </c>
      <c r="B1649" s="3">
        <v>159.02000000000001</v>
      </c>
      <c r="C1649" s="3">
        <v>341.7</v>
      </c>
      <c r="D1649" s="3">
        <v>115.78</v>
      </c>
      <c r="E1649" s="3">
        <v>1.4777</v>
      </c>
      <c r="F1649" s="3">
        <v>322.07</v>
      </c>
      <c r="G1649" s="3">
        <v>363.93</v>
      </c>
      <c r="H1649" s="3">
        <v>217.76</v>
      </c>
      <c r="I1649" s="3">
        <v>310.92</v>
      </c>
      <c r="J1649" s="3">
        <v>114.35</v>
      </c>
      <c r="K1649" s="3">
        <v>248.35</v>
      </c>
      <c r="L1649" s="3"/>
      <c r="N1649" s="4"/>
    </row>
    <row r="1650" spans="1:14" ht="17.5" thickBot="1" x14ac:dyDescent="0.45">
      <c r="A1650" s="4">
        <v>44507</v>
      </c>
      <c r="B1650" s="3">
        <v>159.02000000000001</v>
      </c>
      <c r="C1650" s="3">
        <v>341.7</v>
      </c>
      <c r="D1650" s="3">
        <v>115.78</v>
      </c>
      <c r="E1650" s="3">
        <v>1.4777</v>
      </c>
      <c r="F1650" s="3">
        <v>322.07</v>
      </c>
      <c r="G1650" s="3">
        <v>363.93</v>
      </c>
      <c r="H1650" s="3">
        <v>217.76</v>
      </c>
      <c r="I1650" s="3">
        <v>310.92</v>
      </c>
      <c r="J1650" s="3">
        <v>114.35</v>
      </c>
      <c r="K1650" s="3">
        <v>248.35</v>
      </c>
      <c r="L1650" s="3"/>
      <c r="N1650" s="4"/>
    </row>
    <row r="1651" spans="1:14" ht="17.5" thickBot="1" x14ac:dyDescent="0.45">
      <c r="A1651" s="4">
        <v>44508</v>
      </c>
      <c r="B1651" s="3">
        <v>158.28</v>
      </c>
      <c r="C1651" s="3">
        <v>343.67</v>
      </c>
      <c r="D1651" s="3">
        <v>116.32</v>
      </c>
      <c r="E1651" s="3">
        <v>1.4791000000000001</v>
      </c>
      <c r="F1651" s="3">
        <v>322.47000000000003</v>
      </c>
      <c r="G1651" s="3">
        <v>364.35</v>
      </c>
      <c r="H1651" s="3">
        <v>218.03</v>
      </c>
      <c r="I1651" s="3">
        <v>311.27999999999997</v>
      </c>
      <c r="J1651" s="3">
        <v>114.35</v>
      </c>
      <c r="K1651" s="3">
        <v>248.59</v>
      </c>
      <c r="L1651" s="3"/>
      <c r="N1651" s="4"/>
    </row>
    <row r="1652" spans="1:14" ht="17.5" thickBot="1" x14ac:dyDescent="0.45">
      <c r="A1652" s="4">
        <v>44509</v>
      </c>
      <c r="B1652" s="3">
        <v>158.30000000000001</v>
      </c>
      <c r="C1652" s="3">
        <v>343.93</v>
      </c>
      <c r="D1652" s="3">
        <v>116.32</v>
      </c>
      <c r="E1652" s="3">
        <v>1.4794</v>
      </c>
      <c r="F1652" s="3">
        <v>322.26</v>
      </c>
      <c r="G1652" s="3">
        <v>363.2</v>
      </c>
      <c r="H1652" s="3">
        <v>218.04</v>
      </c>
      <c r="I1652" s="3">
        <v>310.3</v>
      </c>
      <c r="J1652" s="3">
        <v>114.35</v>
      </c>
      <c r="K1652" s="3">
        <v>248.75</v>
      </c>
      <c r="L1652" s="3"/>
      <c r="N1652" s="4"/>
    </row>
    <row r="1653" spans="1:14" ht="17.5" thickBot="1" x14ac:dyDescent="0.45">
      <c r="A1653" s="4">
        <v>44510</v>
      </c>
      <c r="B1653" s="3">
        <v>159.59</v>
      </c>
      <c r="C1653" s="3">
        <v>341.44</v>
      </c>
      <c r="D1653" s="3">
        <v>116.22</v>
      </c>
      <c r="E1653" s="3">
        <v>1.4695</v>
      </c>
      <c r="F1653" s="3">
        <v>321.23</v>
      </c>
      <c r="G1653" s="3">
        <v>360.18</v>
      </c>
      <c r="H1653" s="3">
        <v>217.33</v>
      </c>
      <c r="I1653" s="3">
        <v>307.83999999999997</v>
      </c>
      <c r="J1653" s="3">
        <v>114.35</v>
      </c>
      <c r="K1653" s="3">
        <v>247.76</v>
      </c>
      <c r="L1653" s="3"/>
      <c r="N1653" s="4"/>
    </row>
    <row r="1654" spans="1:14" ht="17.5" thickBot="1" x14ac:dyDescent="0.45">
      <c r="A1654" s="4">
        <v>44511</v>
      </c>
      <c r="B1654" s="3">
        <v>161.28</v>
      </c>
      <c r="C1654" s="3">
        <v>339.51</v>
      </c>
      <c r="D1654" s="3">
        <v>115.86</v>
      </c>
      <c r="E1654" s="3">
        <v>1.4695</v>
      </c>
      <c r="F1654" s="3">
        <v>322.41000000000003</v>
      </c>
      <c r="G1654" s="3">
        <v>361.14</v>
      </c>
      <c r="H1654" s="3">
        <v>217.76</v>
      </c>
      <c r="I1654" s="3">
        <v>307.98</v>
      </c>
      <c r="J1654" s="3">
        <v>114.35</v>
      </c>
      <c r="K1654" s="3">
        <v>248.1</v>
      </c>
      <c r="L1654" s="3"/>
      <c r="N1654" s="4"/>
    </row>
    <row r="1655" spans="1:14" ht="17.5" thickBot="1" x14ac:dyDescent="0.45">
      <c r="A1655" s="4">
        <v>44512</v>
      </c>
      <c r="B1655" s="3">
        <v>161.59</v>
      </c>
      <c r="C1655" s="3">
        <v>342.78</v>
      </c>
      <c r="D1655" s="3">
        <v>115.95</v>
      </c>
      <c r="E1655" s="3">
        <v>1.4756</v>
      </c>
      <c r="F1655" s="3">
        <v>324.66000000000003</v>
      </c>
      <c r="G1655" s="3">
        <v>363.83</v>
      </c>
      <c r="H1655" s="3">
        <v>218.6</v>
      </c>
      <c r="I1655" s="3">
        <v>310.29000000000002</v>
      </c>
      <c r="J1655" s="3">
        <v>114.35</v>
      </c>
      <c r="K1655" s="3">
        <v>248.9</v>
      </c>
      <c r="L1655" s="3"/>
      <c r="N1655" s="4"/>
    </row>
    <row r="1656" spans="1:14" ht="17.5" thickBot="1" x14ac:dyDescent="0.45">
      <c r="A1656" s="4">
        <v>44513</v>
      </c>
      <c r="B1656" s="3">
        <v>161.59</v>
      </c>
      <c r="C1656" s="3">
        <v>342.78</v>
      </c>
      <c r="D1656" s="3">
        <v>115.95</v>
      </c>
      <c r="E1656" s="3">
        <v>1.4756</v>
      </c>
      <c r="F1656" s="3">
        <v>324.66000000000003</v>
      </c>
      <c r="G1656" s="3">
        <v>363.83</v>
      </c>
      <c r="H1656" s="3">
        <v>218.6</v>
      </c>
      <c r="I1656" s="3">
        <v>310.29000000000002</v>
      </c>
      <c r="J1656" s="3">
        <v>114.35</v>
      </c>
      <c r="K1656" s="3">
        <v>248.9</v>
      </c>
      <c r="L1656" s="3"/>
      <c r="N1656" s="4"/>
    </row>
    <row r="1657" spans="1:14" ht="17.5" thickBot="1" x14ac:dyDescent="0.45">
      <c r="A1657" s="4">
        <v>44514</v>
      </c>
      <c r="B1657" s="3">
        <v>161.59</v>
      </c>
      <c r="C1657" s="3">
        <v>342.78</v>
      </c>
      <c r="D1657" s="3">
        <v>115.95</v>
      </c>
      <c r="E1657" s="3">
        <v>1.4756</v>
      </c>
      <c r="F1657" s="3">
        <v>324.66000000000003</v>
      </c>
      <c r="G1657" s="3">
        <v>363.83</v>
      </c>
      <c r="H1657" s="3">
        <v>218.6</v>
      </c>
      <c r="I1657" s="3">
        <v>310.29000000000002</v>
      </c>
      <c r="J1657" s="3">
        <v>114.35</v>
      </c>
      <c r="K1657" s="3">
        <v>248.9</v>
      </c>
      <c r="L1657" s="3"/>
      <c r="N1657" s="4"/>
    </row>
    <row r="1658" spans="1:14" ht="17.5" thickBot="1" x14ac:dyDescent="0.45">
      <c r="A1658" s="4">
        <v>44515</v>
      </c>
      <c r="B1658" s="3">
        <v>161.94</v>
      </c>
      <c r="C1658" s="3">
        <v>345.12</v>
      </c>
      <c r="D1658" s="3">
        <v>116.12</v>
      </c>
      <c r="E1658" s="3">
        <v>1.4752000000000001</v>
      </c>
      <c r="F1658" s="3">
        <v>325.37</v>
      </c>
      <c r="G1658" s="3">
        <v>363.43</v>
      </c>
      <c r="H1658" s="3">
        <v>218.73</v>
      </c>
      <c r="I1658" s="3">
        <v>310.35000000000002</v>
      </c>
      <c r="J1658" s="3">
        <v>114.35</v>
      </c>
      <c r="K1658" s="3">
        <v>248.9</v>
      </c>
      <c r="L1658" s="3"/>
      <c r="N1658" s="4"/>
    </row>
    <row r="1659" spans="1:14" ht="17.5" thickBot="1" x14ac:dyDescent="0.45">
      <c r="A1659" s="4">
        <v>44516</v>
      </c>
      <c r="B1659" s="3">
        <v>163.54</v>
      </c>
      <c r="C1659" s="3">
        <v>343.72</v>
      </c>
      <c r="D1659" s="3">
        <v>115.85</v>
      </c>
      <c r="E1659" s="3">
        <v>1.476</v>
      </c>
      <c r="F1659" s="3">
        <v>326.38</v>
      </c>
      <c r="G1659" s="3">
        <v>364.71</v>
      </c>
      <c r="H1659" s="3">
        <v>219.01</v>
      </c>
      <c r="I1659" s="3">
        <v>311.45</v>
      </c>
      <c r="J1659" s="3">
        <v>114.35</v>
      </c>
      <c r="K1659" s="3">
        <v>249.08</v>
      </c>
      <c r="L1659" s="3"/>
      <c r="N1659" s="4"/>
    </row>
    <row r="1660" spans="1:14" ht="17.5" thickBot="1" x14ac:dyDescent="0.45">
      <c r="A1660" s="4">
        <v>44517</v>
      </c>
      <c r="B1660" s="3">
        <v>163.35</v>
      </c>
      <c r="C1660" s="3">
        <v>341.63</v>
      </c>
      <c r="D1660" s="3">
        <v>115.67</v>
      </c>
      <c r="E1660" s="3">
        <v>1.4734</v>
      </c>
      <c r="F1660" s="3">
        <v>325.63</v>
      </c>
      <c r="G1660" s="3">
        <v>363.74</v>
      </c>
      <c r="H1660" s="3">
        <v>218.69</v>
      </c>
      <c r="I1660" s="3">
        <v>310.72000000000003</v>
      </c>
      <c r="J1660" s="3">
        <v>114.35</v>
      </c>
      <c r="K1660" s="3">
        <v>248.72</v>
      </c>
      <c r="L1660" s="3"/>
      <c r="N1660" s="4"/>
    </row>
    <row r="1661" spans="1:14" ht="17.5" thickBot="1" x14ac:dyDescent="0.45">
      <c r="A1661" s="4">
        <v>44518</v>
      </c>
      <c r="B1661" s="3">
        <v>161.05000000000001</v>
      </c>
      <c r="C1661" s="3">
        <v>341.17</v>
      </c>
      <c r="D1661" s="3">
        <v>115.76</v>
      </c>
      <c r="E1661" s="3">
        <v>1.4751000000000001</v>
      </c>
      <c r="F1661" s="3">
        <v>324.08999999999997</v>
      </c>
      <c r="G1661" s="3">
        <v>365.08</v>
      </c>
      <c r="H1661" s="3">
        <v>218.2</v>
      </c>
      <c r="I1661" s="3">
        <v>311.76</v>
      </c>
      <c r="J1661" s="3">
        <v>114.35</v>
      </c>
      <c r="K1661" s="3">
        <v>248.33</v>
      </c>
      <c r="L1661" s="3"/>
      <c r="N1661" s="4"/>
    </row>
    <row r="1662" spans="1:14" ht="17.5" thickBot="1" x14ac:dyDescent="0.45">
      <c r="A1662" s="4">
        <v>44519</v>
      </c>
      <c r="B1662" s="3">
        <v>159.68</v>
      </c>
      <c r="C1662" s="3">
        <v>342.53</v>
      </c>
      <c r="D1662" s="3">
        <v>115.66</v>
      </c>
      <c r="E1662" s="3">
        <v>1.4753000000000001</v>
      </c>
      <c r="F1662" s="3">
        <v>323.67</v>
      </c>
      <c r="G1662" s="3">
        <v>364.82</v>
      </c>
      <c r="H1662" s="3">
        <v>218.1</v>
      </c>
      <c r="I1662" s="3">
        <v>311.29000000000002</v>
      </c>
      <c r="J1662" s="3">
        <v>114.35</v>
      </c>
      <c r="K1662" s="3">
        <v>248.33</v>
      </c>
      <c r="L1662" s="3"/>
      <c r="N1662" s="4"/>
    </row>
    <row r="1663" spans="1:14" ht="17.5" thickBot="1" x14ac:dyDescent="0.45">
      <c r="A1663" s="4">
        <v>44520</v>
      </c>
      <c r="B1663" s="3">
        <v>159.68</v>
      </c>
      <c r="C1663" s="3">
        <v>342.53</v>
      </c>
      <c r="D1663" s="3">
        <v>115.66</v>
      </c>
      <c r="E1663" s="3">
        <v>1.4753000000000001</v>
      </c>
      <c r="F1663" s="3">
        <v>323.67</v>
      </c>
      <c r="G1663" s="3">
        <v>364.82</v>
      </c>
      <c r="H1663" s="3">
        <v>218.1</v>
      </c>
      <c r="I1663" s="3">
        <v>311.29000000000002</v>
      </c>
      <c r="J1663" s="3">
        <v>114.35</v>
      </c>
      <c r="K1663" s="3">
        <v>248.33</v>
      </c>
      <c r="L1663" s="3"/>
      <c r="N1663" s="4"/>
    </row>
    <row r="1664" spans="1:14" ht="17.5" thickBot="1" x14ac:dyDescent="0.45">
      <c r="A1664" s="4">
        <v>44521</v>
      </c>
      <c r="B1664" s="3">
        <v>159.68</v>
      </c>
      <c r="C1664" s="3">
        <v>342.53</v>
      </c>
      <c r="D1664" s="3">
        <v>115.66</v>
      </c>
      <c r="E1664" s="3">
        <v>1.4753000000000001</v>
      </c>
      <c r="F1664" s="3">
        <v>323.67</v>
      </c>
      <c r="G1664" s="3">
        <v>364.82</v>
      </c>
      <c r="H1664" s="3">
        <v>218.1</v>
      </c>
      <c r="I1664" s="3">
        <v>311.29000000000002</v>
      </c>
      <c r="J1664" s="3">
        <v>114.35</v>
      </c>
      <c r="K1664" s="3">
        <v>248.33</v>
      </c>
      <c r="L1664" s="3"/>
      <c r="N1664" s="4"/>
    </row>
    <row r="1665" spans="1:14" ht="17.5" thickBot="1" x14ac:dyDescent="0.45">
      <c r="A1665" s="4">
        <v>44522</v>
      </c>
      <c r="B1665" s="3">
        <v>159.16999999999999</v>
      </c>
      <c r="C1665" s="3">
        <v>341.73</v>
      </c>
      <c r="D1665" s="3">
        <v>115.48</v>
      </c>
      <c r="E1665" s="3">
        <v>1.4678</v>
      </c>
      <c r="F1665" s="3">
        <v>321.95</v>
      </c>
      <c r="G1665" s="3">
        <v>363.46</v>
      </c>
      <c r="H1665" s="3">
        <v>217.11</v>
      </c>
      <c r="I1665" s="3">
        <v>310.38</v>
      </c>
      <c r="J1665" s="3">
        <v>114.35</v>
      </c>
      <c r="K1665" s="3">
        <v>247.09</v>
      </c>
      <c r="L1665" s="3"/>
      <c r="N1665" s="4"/>
    </row>
    <row r="1666" spans="1:14" ht="17.5" thickBot="1" x14ac:dyDescent="0.45">
      <c r="A1666" s="4">
        <v>44523</v>
      </c>
      <c r="B1666" s="3">
        <v>157.41999999999999</v>
      </c>
      <c r="C1666" s="3">
        <v>340.71</v>
      </c>
      <c r="D1666" s="3">
        <v>115.11</v>
      </c>
      <c r="E1666" s="3">
        <v>1.4645999999999999</v>
      </c>
      <c r="F1666" s="3">
        <v>319.95999999999998</v>
      </c>
      <c r="G1666" s="3">
        <v>364.43</v>
      </c>
      <c r="H1666" s="3">
        <v>216.12</v>
      </c>
      <c r="I1666" s="3">
        <v>310.83</v>
      </c>
      <c r="J1666" s="3">
        <v>114.35</v>
      </c>
      <c r="K1666" s="3">
        <v>245.95</v>
      </c>
      <c r="L1666" s="3"/>
      <c r="N1666" s="4"/>
    </row>
    <row r="1667" spans="1:14" ht="17.5" thickBot="1" x14ac:dyDescent="0.45">
      <c r="A1667" s="4">
        <v>44524</v>
      </c>
      <c r="B1667" s="3">
        <v>157.69999999999999</v>
      </c>
      <c r="C1667" s="3">
        <v>338.57</v>
      </c>
      <c r="D1667" s="3">
        <v>115.02</v>
      </c>
      <c r="E1667" s="3">
        <v>1.4649000000000001</v>
      </c>
      <c r="F1667" s="3">
        <v>319.24</v>
      </c>
      <c r="G1667" s="3">
        <v>365.16</v>
      </c>
      <c r="H1667" s="3">
        <v>215.79</v>
      </c>
      <c r="I1667" s="3">
        <v>311.52</v>
      </c>
      <c r="J1667" s="3">
        <v>114.35</v>
      </c>
      <c r="K1667" s="3">
        <v>245.54</v>
      </c>
      <c r="L1667" s="3"/>
      <c r="N1667" s="4"/>
    </row>
    <row r="1668" spans="1:14" ht="17.5" thickBot="1" x14ac:dyDescent="0.45">
      <c r="A1668" s="4">
        <v>44525</v>
      </c>
      <c r="B1668" s="3">
        <v>158.02000000000001</v>
      </c>
      <c r="C1668" s="3">
        <v>338.6</v>
      </c>
      <c r="D1668" s="3">
        <v>114.75</v>
      </c>
      <c r="E1668" s="3">
        <v>1.4669000000000001</v>
      </c>
      <c r="F1668" s="3">
        <v>319.97000000000003</v>
      </c>
      <c r="G1668" s="3">
        <v>365.02</v>
      </c>
      <c r="H1668" s="3">
        <v>216.15</v>
      </c>
      <c r="I1668" s="3">
        <v>311.62</v>
      </c>
      <c r="J1668" s="3">
        <v>114.35</v>
      </c>
      <c r="K1668" s="3">
        <v>245.95</v>
      </c>
      <c r="L1668" s="3"/>
      <c r="N1668" s="4"/>
    </row>
    <row r="1669" spans="1:14" ht="17.5" thickBot="1" x14ac:dyDescent="0.45">
      <c r="A1669" s="4">
        <v>44526</v>
      </c>
      <c r="B1669" s="3">
        <v>153.99</v>
      </c>
      <c r="C1669" s="3">
        <v>331.28</v>
      </c>
      <c r="D1669" s="3">
        <v>114.75</v>
      </c>
      <c r="E1669" s="3">
        <v>1.4520999999999999</v>
      </c>
      <c r="F1669" s="3">
        <v>313.42</v>
      </c>
      <c r="G1669" s="3">
        <v>357.19</v>
      </c>
      <c r="H1669" s="3">
        <v>213.9</v>
      </c>
      <c r="I1669" s="3">
        <v>304.61</v>
      </c>
      <c r="J1669" s="3">
        <v>114.35</v>
      </c>
      <c r="K1669" s="3">
        <v>244.04</v>
      </c>
      <c r="L1669" s="3"/>
      <c r="N1669" s="4"/>
    </row>
    <row r="1670" spans="1:14" ht="17.5" thickBot="1" x14ac:dyDescent="0.45">
      <c r="A1670" s="4">
        <v>44527</v>
      </c>
      <c r="B1670" s="3">
        <v>153.99</v>
      </c>
      <c r="C1670" s="3">
        <v>331.28</v>
      </c>
      <c r="D1670" s="3">
        <v>114.75</v>
      </c>
      <c r="E1670" s="3">
        <v>1.4520999999999999</v>
      </c>
      <c r="F1670" s="3">
        <v>313.42</v>
      </c>
      <c r="G1670" s="3">
        <v>357.19</v>
      </c>
      <c r="H1670" s="3">
        <v>213.9</v>
      </c>
      <c r="I1670" s="3">
        <v>304.61</v>
      </c>
      <c r="J1670" s="3">
        <v>114.35</v>
      </c>
      <c r="K1670" s="3">
        <v>244.04</v>
      </c>
      <c r="L1670" s="3"/>
      <c r="N1670" s="4"/>
    </row>
    <row r="1671" spans="1:14" ht="17.5" thickBot="1" x14ac:dyDescent="0.45">
      <c r="A1671" s="4">
        <v>44528</v>
      </c>
      <c r="B1671" s="3">
        <v>153.99</v>
      </c>
      <c r="C1671" s="3">
        <v>331.28</v>
      </c>
      <c r="D1671" s="3">
        <v>114.75</v>
      </c>
      <c r="E1671" s="3">
        <v>1.4520999999999999</v>
      </c>
      <c r="F1671" s="3">
        <v>313.42</v>
      </c>
      <c r="G1671" s="3">
        <v>357.19</v>
      </c>
      <c r="H1671" s="3">
        <v>213.9</v>
      </c>
      <c r="I1671" s="3">
        <v>304.61</v>
      </c>
      <c r="J1671" s="3">
        <v>114.35</v>
      </c>
      <c r="K1671" s="3">
        <v>244.04</v>
      </c>
      <c r="L1671" s="3"/>
      <c r="N1671" s="4"/>
    </row>
    <row r="1672" spans="1:14" ht="17.5" thickBot="1" x14ac:dyDescent="0.45">
      <c r="A1672" s="4">
        <v>44529</v>
      </c>
      <c r="B1672" s="3">
        <v>153.08000000000001</v>
      </c>
      <c r="C1672" s="3">
        <v>329.48</v>
      </c>
      <c r="D1672" s="3">
        <v>114.83</v>
      </c>
      <c r="E1672" s="3">
        <v>1.4564999999999999</v>
      </c>
      <c r="F1672" s="3">
        <v>312.63</v>
      </c>
      <c r="G1672" s="3">
        <v>361.7</v>
      </c>
      <c r="H1672" s="3">
        <v>213.41</v>
      </c>
      <c r="I1672" s="3">
        <v>308.57</v>
      </c>
      <c r="J1672" s="3">
        <v>114.35</v>
      </c>
      <c r="K1672" s="3">
        <v>243.44</v>
      </c>
      <c r="L1672" s="3"/>
      <c r="N1672" s="4"/>
    </row>
    <row r="1673" spans="1:14" ht="17.5" thickBot="1" x14ac:dyDescent="0.45">
      <c r="A1673" s="4">
        <v>44530</v>
      </c>
      <c r="B1673" s="3">
        <v>150</v>
      </c>
      <c r="C1673" s="3">
        <v>326.86</v>
      </c>
      <c r="D1673" s="3">
        <v>115.01</v>
      </c>
      <c r="E1673" s="3">
        <v>1.4447000000000001</v>
      </c>
      <c r="F1673" s="3">
        <v>308.58</v>
      </c>
      <c r="G1673" s="3">
        <v>354.45</v>
      </c>
      <c r="H1673" s="3">
        <v>211.91</v>
      </c>
      <c r="I1673" s="3">
        <v>302.7</v>
      </c>
      <c r="J1673" s="3">
        <v>114.36</v>
      </c>
      <c r="K1673" s="3">
        <v>242</v>
      </c>
      <c r="L1673" s="3"/>
      <c r="N1673" s="4"/>
    </row>
    <row r="1674" spans="1:14" ht="17.5" thickBot="1" x14ac:dyDescent="0.45">
      <c r="A1674" s="4">
        <v>44531</v>
      </c>
      <c r="B1674" s="3">
        <v>151.34</v>
      </c>
      <c r="C1674" s="3">
        <v>332.63</v>
      </c>
      <c r="D1674" s="3">
        <v>115.19</v>
      </c>
      <c r="E1674" s="3">
        <v>1.4419</v>
      </c>
      <c r="F1674" s="3">
        <v>311.10000000000002</v>
      </c>
      <c r="G1674" s="3">
        <v>351.08</v>
      </c>
      <c r="H1674" s="3">
        <v>212.94</v>
      </c>
      <c r="I1674" s="3">
        <v>299.08</v>
      </c>
      <c r="J1674" s="3">
        <v>114.36</v>
      </c>
      <c r="K1674" s="3">
        <v>243.15</v>
      </c>
      <c r="L1674" s="3"/>
      <c r="N1674" s="4"/>
    </row>
    <row r="1675" spans="1:14" ht="17.5" thickBot="1" x14ac:dyDescent="0.45">
      <c r="A1675" s="4">
        <v>44532</v>
      </c>
      <c r="B1675" s="3">
        <v>152.07</v>
      </c>
      <c r="C1675" s="3">
        <v>334.65</v>
      </c>
      <c r="D1675" s="3">
        <v>115.09</v>
      </c>
      <c r="E1675" s="3">
        <v>1.4490000000000001</v>
      </c>
      <c r="F1675" s="3">
        <v>311.79000000000002</v>
      </c>
      <c r="G1675" s="3">
        <v>356.12</v>
      </c>
      <c r="H1675" s="3">
        <v>213.21</v>
      </c>
      <c r="I1675" s="3">
        <v>303.49</v>
      </c>
      <c r="J1675" s="3">
        <v>114.36</v>
      </c>
      <c r="K1675" s="3">
        <v>243.45</v>
      </c>
      <c r="L1675" s="3"/>
      <c r="N1675" s="4"/>
    </row>
    <row r="1676" spans="1:14" ht="17.5" thickBot="1" x14ac:dyDescent="0.45">
      <c r="A1676" s="4">
        <v>44533</v>
      </c>
      <c r="B1676" s="3">
        <v>151.81</v>
      </c>
      <c r="C1676" s="3">
        <v>333.34</v>
      </c>
      <c r="D1676" s="3">
        <v>114.91</v>
      </c>
      <c r="E1676" s="3">
        <v>1.4447000000000001</v>
      </c>
      <c r="F1676" s="3">
        <v>309.16000000000003</v>
      </c>
      <c r="G1676" s="3">
        <v>353.19</v>
      </c>
      <c r="H1676" s="3">
        <v>212.53</v>
      </c>
      <c r="I1676" s="3">
        <v>300.81</v>
      </c>
      <c r="J1676" s="3">
        <v>114.36</v>
      </c>
      <c r="K1676" s="3">
        <v>242.82</v>
      </c>
      <c r="L1676" s="3"/>
      <c r="N1676" s="4"/>
    </row>
    <row r="1677" spans="1:14" ht="17.5" thickBot="1" x14ac:dyDescent="0.45">
      <c r="A1677" s="4">
        <v>44534</v>
      </c>
      <c r="B1677" s="3">
        <v>151.81</v>
      </c>
      <c r="C1677" s="3">
        <v>333.34</v>
      </c>
      <c r="D1677" s="3">
        <v>114.91</v>
      </c>
      <c r="E1677" s="3">
        <v>1.4447000000000001</v>
      </c>
      <c r="F1677" s="3">
        <v>309.16000000000003</v>
      </c>
      <c r="G1677" s="3">
        <v>353.19</v>
      </c>
      <c r="H1677" s="3">
        <v>212.53</v>
      </c>
      <c r="I1677" s="3">
        <v>300.81</v>
      </c>
      <c r="J1677" s="3">
        <v>114.36</v>
      </c>
      <c r="K1677" s="3">
        <v>242.82</v>
      </c>
      <c r="L1677" s="3"/>
      <c r="N1677" s="4"/>
    </row>
    <row r="1678" spans="1:14" ht="17.5" thickBot="1" x14ac:dyDescent="0.45">
      <c r="A1678" s="4">
        <v>44535</v>
      </c>
      <c r="B1678" s="3">
        <v>151.81</v>
      </c>
      <c r="C1678" s="3">
        <v>333.34</v>
      </c>
      <c r="D1678" s="3">
        <v>114.91</v>
      </c>
      <c r="E1678" s="3">
        <v>1.4447000000000001</v>
      </c>
      <c r="F1678" s="3">
        <v>309.16000000000003</v>
      </c>
      <c r="G1678" s="3">
        <v>353.19</v>
      </c>
      <c r="H1678" s="3">
        <v>212.53</v>
      </c>
      <c r="I1678" s="3">
        <v>300.81</v>
      </c>
      <c r="J1678" s="3">
        <v>114.36</v>
      </c>
      <c r="K1678" s="3">
        <v>242.82</v>
      </c>
      <c r="L1678" s="3"/>
      <c r="N1678" s="4"/>
    </row>
    <row r="1679" spans="1:14" ht="17.5" thickBot="1" x14ac:dyDescent="0.45">
      <c r="A1679" s="4">
        <v>44536</v>
      </c>
      <c r="B1679" s="3">
        <v>149.28</v>
      </c>
      <c r="C1679" s="3">
        <v>332.27</v>
      </c>
      <c r="D1679" s="3">
        <v>115</v>
      </c>
      <c r="E1679" s="3">
        <v>1.4509000000000001</v>
      </c>
      <c r="F1679" s="3">
        <v>309.5</v>
      </c>
      <c r="G1679" s="3">
        <v>357.56</v>
      </c>
      <c r="H1679" s="3">
        <v>212.53</v>
      </c>
      <c r="I1679" s="3">
        <v>304.60000000000002</v>
      </c>
      <c r="J1679" s="3">
        <v>114.36</v>
      </c>
      <c r="K1679" s="3">
        <v>242.75</v>
      </c>
      <c r="L1679" s="3"/>
      <c r="N1679" s="4"/>
    </row>
    <row r="1680" spans="1:14" ht="17.5" thickBot="1" x14ac:dyDescent="0.45">
      <c r="A1680" s="4">
        <v>44537</v>
      </c>
      <c r="B1680" s="3">
        <v>153.21</v>
      </c>
      <c r="C1680" s="3">
        <v>336.61</v>
      </c>
      <c r="D1680" s="3">
        <v>115.17</v>
      </c>
      <c r="E1680" s="3">
        <v>1.4677</v>
      </c>
      <c r="F1680" s="3">
        <v>315.86</v>
      </c>
      <c r="G1680" s="3">
        <v>364.79</v>
      </c>
      <c r="H1680" s="3">
        <v>215.07</v>
      </c>
      <c r="I1680" s="3">
        <v>310.98</v>
      </c>
      <c r="J1680" s="3">
        <v>114.36</v>
      </c>
      <c r="K1680" s="3">
        <v>245.27</v>
      </c>
      <c r="L1680" s="3"/>
      <c r="N1680" s="4"/>
    </row>
    <row r="1681" spans="1:14" ht="17.5" thickBot="1" x14ac:dyDescent="0.45">
      <c r="A1681" s="4">
        <v>44538</v>
      </c>
      <c r="B1681" s="3">
        <v>153.35</v>
      </c>
      <c r="C1681" s="3">
        <v>339.3</v>
      </c>
      <c r="D1681" s="3">
        <v>115.44</v>
      </c>
      <c r="E1681" s="3">
        <v>1.4695</v>
      </c>
      <c r="F1681" s="3">
        <v>316.89999999999998</v>
      </c>
      <c r="G1681" s="3">
        <v>365.92</v>
      </c>
      <c r="H1681" s="3">
        <v>215.4</v>
      </c>
      <c r="I1681" s="3">
        <v>311.70999999999998</v>
      </c>
      <c r="J1681" s="3">
        <v>114.36</v>
      </c>
      <c r="K1681" s="3">
        <v>245.55</v>
      </c>
      <c r="L1681" s="3"/>
      <c r="N1681" s="4"/>
    </row>
    <row r="1682" spans="1:14" ht="17.5" thickBot="1" x14ac:dyDescent="0.45">
      <c r="A1682" s="4">
        <v>44539</v>
      </c>
      <c r="B1682" s="3">
        <v>154.76</v>
      </c>
      <c r="C1682" s="3">
        <v>339.3</v>
      </c>
      <c r="D1682" s="3">
        <v>115.35</v>
      </c>
      <c r="E1682" s="3">
        <v>1.4651000000000001</v>
      </c>
      <c r="F1682" s="3">
        <v>317.36</v>
      </c>
      <c r="G1682" s="3">
        <v>363.38</v>
      </c>
      <c r="H1682" s="3">
        <v>215.62</v>
      </c>
      <c r="I1682" s="3">
        <v>309.61</v>
      </c>
      <c r="J1682" s="3">
        <v>114.36</v>
      </c>
      <c r="K1682" s="3">
        <v>245.79</v>
      </c>
      <c r="L1682" s="3"/>
      <c r="N1682" s="4"/>
    </row>
    <row r="1683" spans="1:14" ht="17.5" thickBot="1" x14ac:dyDescent="0.45">
      <c r="A1683" s="4">
        <v>44540</v>
      </c>
      <c r="B1683" s="3">
        <v>153.12</v>
      </c>
      <c r="C1683" s="3">
        <v>336.61</v>
      </c>
      <c r="D1683" s="3">
        <v>115.35</v>
      </c>
      <c r="E1683" s="3">
        <v>1.4685999999999999</v>
      </c>
      <c r="F1683" s="3">
        <v>315.95</v>
      </c>
      <c r="G1683" s="3">
        <v>366.99</v>
      </c>
      <c r="H1683" s="3">
        <v>215.11</v>
      </c>
      <c r="I1683" s="3">
        <v>312.61</v>
      </c>
      <c r="J1683" s="3">
        <v>114.36</v>
      </c>
      <c r="K1683" s="3">
        <v>245.29</v>
      </c>
      <c r="L1683" s="3"/>
      <c r="N1683" s="4"/>
    </row>
    <row r="1684" spans="1:14" ht="17.5" thickBot="1" x14ac:dyDescent="0.45">
      <c r="A1684" s="4">
        <v>44541</v>
      </c>
      <c r="B1684" s="3">
        <v>153.12</v>
      </c>
      <c r="C1684" s="3">
        <v>336.61</v>
      </c>
      <c r="D1684" s="3">
        <v>115.35</v>
      </c>
      <c r="E1684" s="3">
        <v>1.4685999999999999</v>
      </c>
      <c r="F1684" s="3">
        <v>315.95</v>
      </c>
      <c r="G1684" s="3">
        <v>366.99</v>
      </c>
      <c r="H1684" s="3">
        <v>215.11</v>
      </c>
      <c r="I1684" s="3">
        <v>312.61</v>
      </c>
      <c r="J1684" s="3">
        <v>114.36</v>
      </c>
      <c r="K1684" s="3">
        <v>245.29</v>
      </c>
      <c r="L1684" s="3"/>
      <c r="N1684" s="4"/>
    </row>
    <row r="1685" spans="1:14" ht="17.5" thickBot="1" x14ac:dyDescent="0.45">
      <c r="A1685" s="4">
        <v>44542</v>
      </c>
      <c r="B1685" s="3">
        <v>153.12</v>
      </c>
      <c r="C1685" s="3">
        <v>336.61</v>
      </c>
      <c r="D1685" s="3">
        <v>115.35</v>
      </c>
      <c r="E1685" s="3">
        <v>1.4685999999999999</v>
      </c>
      <c r="F1685" s="3">
        <v>315.95</v>
      </c>
      <c r="G1685" s="3">
        <v>366.99</v>
      </c>
      <c r="H1685" s="3">
        <v>215.11</v>
      </c>
      <c r="I1685" s="3">
        <v>312.61</v>
      </c>
      <c r="J1685" s="3">
        <v>114.36</v>
      </c>
      <c r="K1685" s="3">
        <v>245.29</v>
      </c>
      <c r="L1685" s="3"/>
      <c r="N1685" s="4"/>
    </row>
    <row r="1686" spans="1:14" ht="17.5" thickBot="1" x14ac:dyDescent="0.45">
      <c r="A1686" s="4">
        <v>44543</v>
      </c>
      <c r="B1686" s="3">
        <v>153.22</v>
      </c>
      <c r="C1686" s="3">
        <v>335.58</v>
      </c>
      <c r="D1686" s="3">
        <v>115.34</v>
      </c>
      <c r="E1686" s="3">
        <v>1.4641</v>
      </c>
      <c r="F1686" s="3">
        <v>314.72000000000003</v>
      </c>
      <c r="G1686" s="3">
        <v>363.75</v>
      </c>
      <c r="H1686" s="3">
        <v>214.71</v>
      </c>
      <c r="I1686" s="3">
        <v>309.60000000000002</v>
      </c>
      <c r="J1686" s="3">
        <v>114.36</v>
      </c>
      <c r="K1686" s="3">
        <v>244.97</v>
      </c>
      <c r="L1686" s="3"/>
      <c r="N1686" s="4"/>
    </row>
    <row r="1687" spans="1:14" ht="17.5" thickBot="1" x14ac:dyDescent="0.45">
      <c r="A1687" s="4">
        <v>44544</v>
      </c>
      <c r="B1687" s="3">
        <v>150.85</v>
      </c>
      <c r="C1687" s="3">
        <v>333.88</v>
      </c>
      <c r="D1687" s="3">
        <v>115.43</v>
      </c>
      <c r="E1687" s="3">
        <v>1.4570000000000001</v>
      </c>
      <c r="F1687" s="3">
        <v>311.93</v>
      </c>
      <c r="G1687" s="3">
        <v>361.28</v>
      </c>
      <c r="H1687" s="3">
        <v>213.53</v>
      </c>
      <c r="I1687" s="3">
        <v>307.47000000000003</v>
      </c>
      <c r="J1687" s="3">
        <v>114.36</v>
      </c>
      <c r="K1687" s="3">
        <v>243.71</v>
      </c>
      <c r="L1687" s="3"/>
      <c r="N1687" s="4"/>
    </row>
    <row r="1688" spans="1:14" ht="17.5" thickBot="1" x14ac:dyDescent="0.45">
      <c r="A1688" s="4">
        <v>44545</v>
      </c>
      <c r="B1688" s="3">
        <v>149.68</v>
      </c>
      <c r="C1688" s="3">
        <v>333.27</v>
      </c>
      <c r="D1688" s="3">
        <v>115.34</v>
      </c>
      <c r="E1688" s="3">
        <v>1.4643999999999999</v>
      </c>
      <c r="F1688" s="3">
        <v>311.7</v>
      </c>
      <c r="G1688" s="3">
        <v>366.76</v>
      </c>
      <c r="H1688" s="3">
        <v>213.42</v>
      </c>
      <c r="I1688" s="3">
        <v>312.32</v>
      </c>
      <c r="J1688" s="3">
        <v>114.36</v>
      </c>
      <c r="K1688" s="3">
        <v>243.53</v>
      </c>
      <c r="L1688" s="3"/>
      <c r="N1688" s="4"/>
    </row>
    <row r="1689" spans="1:14" ht="17.5" thickBot="1" x14ac:dyDescent="0.45">
      <c r="A1689" s="4">
        <v>44546</v>
      </c>
      <c r="B1689" s="3">
        <v>150.21</v>
      </c>
      <c r="C1689" s="3">
        <v>335.86</v>
      </c>
      <c r="D1689" s="3">
        <v>115.6</v>
      </c>
      <c r="E1689" s="3">
        <v>1.4637</v>
      </c>
      <c r="F1689" s="3">
        <v>313.55</v>
      </c>
      <c r="G1689" s="3">
        <v>363.47</v>
      </c>
      <c r="H1689" s="3">
        <v>214.3</v>
      </c>
      <c r="I1689" s="3">
        <v>309.44</v>
      </c>
      <c r="J1689" s="3">
        <v>114.36</v>
      </c>
      <c r="K1689" s="3">
        <v>244.48</v>
      </c>
      <c r="L1689" s="3"/>
      <c r="N1689" s="4"/>
    </row>
    <row r="1690" spans="1:14" ht="17.5" thickBot="1" x14ac:dyDescent="0.45">
      <c r="A1690" s="4">
        <v>44547</v>
      </c>
      <c r="B1690" s="3">
        <v>148.18</v>
      </c>
      <c r="C1690" s="3">
        <v>334.06</v>
      </c>
      <c r="D1690" s="3">
        <v>115.6</v>
      </c>
      <c r="E1690" s="3">
        <v>1.4564999999999999</v>
      </c>
      <c r="F1690" s="3">
        <v>309.79000000000002</v>
      </c>
      <c r="G1690" s="3">
        <v>360.1</v>
      </c>
      <c r="H1690" s="3">
        <v>212.81</v>
      </c>
      <c r="I1690" s="3">
        <v>306.29000000000002</v>
      </c>
      <c r="J1690" s="3">
        <v>114.36</v>
      </c>
      <c r="K1690" s="3">
        <v>242.97</v>
      </c>
      <c r="L1690" s="3"/>
      <c r="N1690" s="4"/>
    </row>
    <row r="1691" spans="1:14" ht="17.5" thickBot="1" x14ac:dyDescent="0.45">
      <c r="A1691" s="4">
        <v>44548</v>
      </c>
      <c r="B1691" s="3">
        <v>148.18</v>
      </c>
      <c r="C1691" s="3">
        <v>334.06</v>
      </c>
      <c r="D1691" s="3">
        <v>115.6</v>
      </c>
      <c r="E1691" s="3">
        <v>1.4564999999999999</v>
      </c>
      <c r="F1691" s="3">
        <v>309.79000000000002</v>
      </c>
      <c r="G1691" s="3">
        <v>360.1</v>
      </c>
      <c r="H1691" s="3">
        <v>212.81</v>
      </c>
      <c r="I1691" s="3">
        <v>306.29000000000002</v>
      </c>
      <c r="J1691" s="3">
        <v>114.36</v>
      </c>
      <c r="K1691" s="3">
        <v>242.97</v>
      </c>
      <c r="L1691" s="3"/>
      <c r="N1691" s="4"/>
    </row>
    <row r="1692" spans="1:14" ht="17.5" thickBot="1" x14ac:dyDescent="0.45">
      <c r="A1692" s="4">
        <v>44549</v>
      </c>
      <c r="B1692" s="3">
        <v>148.18</v>
      </c>
      <c r="C1692" s="3">
        <v>334.06</v>
      </c>
      <c r="D1692" s="3">
        <v>115.6</v>
      </c>
      <c r="E1692" s="3">
        <v>1.4564999999999999</v>
      </c>
      <c r="F1692" s="3">
        <v>309.79000000000002</v>
      </c>
      <c r="G1692" s="3">
        <v>360.1</v>
      </c>
      <c r="H1692" s="3">
        <v>212.81</v>
      </c>
      <c r="I1692" s="3">
        <v>306.29000000000002</v>
      </c>
      <c r="J1692" s="3">
        <v>114.36</v>
      </c>
      <c r="K1692" s="3">
        <v>242.97</v>
      </c>
      <c r="L1692" s="3"/>
      <c r="N1692" s="4"/>
    </row>
    <row r="1693" spans="1:14" ht="17.5" thickBot="1" x14ac:dyDescent="0.45">
      <c r="A1693" s="4">
        <v>44550</v>
      </c>
      <c r="B1693" s="3">
        <v>145.41999999999999</v>
      </c>
      <c r="C1693" s="3">
        <v>327.78</v>
      </c>
      <c r="D1693" s="3">
        <v>115.5</v>
      </c>
      <c r="E1693" s="3">
        <v>1.4450000000000001</v>
      </c>
      <c r="F1693" s="3">
        <v>304.55</v>
      </c>
      <c r="G1693" s="3">
        <v>355.81</v>
      </c>
      <c r="H1693" s="3">
        <v>210.73</v>
      </c>
      <c r="I1693" s="3">
        <v>302.88</v>
      </c>
      <c r="J1693" s="3">
        <v>114.36</v>
      </c>
      <c r="K1693" s="3">
        <v>240.84</v>
      </c>
      <c r="L1693" s="3"/>
      <c r="N1693" s="4"/>
    </row>
    <row r="1694" spans="1:14" ht="17.5" thickBot="1" x14ac:dyDescent="0.45">
      <c r="A1694" s="4">
        <v>44551</v>
      </c>
      <c r="B1694" s="3">
        <v>146.75</v>
      </c>
      <c r="C1694" s="3">
        <v>330.94</v>
      </c>
      <c r="D1694" s="3">
        <v>115.59</v>
      </c>
      <c r="E1694" s="3">
        <v>1.4556</v>
      </c>
      <c r="F1694" s="3">
        <v>308.14999999999998</v>
      </c>
      <c r="G1694" s="3">
        <v>361.78</v>
      </c>
      <c r="H1694" s="3">
        <v>211.99</v>
      </c>
      <c r="I1694" s="3">
        <v>308.19</v>
      </c>
      <c r="J1694" s="3">
        <v>114.36</v>
      </c>
      <c r="K1694" s="3">
        <v>241.91</v>
      </c>
      <c r="L1694" s="3"/>
      <c r="N1694" s="4"/>
    </row>
    <row r="1695" spans="1:14" ht="17.5" thickBot="1" x14ac:dyDescent="0.45">
      <c r="A1695" s="4">
        <v>44552</v>
      </c>
      <c r="B1695" s="3">
        <v>147.33000000000001</v>
      </c>
      <c r="C1695" s="3">
        <v>333.58</v>
      </c>
      <c r="D1695" s="3">
        <v>115.77</v>
      </c>
      <c r="E1695" s="3">
        <v>1.464</v>
      </c>
      <c r="F1695" s="3">
        <v>310.54000000000002</v>
      </c>
      <c r="G1695" s="3">
        <v>365.63</v>
      </c>
      <c r="H1695" s="3">
        <v>212.95</v>
      </c>
      <c r="I1695" s="3">
        <v>311.31</v>
      </c>
      <c r="J1695" s="3">
        <v>114.36</v>
      </c>
      <c r="K1695" s="3">
        <v>242.96</v>
      </c>
      <c r="L1695" s="3"/>
      <c r="N1695" s="4"/>
    </row>
    <row r="1696" spans="1:14" ht="17.5" thickBot="1" x14ac:dyDescent="0.45">
      <c r="A1696" s="4">
        <v>44553</v>
      </c>
      <c r="B1696" s="3">
        <v>148.19999999999999</v>
      </c>
      <c r="C1696" s="3">
        <v>336.63</v>
      </c>
      <c r="D1696" s="3">
        <v>115.86</v>
      </c>
      <c r="E1696" s="3">
        <v>1.4686999999999999</v>
      </c>
      <c r="F1696" s="3">
        <v>312.45</v>
      </c>
      <c r="G1696" s="3">
        <v>367.92</v>
      </c>
      <c r="H1696" s="3">
        <v>213.63</v>
      </c>
      <c r="I1696" s="3">
        <v>313.13</v>
      </c>
      <c r="J1696" s="3">
        <v>114.36</v>
      </c>
      <c r="K1696" s="3">
        <v>243.51</v>
      </c>
      <c r="L1696" s="3"/>
      <c r="N1696" s="4"/>
    </row>
    <row r="1697" spans="1:14" ht="17.5" thickBot="1" x14ac:dyDescent="0.45">
      <c r="A1697" s="4">
        <v>44554</v>
      </c>
      <c r="B1697" s="3">
        <v>148.44999999999999</v>
      </c>
      <c r="C1697" s="3">
        <v>337.16</v>
      </c>
      <c r="D1697" s="3">
        <v>115.95</v>
      </c>
      <c r="E1697" s="3">
        <v>1.4689000000000001</v>
      </c>
      <c r="F1697" s="3">
        <v>312.5</v>
      </c>
      <c r="G1697" s="3">
        <v>367.81</v>
      </c>
      <c r="H1697" s="3">
        <v>213.7</v>
      </c>
      <c r="I1697" s="3">
        <v>313.13</v>
      </c>
      <c r="J1697" s="3">
        <v>114.36</v>
      </c>
      <c r="K1697" s="3">
        <v>243.61</v>
      </c>
      <c r="L1697" s="3"/>
      <c r="N1697" s="4"/>
    </row>
    <row r="1698" spans="1:14" ht="17.5" thickBot="1" x14ac:dyDescent="0.45">
      <c r="A1698" s="4">
        <v>44555</v>
      </c>
      <c r="B1698" s="3">
        <v>148.44999999999999</v>
      </c>
      <c r="C1698" s="3">
        <v>337.16</v>
      </c>
      <c r="D1698" s="3">
        <v>115.95</v>
      </c>
      <c r="E1698" s="3">
        <v>1.4689000000000001</v>
      </c>
      <c r="F1698" s="3">
        <v>312.5</v>
      </c>
      <c r="G1698" s="3">
        <v>367.81</v>
      </c>
      <c r="H1698" s="3">
        <v>213.7</v>
      </c>
      <c r="I1698" s="3">
        <v>313.13</v>
      </c>
      <c r="J1698" s="3">
        <v>114.36</v>
      </c>
      <c r="K1698" s="3">
        <v>243.61</v>
      </c>
      <c r="L1698" s="3"/>
      <c r="N1698" s="4"/>
    </row>
    <row r="1699" spans="1:14" ht="17.5" thickBot="1" x14ac:dyDescent="0.45">
      <c r="A1699" s="4">
        <v>44556</v>
      </c>
      <c r="B1699" s="3">
        <v>148.44999999999999</v>
      </c>
      <c r="C1699" s="3">
        <v>337.16</v>
      </c>
      <c r="D1699" s="3">
        <v>115.95</v>
      </c>
      <c r="E1699" s="3">
        <v>1.4689000000000001</v>
      </c>
      <c r="F1699" s="3">
        <v>312.5</v>
      </c>
      <c r="G1699" s="3">
        <v>367.81</v>
      </c>
      <c r="H1699" s="3">
        <v>213.7</v>
      </c>
      <c r="I1699" s="3">
        <v>313.13</v>
      </c>
      <c r="J1699" s="3">
        <v>114.36</v>
      </c>
      <c r="K1699" s="3">
        <v>243.61</v>
      </c>
      <c r="L1699" s="3"/>
      <c r="N1699" s="4"/>
    </row>
    <row r="1700" spans="1:14" ht="17.5" thickBot="1" x14ac:dyDescent="0.45">
      <c r="A1700" s="4">
        <v>44557</v>
      </c>
      <c r="B1700" s="3">
        <v>148.44999999999999</v>
      </c>
      <c r="C1700" s="3">
        <v>337.16</v>
      </c>
      <c r="D1700" s="3">
        <v>115.95</v>
      </c>
      <c r="E1700" s="3">
        <v>1.4689000000000001</v>
      </c>
      <c r="F1700" s="3">
        <v>312.5</v>
      </c>
      <c r="G1700" s="3">
        <v>367.81</v>
      </c>
      <c r="H1700" s="3">
        <v>213.7</v>
      </c>
      <c r="I1700" s="3">
        <v>313.13</v>
      </c>
      <c r="J1700" s="3">
        <v>114.36</v>
      </c>
      <c r="K1700" s="3">
        <v>243.61</v>
      </c>
      <c r="L1700" s="3"/>
      <c r="N1700" s="4"/>
    </row>
    <row r="1701" spans="1:14" ht="17.5" thickBot="1" x14ac:dyDescent="0.45">
      <c r="A1701" s="4">
        <v>44558</v>
      </c>
      <c r="B1701" s="3">
        <v>148.66999999999999</v>
      </c>
      <c r="C1701" s="3">
        <v>339.63</v>
      </c>
      <c r="D1701" s="3">
        <v>115.85</v>
      </c>
      <c r="E1701" s="3">
        <v>1.4777</v>
      </c>
      <c r="F1701" s="3">
        <v>314.57</v>
      </c>
      <c r="G1701" s="3">
        <v>372.86</v>
      </c>
      <c r="H1701" s="3">
        <v>214.53</v>
      </c>
      <c r="I1701" s="3">
        <v>317.3</v>
      </c>
      <c r="J1701" s="3">
        <v>114.36</v>
      </c>
      <c r="K1701" s="3">
        <v>244.4</v>
      </c>
      <c r="L1701" s="3"/>
      <c r="N1701" s="4"/>
    </row>
    <row r="1702" spans="1:14" ht="17.5" thickBot="1" x14ac:dyDescent="0.45">
      <c r="A1702" s="4">
        <v>44559</v>
      </c>
      <c r="B1702" s="3">
        <v>147.29</v>
      </c>
      <c r="C1702" s="3">
        <v>339.96</v>
      </c>
      <c r="D1702" s="3">
        <v>116.02</v>
      </c>
      <c r="E1702" s="3">
        <v>1.4759</v>
      </c>
      <c r="F1702" s="3">
        <v>313.61</v>
      </c>
      <c r="G1702" s="3">
        <v>373.45</v>
      </c>
      <c r="H1702" s="3">
        <v>214.03</v>
      </c>
      <c r="I1702" s="3">
        <v>317.61</v>
      </c>
      <c r="J1702" s="3">
        <v>114.36</v>
      </c>
      <c r="K1702" s="3">
        <v>243.8</v>
      </c>
      <c r="L1702" s="3"/>
      <c r="N1702" s="4"/>
    </row>
    <row r="1703" spans="1:14" ht="17.5" thickBot="1" x14ac:dyDescent="0.45">
      <c r="A1703" s="4">
        <v>44560</v>
      </c>
      <c r="B1703" s="3">
        <v>147.79</v>
      </c>
      <c r="C1703" s="3">
        <v>339.05</v>
      </c>
      <c r="D1703" s="3">
        <v>115.93</v>
      </c>
      <c r="E1703" s="3">
        <v>1.4751000000000001</v>
      </c>
      <c r="F1703" s="3">
        <v>314.73</v>
      </c>
      <c r="G1703" s="3">
        <v>372.15</v>
      </c>
      <c r="H1703" s="3">
        <v>214.28</v>
      </c>
      <c r="I1703" s="3">
        <v>316.73</v>
      </c>
      <c r="J1703" s="3">
        <v>114.36</v>
      </c>
      <c r="K1703" s="3">
        <v>244.09</v>
      </c>
      <c r="L1703" s="3"/>
      <c r="N1703" s="4"/>
    </row>
    <row r="1704" spans="1:14" ht="17.5" thickBot="1" x14ac:dyDescent="0.45">
      <c r="A1704" s="4">
        <v>44561</v>
      </c>
      <c r="B1704" s="3">
        <v>149.38</v>
      </c>
      <c r="C1704" s="3">
        <v>339.02</v>
      </c>
      <c r="D1704" s="3">
        <v>115.93</v>
      </c>
      <c r="E1704" s="3">
        <v>1.4746999999999999</v>
      </c>
      <c r="F1704" s="3">
        <v>314.58</v>
      </c>
      <c r="G1704" s="3">
        <v>370.9</v>
      </c>
      <c r="H1704" s="3">
        <v>214.49</v>
      </c>
      <c r="I1704" s="3">
        <v>315.91000000000003</v>
      </c>
      <c r="J1704" s="3">
        <v>114.37</v>
      </c>
      <c r="K1704" s="3">
        <v>244.36</v>
      </c>
      <c r="L1704" s="3"/>
      <c r="N1704" s="4"/>
    </row>
    <row r="1705" spans="1:14" ht="17.5" thickBot="1" x14ac:dyDescent="0.45">
      <c r="A1705" s="4">
        <v>44562</v>
      </c>
      <c r="B1705" s="3">
        <v>149.38</v>
      </c>
      <c r="C1705" s="3">
        <v>339.02</v>
      </c>
      <c r="D1705" s="3">
        <v>115.93</v>
      </c>
      <c r="E1705" s="3">
        <v>1.4746999999999999</v>
      </c>
      <c r="F1705" s="3">
        <v>314.58</v>
      </c>
      <c r="G1705" s="3">
        <v>370.9</v>
      </c>
      <c r="H1705" s="3">
        <v>214.49</v>
      </c>
      <c r="I1705" s="3">
        <v>315.91000000000003</v>
      </c>
      <c r="J1705" s="3">
        <v>114.37</v>
      </c>
      <c r="K1705" s="3">
        <v>244.36</v>
      </c>
      <c r="L1705" s="3"/>
      <c r="N1705" s="4"/>
    </row>
    <row r="1706" spans="1:14" ht="17.5" thickBot="1" x14ac:dyDescent="0.45">
      <c r="A1706" s="4">
        <v>44563</v>
      </c>
      <c r="B1706" s="3">
        <v>149.38</v>
      </c>
      <c r="C1706" s="3">
        <v>339.02</v>
      </c>
      <c r="D1706" s="3">
        <v>115.93</v>
      </c>
      <c r="E1706" s="3">
        <v>1.4746999999999999</v>
      </c>
      <c r="F1706" s="3">
        <v>314.58</v>
      </c>
      <c r="G1706" s="3">
        <v>370.9</v>
      </c>
      <c r="H1706" s="3">
        <v>214.49</v>
      </c>
      <c r="I1706" s="3">
        <v>315.91000000000003</v>
      </c>
      <c r="J1706" s="3">
        <v>114.37</v>
      </c>
      <c r="K1706" s="3">
        <v>244.36</v>
      </c>
      <c r="L1706" s="3"/>
      <c r="N1706" s="4"/>
    </row>
    <row r="1707" spans="1:14" ht="17.5" thickBot="1" x14ac:dyDescent="0.45">
      <c r="A1707" s="4">
        <v>44564</v>
      </c>
      <c r="B1707" s="3">
        <v>148.56</v>
      </c>
      <c r="C1707" s="3">
        <v>339.93</v>
      </c>
      <c r="D1707" s="3">
        <v>115.56</v>
      </c>
      <c r="E1707" s="3">
        <v>1.4743999999999999</v>
      </c>
      <c r="F1707" s="3">
        <v>314.66000000000003</v>
      </c>
      <c r="G1707" s="3">
        <v>373.34</v>
      </c>
      <c r="H1707" s="3">
        <v>214.25</v>
      </c>
      <c r="I1707" s="3">
        <v>317.8</v>
      </c>
      <c r="J1707" s="3">
        <v>114.37</v>
      </c>
      <c r="K1707" s="3">
        <v>243.85</v>
      </c>
      <c r="L1707" s="3"/>
      <c r="N1707" s="4"/>
    </row>
    <row r="1708" spans="1:14" ht="17.5" thickBot="1" x14ac:dyDescent="0.45">
      <c r="A1708" s="4">
        <v>44565</v>
      </c>
      <c r="B1708" s="3">
        <v>148.78</v>
      </c>
      <c r="C1708" s="3">
        <v>344.51</v>
      </c>
      <c r="D1708" s="3">
        <v>115.38</v>
      </c>
      <c r="E1708" s="3">
        <v>1.4752000000000001</v>
      </c>
      <c r="F1708" s="3">
        <v>315.64</v>
      </c>
      <c r="G1708" s="3">
        <v>373.51</v>
      </c>
      <c r="H1708" s="3">
        <v>214.52</v>
      </c>
      <c r="I1708" s="3">
        <v>317.62</v>
      </c>
      <c r="J1708" s="3">
        <v>114.37</v>
      </c>
      <c r="K1708" s="3">
        <v>244.06</v>
      </c>
      <c r="L1708" s="3"/>
      <c r="N1708" s="4"/>
    </row>
    <row r="1709" spans="1:14" ht="17.5" thickBot="1" x14ac:dyDescent="0.45">
      <c r="A1709" s="4">
        <v>44566</v>
      </c>
      <c r="B1709" s="3">
        <v>146.26</v>
      </c>
      <c r="C1709" s="3">
        <v>343.7</v>
      </c>
      <c r="D1709" s="3">
        <v>115.38</v>
      </c>
      <c r="E1709" s="3">
        <v>1.4631000000000001</v>
      </c>
      <c r="F1709" s="3">
        <v>312.76</v>
      </c>
      <c r="G1709" s="3">
        <v>366.19</v>
      </c>
      <c r="H1709" s="3">
        <v>213.49</v>
      </c>
      <c r="I1709" s="3">
        <v>311.42</v>
      </c>
      <c r="J1709" s="3">
        <v>114.37</v>
      </c>
      <c r="K1709" s="3">
        <v>243</v>
      </c>
      <c r="L1709" s="3"/>
      <c r="N1709" s="4"/>
    </row>
    <row r="1710" spans="1:14" ht="17.5" thickBot="1" x14ac:dyDescent="0.45">
      <c r="A1710" s="4">
        <v>44567</v>
      </c>
      <c r="B1710" s="3">
        <v>147.41999999999999</v>
      </c>
      <c r="C1710" s="3">
        <v>338.21</v>
      </c>
      <c r="D1710" s="3">
        <v>114.66</v>
      </c>
      <c r="E1710" s="3">
        <v>1.4574</v>
      </c>
      <c r="F1710" s="3">
        <v>310.91000000000003</v>
      </c>
      <c r="G1710" s="3">
        <v>366.44</v>
      </c>
      <c r="H1710" s="3">
        <v>212.59</v>
      </c>
      <c r="I1710" s="3">
        <v>311.33</v>
      </c>
      <c r="J1710" s="3">
        <v>114.37</v>
      </c>
      <c r="K1710" s="3">
        <v>242.03</v>
      </c>
      <c r="L1710" s="3"/>
      <c r="N1710" s="4"/>
    </row>
    <row r="1711" spans="1:14" ht="17.5" thickBot="1" x14ac:dyDescent="0.45">
      <c r="A1711" s="4">
        <v>44568</v>
      </c>
      <c r="B1711" s="3">
        <v>150.03</v>
      </c>
      <c r="C1711" s="3">
        <v>339.99</v>
      </c>
      <c r="D1711" s="3">
        <v>114.48</v>
      </c>
      <c r="E1711" s="3">
        <v>1.4552</v>
      </c>
      <c r="F1711" s="3">
        <v>312.61</v>
      </c>
      <c r="G1711" s="3">
        <v>365.12</v>
      </c>
      <c r="H1711" s="3">
        <v>213.2</v>
      </c>
      <c r="I1711" s="3">
        <v>310.11</v>
      </c>
      <c r="J1711" s="3">
        <v>114.37</v>
      </c>
      <c r="K1711" s="3">
        <v>242.65</v>
      </c>
      <c r="L1711" s="3"/>
      <c r="N1711" s="4"/>
    </row>
    <row r="1712" spans="1:14" ht="17.5" thickBot="1" x14ac:dyDescent="0.45">
      <c r="A1712" s="4">
        <v>44569</v>
      </c>
      <c r="B1712" s="3">
        <v>150.03</v>
      </c>
      <c r="C1712" s="3">
        <v>339.99</v>
      </c>
      <c r="D1712" s="3">
        <v>114.48</v>
      </c>
      <c r="E1712" s="3">
        <v>1.4552</v>
      </c>
      <c r="F1712" s="3">
        <v>312.61</v>
      </c>
      <c r="G1712" s="3">
        <v>365.12</v>
      </c>
      <c r="H1712" s="3">
        <v>213.2</v>
      </c>
      <c r="I1712" s="3">
        <v>310.11</v>
      </c>
      <c r="J1712" s="3">
        <v>114.37</v>
      </c>
      <c r="K1712" s="3">
        <v>242.65</v>
      </c>
      <c r="L1712" s="3"/>
      <c r="N1712" s="4"/>
    </row>
    <row r="1713" spans="1:14" ht="17.5" thickBot="1" x14ac:dyDescent="0.45">
      <c r="A1713" s="4">
        <v>44570</v>
      </c>
      <c r="B1713" s="3">
        <v>150.03</v>
      </c>
      <c r="C1713" s="3">
        <v>339.99</v>
      </c>
      <c r="D1713" s="3">
        <v>114.48</v>
      </c>
      <c r="E1713" s="3">
        <v>1.4552</v>
      </c>
      <c r="F1713" s="3">
        <v>312.61</v>
      </c>
      <c r="G1713" s="3">
        <v>365.12</v>
      </c>
      <c r="H1713" s="3">
        <v>213.2</v>
      </c>
      <c r="I1713" s="3">
        <v>310.11</v>
      </c>
      <c r="J1713" s="3">
        <v>114.37</v>
      </c>
      <c r="K1713" s="3">
        <v>242.65</v>
      </c>
      <c r="L1713" s="3"/>
      <c r="N1713" s="4"/>
    </row>
    <row r="1714" spans="1:14" ht="17.5" thickBot="1" x14ac:dyDescent="0.45">
      <c r="A1714" s="4">
        <v>44571</v>
      </c>
      <c r="B1714" s="3">
        <v>151.34</v>
      </c>
      <c r="C1714" s="3">
        <v>341.35</v>
      </c>
      <c r="D1714" s="3">
        <v>114.29</v>
      </c>
      <c r="E1714" s="3">
        <v>1.4524999999999999</v>
      </c>
      <c r="F1714" s="3">
        <v>312.54000000000002</v>
      </c>
      <c r="G1714" s="3">
        <v>364.85</v>
      </c>
      <c r="H1714" s="3">
        <v>213.09</v>
      </c>
      <c r="I1714" s="3">
        <v>309.42</v>
      </c>
      <c r="J1714" s="3">
        <v>114.37</v>
      </c>
      <c r="K1714" s="3">
        <v>242.52</v>
      </c>
      <c r="L1714" s="3"/>
      <c r="N1714" s="4"/>
    </row>
    <row r="1715" spans="1:14" ht="17.5" thickBot="1" x14ac:dyDescent="0.45">
      <c r="A1715" s="4">
        <v>44572</v>
      </c>
      <c r="B1715" s="3">
        <v>151.38999999999999</v>
      </c>
      <c r="C1715" s="3">
        <v>342.28</v>
      </c>
      <c r="D1715" s="3">
        <v>114.56</v>
      </c>
      <c r="E1715" s="3">
        <v>1.4599</v>
      </c>
      <c r="F1715" s="3">
        <v>313.64</v>
      </c>
      <c r="G1715" s="3">
        <v>367.93</v>
      </c>
      <c r="H1715" s="3">
        <v>213.55</v>
      </c>
      <c r="I1715" s="3">
        <v>312.42</v>
      </c>
      <c r="J1715" s="3">
        <v>114.37</v>
      </c>
      <c r="K1715" s="3">
        <v>243</v>
      </c>
      <c r="L1715" s="3"/>
      <c r="N1715" s="4"/>
    </row>
    <row r="1716" spans="1:14" ht="17.5" thickBot="1" x14ac:dyDescent="0.45">
      <c r="A1716" s="4">
        <v>44573</v>
      </c>
      <c r="B1716" s="3">
        <v>155.47999999999999</v>
      </c>
      <c r="C1716" s="3">
        <v>347.75</v>
      </c>
      <c r="D1716" s="3">
        <v>114.91</v>
      </c>
      <c r="E1716" s="3">
        <v>1.4674</v>
      </c>
      <c r="F1716" s="3">
        <v>319.20999999999998</v>
      </c>
      <c r="G1716" s="3">
        <v>368.86</v>
      </c>
      <c r="H1716" s="3">
        <v>215.83</v>
      </c>
      <c r="I1716" s="3">
        <v>313.23</v>
      </c>
      <c r="J1716" s="3">
        <v>114.37</v>
      </c>
      <c r="K1716" s="3">
        <v>245.45</v>
      </c>
      <c r="L1716" s="3"/>
      <c r="N1716" s="4"/>
    </row>
    <row r="1717" spans="1:14" ht="17.5" thickBot="1" x14ac:dyDescent="0.45">
      <c r="A1717" s="4">
        <v>44574</v>
      </c>
      <c r="B1717" s="3">
        <v>155.82</v>
      </c>
      <c r="C1717" s="3">
        <v>348.61</v>
      </c>
      <c r="D1717" s="3">
        <v>115.18</v>
      </c>
      <c r="E1717" s="3">
        <v>1.4601999999999999</v>
      </c>
      <c r="F1717" s="3">
        <v>318.14999999999998</v>
      </c>
      <c r="G1717" s="3">
        <v>364.13</v>
      </c>
      <c r="H1717" s="3">
        <v>215.42</v>
      </c>
      <c r="I1717" s="3">
        <v>308.81</v>
      </c>
      <c r="J1717" s="3">
        <v>114.37</v>
      </c>
      <c r="K1717" s="3">
        <v>245.15</v>
      </c>
      <c r="L1717" s="3"/>
      <c r="N1717" s="4"/>
    </row>
    <row r="1718" spans="1:14" ht="17.5" thickBot="1" x14ac:dyDescent="0.45">
      <c r="A1718" s="4">
        <v>44575</v>
      </c>
      <c r="B1718" s="3">
        <v>155.35</v>
      </c>
      <c r="C1718" s="3">
        <v>345.67</v>
      </c>
      <c r="D1718" s="3">
        <v>115</v>
      </c>
      <c r="E1718" s="3">
        <v>1.4550000000000001</v>
      </c>
      <c r="F1718" s="3">
        <v>316.33</v>
      </c>
      <c r="G1718" s="3">
        <v>364.69</v>
      </c>
      <c r="H1718" s="3">
        <v>214.46</v>
      </c>
      <c r="I1718" s="3">
        <v>308.79000000000002</v>
      </c>
      <c r="J1718" s="3">
        <v>114.37</v>
      </c>
      <c r="K1718" s="3">
        <v>244</v>
      </c>
      <c r="L1718" s="3"/>
      <c r="N1718" s="4"/>
    </row>
    <row r="1719" spans="1:14" ht="17.5" thickBot="1" x14ac:dyDescent="0.45">
      <c r="A1719" s="4">
        <v>44576</v>
      </c>
      <c r="B1719" s="3">
        <v>155.35</v>
      </c>
      <c r="C1719" s="3">
        <v>345.67</v>
      </c>
      <c r="D1719" s="3">
        <v>115</v>
      </c>
      <c r="E1719" s="3">
        <v>1.4550000000000001</v>
      </c>
      <c r="F1719" s="3">
        <v>316.33</v>
      </c>
      <c r="G1719" s="3">
        <v>364.69</v>
      </c>
      <c r="H1719" s="3">
        <v>214.46</v>
      </c>
      <c r="I1719" s="3">
        <v>308.79000000000002</v>
      </c>
      <c r="J1719" s="3">
        <v>114.37</v>
      </c>
      <c r="K1719" s="3">
        <v>244</v>
      </c>
      <c r="L1719" s="3"/>
      <c r="N1719" s="4"/>
    </row>
    <row r="1720" spans="1:14" ht="17.5" thickBot="1" x14ac:dyDescent="0.45">
      <c r="A1720" s="4">
        <v>44577</v>
      </c>
      <c r="B1720" s="3">
        <v>155.35</v>
      </c>
      <c r="C1720" s="3">
        <v>345.67</v>
      </c>
      <c r="D1720" s="3">
        <v>115</v>
      </c>
      <c r="E1720" s="3">
        <v>1.4550000000000001</v>
      </c>
      <c r="F1720" s="3">
        <v>316.33</v>
      </c>
      <c r="G1720" s="3">
        <v>364.69</v>
      </c>
      <c r="H1720" s="3">
        <v>214.46</v>
      </c>
      <c r="I1720" s="3">
        <v>308.79000000000002</v>
      </c>
      <c r="J1720" s="3">
        <v>114.37</v>
      </c>
      <c r="K1720" s="3">
        <v>244</v>
      </c>
      <c r="L1720" s="3"/>
      <c r="N1720" s="4"/>
    </row>
    <row r="1721" spans="1:14" ht="17.5" thickBot="1" x14ac:dyDescent="0.45">
      <c r="A1721" s="4">
        <v>44578</v>
      </c>
      <c r="B1721" s="3">
        <v>154.46</v>
      </c>
      <c r="C1721" s="3">
        <v>345.62</v>
      </c>
      <c r="D1721" s="3">
        <v>114.72</v>
      </c>
      <c r="E1721" s="3">
        <v>1.4550000000000001</v>
      </c>
      <c r="F1721" s="3">
        <v>315.87</v>
      </c>
      <c r="G1721" s="3">
        <v>364.91</v>
      </c>
      <c r="H1721" s="3">
        <v>214.19</v>
      </c>
      <c r="I1721" s="3">
        <v>308.81</v>
      </c>
      <c r="J1721" s="3">
        <v>114.37</v>
      </c>
      <c r="K1721" s="3">
        <v>243.61</v>
      </c>
      <c r="L1721" s="3"/>
      <c r="N1721" s="4"/>
    </row>
    <row r="1722" spans="1:14" ht="17.5" thickBot="1" x14ac:dyDescent="0.45">
      <c r="A1722" s="4">
        <v>44579</v>
      </c>
      <c r="B1722" s="3">
        <v>153.91</v>
      </c>
      <c r="C1722" s="3">
        <v>342.47</v>
      </c>
      <c r="D1722" s="3">
        <v>114.36</v>
      </c>
      <c r="E1722" s="3">
        <v>1.4407000000000001</v>
      </c>
      <c r="F1722" s="3">
        <v>313.14999999999998</v>
      </c>
      <c r="G1722" s="3">
        <v>358.05</v>
      </c>
      <c r="H1722" s="3">
        <v>212.91</v>
      </c>
      <c r="I1722" s="3">
        <v>303.52</v>
      </c>
      <c r="J1722" s="3">
        <v>114.37</v>
      </c>
      <c r="K1722" s="3">
        <v>242.21</v>
      </c>
      <c r="L1722" s="3"/>
      <c r="N1722" s="4"/>
    </row>
    <row r="1723" spans="1:14" ht="17.5" thickBot="1" x14ac:dyDescent="0.45">
      <c r="A1723" s="4">
        <v>44580</v>
      </c>
      <c r="B1723" s="3">
        <v>153.66</v>
      </c>
      <c r="C1723" s="3">
        <v>338.46</v>
      </c>
      <c r="D1723" s="3">
        <v>114.27</v>
      </c>
      <c r="E1723" s="3">
        <v>1.4341999999999999</v>
      </c>
      <c r="F1723" s="3">
        <v>311.14999999999998</v>
      </c>
      <c r="G1723" s="3">
        <v>354.38</v>
      </c>
      <c r="H1723" s="3">
        <v>212.1</v>
      </c>
      <c r="I1723" s="3">
        <v>300.35000000000002</v>
      </c>
      <c r="J1723" s="3">
        <v>114.37</v>
      </c>
      <c r="K1723" s="3">
        <v>241.43</v>
      </c>
      <c r="L1723" s="3"/>
      <c r="N1723" s="4"/>
    </row>
    <row r="1724" spans="1:14" ht="17.5" thickBot="1" x14ac:dyDescent="0.45">
      <c r="A1724" s="4">
        <v>44581</v>
      </c>
      <c r="B1724" s="3">
        <v>159.22999999999999</v>
      </c>
      <c r="C1724" s="3">
        <v>339.88</v>
      </c>
      <c r="D1724" s="3">
        <v>114.54</v>
      </c>
      <c r="E1724" s="3">
        <v>1.4315</v>
      </c>
      <c r="F1724" s="3">
        <v>314.3</v>
      </c>
      <c r="G1724" s="3">
        <v>350.02</v>
      </c>
      <c r="H1724" s="3">
        <v>213.34</v>
      </c>
      <c r="I1724" s="3">
        <v>296.95</v>
      </c>
      <c r="J1724" s="3">
        <v>114.37</v>
      </c>
      <c r="K1724" s="3">
        <v>242.74</v>
      </c>
      <c r="L1724" s="3"/>
      <c r="N1724" s="4"/>
    </row>
    <row r="1725" spans="1:14" ht="17.5" thickBot="1" x14ac:dyDescent="0.45">
      <c r="A1725" s="4">
        <v>44582</v>
      </c>
      <c r="B1725" s="3">
        <v>158.97999999999999</v>
      </c>
      <c r="C1725" s="3">
        <v>335.2</v>
      </c>
      <c r="D1725" s="3">
        <v>114.36</v>
      </c>
      <c r="E1725" s="3">
        <v>1.4189000000000001</v>
      </c>
      <c r="F1725" s="3">
        <v>311.60000000000002</v>
      </c>
      <c r="G1725" s="3">
        <v>343.84</v>
      </c>
      <c r="H1725" s="3">
        <v>212.35</v>
      </c>
      <c r="I1725" s="3">
        <v>291.14999999999998</v>
      </c>
      <c r="J1725" s="3">
        <v>114.37</v>
      </c>
      <c r="K1725" s="3">
        <v>241.86</v>
      </c>
      <c r="L1725" s="3"/>
      <c r="N1725" s="4"/>
    </row>
    <row r="1726" spans="1:14" ht="17.5" thickBot="1" x14ac:dyDescent="0.45">
      <c r="A1726" s="4">
        <v>44583</v>
      </c>
      <c r="B1726" s="3">
        <v>158.97999999999999</v>
      </c>
      <c r="C1726" s="3">
        <v>335.2</v>
      </c>
      <c r="D1726" s="3">
        <v>114.36</v>
      </c>
      <c r="E1726" s="3">
        <v>1.4189000000000001</v>
      </c>
      <c r="F1726" s="3">
        <v>311.60000000000002</v>
      </c>
      <c r="G1726" s="3">
        <v>343.84</v>
      </c>
      <c r="H1726" s="3">
        <v>212.35</v>
      </c>
      <c r="I1726" s="3">
        <v>291.14999999999998</v>
      </c>
      <c r="J1726" s="3">
        <v>114.37</v>
      </c>
      <c r="K1726" s="3">
        <v>241.86</v>
      </c>
      <c r="L1726" s="3"/>
      <c r="N1726" s="4"/>
    </row>
    <row r="1727" spans="1:14" ht="17.5" thickBot="1" x14ac:dyDescent="0.45">
      <c r="A1727" s="4">
        <v>44584</v>
      </c>
      <c r="B1727" s="3">
        <v>158.97999999999999</v>
      </c>
      <c r="C1727" s="3">
        <v>335.2</v>
      </c>
      <c r="D1727" s="3">
        <v>114.36</v>
      </c>
      <c r="E1727" s="3">
        <v>1.4189000000000001</v>
      </c>
      <c r="F1727" s="3">
        <v>311.60000000000002</v>
      </c>
      <c r="G1727" s="3">
        <v>343.84</v>
      </c>
      <c r="H1727" s="3">
        <v>212.35</v>
      </c>
      <c r="I1727" s="3">
        <v>291.14999999999998</v>
      </c>
      <c r="J1727" s="3">
        <v>114.37</v>
      </c>
      <c r="K1727" s="3">
        <v>241.86</v>
      </c>
      <c r="L1727" s="3"/>
      <c r="N1727" s="4"/>
    </row>
    <row r="1728" spans="1:14" ht="17.5" thickBot="1" x14ac:dyDescent="0.45">
      <c r="A1728" s="4">
        <v>44585</v>
      </c>
      <c r="B1728" s="3">
        <v>157.31</v>
      </c>
      <c r="C1728" s="3">
        <v>331.49</v>
      </c>
      <c r="D1728" s="3">
        <v>114.08</v>
      </c>
      <c r="E1728" s="3">
        <v>1.4128000000000001</v>
      </c>
      <c r="F1728" s="3">
        <v>307.13</v>
      </c>
      <c r="G1728" s="3">
        <v>345.42</v>
      </c>
      <c r="H1728" s="3">
        <v>210.47</v>
      </c>
      <c r="I1728" s="3">
        <v>292.14</v>
      </c>
      <c r="J1728" s="3">
        <v>114.37</v>
      </c>
      <c r="K1728" s="3">
        <v>239.91</v>
      </c>
      <c r="L1728" s="3"/>
      <c r="N1728" s="4"/>
    </row>
    <row r="1729" spans="1:14" ht="17.5" thickBot="1" x14ac:dyDescent="0.45">
      <c r="A1729" s="4">
        <v>44586</v>
      </c>
      <c r="B1729" s="3">
        <v>154.72999999999999</v>
      </c>
      <c r="C1729" s="3">
        <v>326.48</v>
      </c>
      <c r="D1729" s="3">
        <v>114.17</v>
      </c>
      <c r="E1729" s="3">
        <v>1.4034</v>
      </c>
      <c r="F1729" s="3">
        <v>303.64999999999998</v>
      </c>
      <c r="G1729" s="3">
        <v>341.58</v>
      </c>
      <c r="H1729" s="3">
        <v>208.91</v>
      </c>
      <c r="I1729" s="3">
        <v>288.70999999999998</v>
      </c>
      <c r="J1729" s="3">
        <v>114.37</v>
      </c>
      <c r="K1729" s="3">
        <v>238.22</v>
      </c>
      <c r="L1729" s="3"/>
      <c r="N1729" s="4"/>
    </row>
    <row r="1730" spans="1:14" ht="17.5" thickBot="1" x14ac:dyDescent="0.45">
      <c r="A1730" s="4">
        <v>44587</v>
      </c>
      <c r="B1730" s="3">
        <v>154.77000000000001</v>
      </c>
      <c r="C1730" s="3">
        <v>326.24</v>
      </c>
      <c r="D1730" s="3">
        <v>114.16</v>
      </c>
      <c r="E1730" s="3">
        <v>1.4033</v>
      </c>
      <c r="F1730" s="3">
        <v>304.48</v>
      </c>
      <c r="G1730" s="3">
        <v>341.43</v>
      </c>
      <c r="H1730" s="3">
        <v>209.11</v>
      </c>
      <c r="I1730" s="3">
        <v>288.01</v>
      </c>
      <c r="J1730" s="3">
        <v>114.37</v>
      </c>
      <c r="K1730" s="3">
        <v>238.33</v>
      </c>
      <c r="L1730" s="3"/>
      <c r="N1730" s="4"/>
    </row>
    <row r="1731" spans="1:14" ht="17.5" thickBot="1" x14ac:dyDescent="0.45">
      <c r="A1731" s="4">
        <v>44588</v>
      </c>
      <c r="B1731" s="3">
        <v>151.69</v>
      </c>
      <c r="C1731" s="3">
        <v>321.45999999999998</v>
      </c>
      <c r="D1731" s="3">
        <v>113.62</v>
      </c>
      <c r="E1731" s="3">
        <v>1.3965000000000001</v>
      </c>
      <c r="F1731" s="3">
        <v>300.08</v>
      </c>
      <c r="G1731" s="3">
        <v>339.74</v>
      </c>
      <c r="H1731" s="3">
        <v>207.08</v>
      </c>
      <c r="I1731" s="3">
        <v>286.63</v>
      </c>
      <c r="J1731" s="3">
        <v>114.37</v>
      </c>
      <c r="K1731" s="3">
        <v>236.13</v>
      </c>
      <c r="L1731" s="3"/>
      <c r="N1731" s="4"/>
    </row>
    <row r="1732" spans="1:14" ht="17.5" thickBot="1" x14ac:dyDescent="0.45">
      <c r="A1732" s="4">
        <v>44589</v>
      </c>
      <c r="B1732" s="3">
        <v>150.24</v>
      </c>
      <c r="C1732" s="3">
        <v>324.81</v>
      </c>
      <c r="D1732" s="3">
        <v>113.44</v>
      </c>
      <c r="E1732" s="3">
        <v>1.4094</v>
      </c>
      <c r="F1732" s="3">
        <v>300.93</v>
      </c>
      <c r="G1732" s="3">
        <v>348.53</v>
      </c>
      <c r="H1732" s="3">
        <v>207.5</v>
      </c>
      <c r="I1732" s="3">
        <v>293.7</v>
      </c>
      <c r="J1732" s="3">
        <v>114.37</v>
      </c>
      <c r="K1732" s="3">
        <v>236.54</v>
      </c>
      <c r="L1732" s="3"/>
      <c r="N1732" s="4"/>
    </row>
    <row r="1733" spans="1:14" ht="17.5" thickBot="1" x14ac:dyDescent="0.45">
      <c r="A1733" s="4">
        <v>44590</v>
      </c>
      <c r="B1733" s="3">
        <v>150.24</v>
      </c>
      <c r="C1733" s="3">
        <v>324.81</v>
      </c>
      <c r="D1733" s="3">
        <v>113.44</v>
      </c>
      <c r="E1733" s="3">
        <v>1.4094</v>
      </c>
      <c r="F1733" s="3">
        <v>300.93</v>
      </c>
      <c r="G1733" s="3">
        <v>348.53</v>
      </c>
      <c r="H1733" s="3">
        <v>207.5</v>
      </c>
      <c r="I1733" s="3">
        <v>293.7</v>
      </c>
      <c r="J1733" s="3">
        <v>114.37</v>
      </c>
      <c r="K1733" s="3">
        <v>236.54</v>
      </c>
      <c r="L1733" s="3"/>
      <c r="N1733" s="4"/>
    </row>
    <row r="1734" spans="1:14" ht="17.5" thickBot="1" x14ac:dyDescent="0.45">
      <c r="A1734" s="4">
        <v>44591</v>
      </c>
      <c r="B1734" s="3">
        <v>150.24</v>
      </c>
      <c r="C1734" s="3">
        <v>324.81</v>
      </c>
      <c r="D1734" s="3">
        <v>113.44</v>
      </c>
      <c r="E1734" s="3">
        <v>1.4094</v>
      </c>
      <c r="F1734" s="3">
        <v>300.93</v>
      </c>
      <c r="G1734" s="3">
        <v>348.53</v>
      </c>
      <c r="H1734" s="3">
        <v>207.5</v>
      </c>
      <c r="I1734" s="3">
        <v>293.7</v>
      </c>
      <c r="J1734" s="3">
        <v>114.37</v>
      </c>
      <c r="K1734" s="3">
        <v>236.54</v>
      </c>
      <c r="L1734" s="3"/>
      <c r="N1734" s="4"/>
    </row>
    <row r="1735" spans="1:14" ht="17.5" thickBot="1" x14ac:dyDescent="0.45">
      <c r="A1735" s="4">
        <v>44592</v>
      </c>
      <c r="B1735" s="3">
        <v>152.16</v>
      </c>
      <c r="C1735" s="3">
        <v>325.3</v>
      </c>
      <c r="D1735" s="3">
        <v>113.7</v>
      </c>
      <c r="E1735" s="3">
        <v>1.4228000000000001</v>
      </c>
      <c r="F1735" s="3">
        <v>305.66000000000003</v>
      </c>
      <c r="G1735" s="3">
        <v>354.89</v>
      </c>
      <c r="H1735" s="3">
        <v>209.41</v>
      </c>
      <c r="I1735" s="3">
        <v>299.08</v>
      </c>
      <c r="J1735" s="3">
        <v>114.38</v>
      </c>
      <c r="K1735" s="3">
        <v>238.45</v>
      </c>
      <c r="L1735" s="3"/>
      <c r="N1735" s="4"/>
    </row>
    <row r="1736" spans="1:14" ht="17.5" thickBot="1" x14ac:dyDescent="0.45">
      <c r="A1736" s="4">
        <v>44593</v>
      </c>
      <c r="B1736" s="3">
        <v>152.16</v>
      </c>
      <c r="C1736" s="3">
        <v>325.3</v>
      </c>
      <c r="D1736" s="3">
        <v>113.7</v>
      </c>
      <c r="E1736" s="3">
        <v>1.4228000000000001</v>
      </c>
      <c r="F1736" s="3">
        <v>305.66000000000003</v>
      </c>
      <c r="G1736" s="3">
        <v>354.89</v>
      </c>
      <c r="H1736" s="3">
        <v>209.41</v>
      </c>
      <c r="I1736" s="3">
        <v>299.08</v>
      </c>
      <c r="J1736" s="3">
        <v>114.38</v>
      </c>
      <c r="K1736" s="3">
        <v>238.45</v>
      </c>
      <c r="L1736" s="3"/>
      <c r="N1736" s="4"/>
    </row>
    <row r="1737" spans="1:14" ht="17.5" thickBot="1" x14ac:dyDescent="0.45">
      <c r="A1737" s="4">
        <v>44594</v>
      </c>
      <c r="B1737" s="3">
        <v>152.16</v>
      </c>
      <c r="C1737" s="3">
        <v>325.3</v>
      </c>
      <c r="D1737" s="3">
        <v>113.7</v>
      </c>
      <c r="E1737" s="3">
        <v>1.4228000000000001</v>
      </c>
      <c r="F1737" s="3">
        <v>305.66000000000003</v>
      </c>
      <c r="G1737" s="3">
        <v>354.89</v>
      </c>
      <c r="H1737" s="3">
        <v>209.41</v>
      </c>
      <c r="I1737" s="3">
        <v>299.08</v>
      </c>
      <c r="J1737" s="3">
        <v>114.38</v>
      </c>
      <c r="K1737" s="3">
        <v>238.45</v>
      </c>
      <c r="L1737" s="3"/>
      <c r="N1737" s="4"/>
    </row>
    <row r="1738" spans="1:14" ht="17.5" thickBot="1" x14ac:dyDescent="0.45">
      <c r="A1738" s="4">
        <v>44595</v>
      </c>
      <c r="B1738" s="3">
        <v>152.16</v>
      </c>
      <c r="C1738" s="3">
        <v>325.3</v>
      </c>
      <c r="D1738" s="3">
        <v>113.7</v>
      </c>
      <c r="E1738" s="3">
        <v>1.4228000000000001</v>
      </c>
      <c r="F1738" s="3">
        <v>305.66000000000003</v>
      </c>
      <c r="G1738" s="3">
        <v>354.89</v>
      </c>
      <c r="H1738" s="3">
        <v>209.41</v>
      </c>
      <c r="I1738" s="3">
        <v>299.08</v>
      </c>
      <c r="J1738" s="3">
        <v>114.38</v>
      </c>
      <c r="K1738" s="3">
        <v>238.45</v>
      </c>
      <c r="L1738" s="3"/>
      <c r="N1738" s="4"/>
    </row>
    <row r="1739" spans="1:14" ht="17.5" thickBot="1" x14ac:dyDescent="0.45">
      <c r="A1739" s="4">
        <v>44596</v>
      </c>
      <c r="B1739" s="3">
        <v>156.65</v>
      </c>
      <c r="C1739" s="3">
        <v>330.77</v>
      </c>
      <c r="D1739" s="3">
        <v>113.88</v>
      </c>
      <c r="E1739" s="3">
        <v>1.4177</v>
      </c>
      <c r="F1739" s="3">
        <v>308.39</v>
      </c>
      <c r="G1739" s="3">
        <v>354.87</v>
      </c>
      <c r="H1739" s="3">
        <v>210.14</v>
      </c>
      <c r="I1739" s="3">
        <v>298.26</v>
      </c>
      <c r="J1739" s="3">
        <v>114.38</v>
      </c>
      <c r="K1739" s="3">
        <v>238.89</v>
      </c>
      <c r="L1739" s="3"/>
      <c r="N1739" s="4"/>
    </row>
    <row r="1740" spans="1:14" ht="17.5" thickBot="1" x14ac:dyDescent="0.45">
      <c r="A1740" s="4">
        <v>44597</v>
      </c>
      <c r="B1740" s="3">
        <v>156.65</v>
      </c>
      <c r="C1740" s="3">
        <v>330.77</v>
      </c>
      <c r="D1740" s="3">
        <v>113.88</v>
      </c>
      <c r="E1740" s="3">
        <v>1.4177</v>
      </c>
      <c r="F1740" s="3">
        <v>308.39</v>
      </c>
      <c r="G1740" s="3">
        <v>354.87</v>
      </c>
      <c r="H1740" s="3">
        <v>210.14</v>
      </c>
      <c r="I1740" s="3">
        <v>298.26</v>
      </c>
      <c r="J1740" s="3">
        <v>114.38</v>
      </c>
      <c r="K1740" s="3">
        <v>238.89</v>
      </c>
      <c r="L1740" s="3"/>
      <c r="N1740" s="4"/>
    </row>
    <row r="1741" spans="1:14" ht="17.5" thickBot="1" x14ac:dyDescent="0.45">
      <c r="A1741" s="4">
        <v>44598</v>
      </c>
      <c r="B1741" s="3">
        <v>156.65</v>
      </c>
      <c r="C1741" s="3">
        <v>330.77</v>
      </c>
      <c r="D1741" s="3">
        <v>113.88</v>
      </c>
      <c r="E1741" s="3">
        <v>1.4177</v>
      </c>
      <c r="F1741" s="3">
        <v>308.39</v>
      </c>
      <c r="G1741" s="3">
        <v>354.87</v>
      </c>
      <c r="H1741" s="3">
        <v>210.14</v>
      </c>
      <c r="I1741" s="3">
        <v>298.26</v>
      </c>
      <c r="J1741" s="3">
        <v>114.38</v>
      </c>
      <c r="K1741" s="3">
        <v>238.89</v>
      </c>
      <c r="L1741" s="3"/>
      <c r="N1741" s="4"/>
    </row>
    <row r="1742" spans="1:14" ht="17.5" thickBot="1" x14ac:dyDescent="0.45">
      <c r="A1742" s="4">
        <v>44599</v>
      </c>
      <c r="B1742" s="3">
        <v>156.47</v>
      </c>
      <c r="C1742" s="3">
        <v>329.58</v>
      </c>
      <c r="D1742" s="3">
        <v>113.78</v>
      </c>
      <c r="E1742" s="3">
        <v>1.4168000000000001</v>
      </c>
      <c r="F1742" s="3">
        <v>308.20999999999998</v>
      </c>
      <c r="G1742" s="3">
        <v>353.35</v>
      </c>
      <c r="H1742" s="3">
        <v>209.95</v>
      </c>
      <c r="I1742" s="3">
        <v>297.26</v>
      </c>
      <c r="J1742" s="3">
        <v>114.38</v>
      </c>
      <c r="K1742" s="3">
        <v>238.64</v>
      </c>
      <c r="L1742" s="3"/>
      <c r="N1742" s="4"/>
    </row>
    <row r="1743" spans="1:14" ht="17.5" thickBot="1" x14ac:dyDescent="0.45">
      <c r="A1743" s="4">
        <v>44600</v>
      </c>
      <c r="B1743" s="3">
        <v>155.27000000000001</v>
      </c>
      <c r="C1743" s="3">
        <v>330.83</v>
      </c>
      <c r="D1743" s="3">
        <v>113.69</v>
      </c>
      <c r="E1743" s="3">
        <v>1.4195</v>
      </c>
      <c r="F1743" s="3">
        <v>307.7</v>
      </c>
      <c r="G1743" s="3">
        <v>357.02</v>
      </c>
      <c r="H1743" s="3">
        <v>209.62</v>
      </c>
      <c r="I1743" s="3">
        <v>299.69</v>
      </c>
      <c r="J1743" s="3">
        <v>114.38</v>
      </c>
      <c r="K1743" s="3">
        <v>238.17</v>
      </c>
      <c r="L1743" s="3"/>
      <c r="N1743" s="4"/>
    </row>
    <row r="1744" spans="1:14" ht="17.5" thickBot="1" x14ac:dyDescent="0.45">
      <c r="A1744" s="4">
        <v>44601</v>
      </c>
      <c r="B1744" s="3">
        <v>158.28</v>
      </c>
      <c r="C1744" s="3">
        <v>334.95</v>
      </c>
      <c r="D1744" s="3">
        <v>113.77</v>
      </c>
      <c r="E1744" s="3">
        <v>1.4337</v>
      </c>
      <c r="F1744" s="3">
        <v>312.58999999999997</v>
      </c>
      <c r="G1744" s="3">
        <v>361.95</v>
      </c>
      <c r="H1744" s="3">
        <v>211.69</v>
      </c>
      <c r="I1744" s="3">
        <v>304.01</v>
      </c>
      <c r="J1744" s="3">
        <v>114.38</v>
      </c>
      <c r="K1744" s="3">
        <v>240.38</v>
      </c>
      <c r="L1744" s="3"/>
      <c r="N1744" s="4"/>
    </row>
    <row r="1745" spans="1:14" ht="17.5" thickBot="1" x14ac:dyDescent="0.45">
      <c r="A1745" s="4">
        <v>44602</v>
      </c>
      <c r="B1745" s="3">
        <v>158.77000000000001</v>
      </c>
      <c r="C1745" s="3">
        <v>337.79</v>
      </c>
      <c r="D1745" s="3">
        <v>114.04</v>
      </c>
      <c r="E1745" s="3">
        <v>1.4224000000000001</v>
      </c>
      <c r="F1745" s="3">
        <v>312.64999999999998</v>
      </c>
      <c r="G1745" s="3">
        <v>355.37</v>
      </c>
      <c r="H1745" s="3">
        <v>211.5</v>
      </c>
      <c r="I1745" s="3">
        <v>298.66000000000003</v>
      </c>
      <c r="J1745" s="3">
        <v>114.38</v>
      </c>
      <c r="K1745" s="3">
        <v>240</v>
      </c>
      <c r="L1745" s="3"/>
      <c r="N1745" s="4"/>
    </row>
    <row r="1746" spans="1:14" ht="17.5" thickBot="1" x14ac:dyDescent="0.45">
      <c r="A1746" s="4">
        <v>44603</v>
      </c>
      <c r="B1746" s="3">
        <v>158.63</v>
      </c>
      <c r="C1746" s="3">
        <v>335.89</v>
      </c>
      <c r="D1746" s="3">
        <v>113.68</v>
      </c>
      <c r="E1746" s="3">
        <v>1.4113</v>
      </c>
      <c r="F1746" s="3">
        <v>310.57</v>
      </c>
      <c r="G1746" s="3">
        <v>349.27</v>
      </c>
      <c r="H1746" s="3">
        <v>210.62</v>
      </c>
      <c r="I1746" s="3">
        <v>292.91000000000003</v>
      </c>
      <c r="J1746" s="3">
        <v>114.38</v>
      </c>
      <c r="K1746" s="3">
        <v>239.14</v>
      </c>
      <c r="L1746" s="3"/>
      <c r="N1746" s="4"/>
    </row>
    <row r="1747" spans="1:14" ht="17.5" thickBot="1" x14ac:dyDescent="0.45">
      <c r="A1747" s="4">
        <v>44604</v>
      </c>
      <c r="B1747" s="3">
        <v>158.63</v>
      </c>
      <c r="C1747" s="3">
        <v>335.89</v>
      </c>
      <c r="D1747" s="3">
        <v>113.68</v>
      </c>
      <c r="E1747" s="3">
        <v>1.4113</v>
      </c>
      <c r="F1747" s="3">
        <v>310.57</v>
      </c>
      <c r="G1747" s="3">
        <v>349.27</v>
      </c>
      <c r="H1747" s="3">
        <v>210.62</v>
      </c>
      <c r="I1747" s="3">
        <v>292.91000000000003</v>
      </c>
      <c r="J1747" s="3">
        <v>114.38</v>
      </c>
      <c r="K1747" s="3">
        <v>239.14</v>
      </c>
      <c r="L1747" s="3"/>
      <c r="N1747" s="4"/>
    </row>
    <row r="1748" spans="1:14" ht="17.5" thickBot="1" x14ac:dyDescent="0.45">
      <c r="A1748" s="4">
        <v>44605</v>
      </c>
      <c r="B1748" s="3">
        <v>158.63</v>
      </c>
      <c r="C1748" s="3">
        <v>335.89</v>
      </c>
      <c r="D1748" s="3">
        <v>113.68</v>
      </c>
      <c r="E1748" s="3">
        <v>1.4113</v>
      </c>
      <c r="F1748" s="3">
        <v>310.57</v>
      </c>
      <c r="G1748" s="3">
        <v>349.27</v>
      </c>
      <c r="H1748" s="3">
        <v>210.62</v>
      </c>
      <c r="I1748" s="3">
        <v>292.91000000000003</v>
      </c>
      <c r="J1748" s="3">
        <v>114.38</v>
      </c>
      <c r="K1748" s="3">
        <v>239.14</v>
      </c>
      <c r="L1748" s="3"/>
      <c r="N1748" s="4"/>
    </row>
    <row r="1749" spans="1:14" ht="17.5" thickBot="1" x14ac:dyDescent="0.45">
      <c r="A1749" s="4">
        <v>44606</v>
      </c>
      <c r="B1749" s="3">
        <v>156.51</v>
      </c>
      <c r="C1749" s="3">
        <v>331.02</v>
      </c>
      <c r="D1749" s="3">
        <v>113.58</v>
      </c>
      <c r="E1749" s="3">
        <v>1.4023000000000001</v>
      </c>
      <c r="F1749" s="3">
        <v>305.88</v>
      </c>
      <c r="G1749" s="3">
        <v>347.79</v>
      </c>
      <c r="H1749" s="3">
        <v>208.51</v>
      </c>
      <c r="I1749" s="3">
        <v>291.95</v>
      </c>
      <c r="J1749" s="3">
        <v>114.38</v>
      </c>
      <c r="K1749" s="3">
        <v>236.81</v>
      </c>
      <c r="L1749" s="3"/>
      <c r="N1749" s="4"/>
    </row>
    <row r="1750" spans="1:14" ht="17.5" thickBot="1" x14ac:dyDescent="0.45">
      <c r="A1750" s="4">
        <v>44607</v>
      </c>
      <c r="B1750" s="3">
        <v>155.11000000000001</v>
      </c>
      <c r="C1750" s="3">
        <v>331.32</v>
      </c>
      <c r="D1750" s="3">
        <v>113.58</v>
      </c>
      <c r="E1750" s="3">
        <v>1.4116</v>
      </c>
      <c r="F1750" s="3">
        <v>307.02</v>
      </c>
      <c r="G1750" s="3">
        <v>353.51</v>
      </c>
      <c r="H1750" s="3">
        <v>208.92</v>
      </c>
      <c r="I1750" s="3">
        <v>296.64</v>
      </c>
      <c r="J1750" s="3">
        <v>114.38</v>
      </c>
      <c r="K1750" s="3">
        <v>237.17</v>
      </c>
      <c r="L1750" s="3"/>
      <c r="N1750" s="4"/>
    </row>
    <row r="1751" spans="1:14" ht="17.5" thickBot="1" x14ac:dyDescent="0.45">
      <c r="A1751" s="4">
        <v>44608</v>
      </c>
      <c r="B1751" s="3">
        <v>157.4</v>
      </c>
      <c r="C1751" s="3">
        <v>335.56</v>
      </c>
      <c r="D1751" s="3">
        <v>113.76</v>
      </c>
      <c r="E1751" s="3">
        <v>1.415</v>
      </c>
      <c r="F1751" s="3">
        <v>309.87</v>
      </c>
      <c r="G1751" s="3">
        <v>354.33</v>
      </c>
      <c r="H1751" s="3">
        <v>210.14</v>
      </c>
      <c r="I1751" s="3">
        <v>296.91000000000003</v>
      </c>
      <c r="J1751" s="3">
        <v>114.38</v>
      </c>
      <c r="K1751" s="3">
        <v>238.46</v>
      </c>
      <c r="L1751" s="3"/>
      <c r="N1751" s="4"/>
    </row>
    <row r="1752" spans="1:14" ht="17.5" thickBot="1" x14ac:dyDescent="0.45">
      <c r="A1752" s="4">
        <v>44609</v>
      </c>
      <c r="B1752" s="3">
        <v>157.94</v>
      </c>
      <c r="C1752" s="3">
        <v>335.76</v>
      </c>
      <c r="D1752" s="3">
        <v>113.94</v>
      </c>
      <c r="E1752" s="3">
        <v>1.4041999999999999</v>
      </c>
      <c r="F1752" s="3">
        <v>308.44</v>
      </c>
      <c r="G1752" s="3">
        <v>346.71</v>
      </c>
      <c r="H1752" s="3">
        <v>209.63</v>
      </c>
      <c r="I1752" s="3">
        <v>290.69</v>
      </c>
      <c r="J1752" s="3">
        <v>114.38</v>
      </c>
      <c r="K1752" s="3">
        <v>238.03</v>
      </c>
      <c r="L1752" s="3"/>
      <c r="N1752" s="4"/>
    </row>
    <row r="1753" spans="1:14" ht="17.5" thickBot="1" x14ac:dyDescent="0.45">
      <c r="A1753" s="4">
        <v>44610</v>
      </c>
      <c r="B1753" s="3">
        <v>155.22</v>
      </c>
      <c r="C1753" s="3">
        <v>333.37</v>
      </c>
      <c r="D1753" s="3">
        <v>113.93</v>
      </c>
      <c r="E1753" s="3">
        <v>1.399</v>
      </c>
      <c r="F1753" s="3">
        <v>305.7</v>
      </c>
      <c r="G1753" s="3">
        <v>344.49</v>
      </c>
      <c r="H1753" s="3">
        <v>208.61</v>
      </c>
      <c r="I1753" s="3">
        <v>288.68</v>
      </c>
      <c r="J1753" s="3">
        <v>114.38</v>
      </c>
      <c r="K1753" s="3">
        <v>237.03</v>
      </c>
      <c r="L1753" s="3"/>
      <c r="N1753" s="4"/>
    </row>
    <row r="1754" spans="1:14" ht="17.5" thickBot="1" x14ac:dyDescent="0.45">
      <c r="A1754" s="4">
        <v>44611</v>
      </c>
      <c r="B1754" s="3">
        <v>155.22</v>
      </c>
      <c r="C1754" s="3">
        <v>333.37</v>
      </c>
      <c r="D1754" s="3">
        <v>113.93</v>
      </c>
      <c r="E1754" s="3">
        <v>1.399</v>
      </c>
      <c r="F1754" s="3">
        <v>305.7</v>
      </c>
      <c r="G1754" s="3">
        <v>344.49</v>
      </c>
      <c r="H1754" s="3">
        <v>208.61</v>
      </c>
      <c r="I1754" s="3">
        <v>288.68</v>
      </c>
      <c r="J1754" s="3">
        <v>114.38</v>
      </c>
      <c r="K1754" s="3">
        <v>237.03</v>
      </c>
      <c r="L1754" s="3"/>
      <c r="N1754" s="4"/>
    </row>
    <row r="1755" spans="1:14" ht="17.5" thickBot="1" x14ac:dyDescent="0.45">
      <c r="A1755" s="4">
        <v>44612</v>
      </c>
      <c r="B1755" s="3">
        <v>155.22</v>
      </c>
      <c r="C1755" s="3">
        <v>333.37</v>
      </c>
      <c r="D1755" s="3">
        <v>113.93</v>
      </c>
      <c r="E1755" s="3">
        <v>1.399</v>
      </c>
      <c r="F1755" s="3">
        <v>305.7</v>
      </c>
      <c r="G1755" s="3">
        <v>344.49</v>
      </c>
      <c r="H1755" s="3">
        <v>208.61</v>
      </c>
      <c r="I1755" s="3">
        <v>288.68</v>
      </c>
      <c r="J1755" s="3">
        <v>114.38</v>
      </c>
      <c r="K1755" s="3">
        <v>237.03</v>
      </c>
      <c r="L1755" s="3"/>
      <c r="N1755" s="4"/>
    </row>
    <row r="1756" spans="1:14" ht="17.5" thickBot="1" x14ac:dyDescent="0.45">
      <c r="A1756" s="4">
        <v>44613</v>
      </c>
      <c r="B1756" s="3">
        <v>154.28</v>
      </c>
      <c r="C1756" s="3">
        <v>333.13</v>
      </c>
      <c r="D1756" s="3">
        <v>114.11</v>
      </c>
      <c r="E1756" s="3">
        <v>1.3963000000000001</v>
      </c>
      <c r="F1756" s="3">
        <v>303.68</v>
      </c>
      <c r="G1756" s="3">
        <v>344.43</v>
      </c>
      <c r="H1756" s="3">
        <v>207.8</v>
      </c>
      <c r="I1756" s="3">
        <v>288.68</v>
      </c>
      <c r="J1756" s="3">
        <v>114.38</v>
      </c>
      <c r="K1756" s="3">
        <v>236.18</v>
      </c>
      <c r="L1756" s="3"/>
      <c r="N1756" s="4"/>
    </row>
    <row r="1757" spans="1:14" ht="17.5" thickBot="1" x14ac:dyDescent="0.45">
      <c r="A1757" s="4">
        <v>44614</v>
      </c>
      <c r="B1757" s="3">
        <v>149.77000000000001</v>
      </c>
      <c r="C1757" s="3">
        <v>329.41</v>
      </c>
      <c r="D1757" s="3">
        <v>114.2</v>
      </c>
      <c r="E1757" s="3">
        <v>1.3879999999999999</v>
      </c>
      <c r="F1757" s="3">
        <v>299.76</v>
      </c>
      <c r="G1757" s="3">
        <v>340.66</v>
      </c>
      <c r="H1757" s="3">
        <v>206.07</v>
      </c>
      <c r="I1757" s="3">
        <v>285.5</v>
      </c>
      <c r="J1757" s="3">
        <v>114.38</v>
      </c>
      <c r="K1757" s="3">
        <v>234.32</v>
      </c>
      <c r="L1757" s="3"/>
      <c r="N1757" s="4"/>
    </row>
    <row r="1758" spans="1:14" ht="17.5" thickBot="1" x14ac:dyDescent="0.45">
      <c r="A1758" s="4">
        <v>44615</v>
      </c>
      <c r="B1758" s="3">
        <v>150.94</v>
      </c>
      <c r="C1758" s="3">
        <v>329.71</v>
      </c>
      <c r="D1758" s="3">
        <v>114.19</v>
      </c>
      <c r="E1758" s="3">
        <v>1.3784000000000001</v>
      </c>
      <c r="F1758" s="3">
        <v>298.91000000000003</v>
      </c>
      <c r="G1758" s="3">
        <v>334.54</v>
      </c>
      <c r="H1758" s="3">
        <v>205.65</v>
      </c>
      <c r="I1758" s="3">
        <v>280.33</v>
      </c>
      <c r="J1758" s="3">
        <v>114.38</v>
      </c>
      <c r="K1758" s="3">
        <v>233.88</v>
      </c>
      <c r="L1758" s="3"/>
      <c r="N1758" s="4"/>
    </row>
    <row r="1759" spans="1:14" ht="17.5" thickBot="1" x14ac:dyDescent="0.45">
      <c r="A1759" s="4">
        <v>44616</v>
      </c>
      <c r="B1759" s="3">
        <v>146.28</v>
      </c>
      <c r="C1759" s="3">
        <v>317.60000000000002</v>
      </c>
      <c r="D1759" s="3">
        <v>113.56</v>
      </c>
      <c r="E1759" s="3">
        <v>1.3751</v>
      </c>
      <c r="F1759" s="3">
        <v>291.73</v>
      </c>
      <c r="G1759" s="3">
        <v>339.51</v>
      </c>
      <c r="H1759" s="3">
        <v>202.55</v>
      </c>
      <c r="I1759" s="3">
        <v>284.88</v>
      </c>
      <c r="J1759" s="3">
        <v>114.38</v>
      </c>
      <c r="K1759" s="3">
        <v>230.55</v>
      </c>
      <c r="L1759" s="3"/>
      <c r="N1759" s="4"/>
    </row>
    <row r="1760" spans="1:14" ht="17.5" thickBot="1" x14ac:dyDescent="0.45">
      <c r="A1760" s="4">
        <v>44617</v>
      </c>
      <c r="B1760" s="3">
        <v>145.37</v>
      </c>
      <c r="C1760" s="3">
        <v>321.32</v>
      </c>
      <c r="D1760" s="3">
        <v>113.92</v>
      </c>
      <c r="E1760" s="3">
        <v>1.3940999999999999</v>
      </c>
      <c r="F1760" s="3">
        <v>295.83999999999997</v>
      </c>
      <c r="G1760" s="3">
        <v>347.45</v>
      </c>
      <c r="H1760" s="3">
        <v>204.35</v>
      </c>
      <c r="I1760" s="3">
        <v>291.13</v>
      </c>
      <c r="J1760" s="3">
        <v>114.38</v>
      </c>
      <c r="K1760" s="3">
        <v>232.44</v>
      </c>
      <c r="L1760" s="3"/>
      <c r="N1760" s="4"/>
    </row>
    <row r="1761" spans="1:14" ht="17.5" thickBot="1" x14ac:dyDescent="0.45">
      <c r="A1761" s="4">
        <v>44618</v>
      </c>
      <c r="B1761" s="3">
        <v>145.37</v>
      </c>
      <c r="C1761" s="3">
        <v>321.32</v>
      </c>
      <c r="D1761" s="3">
        <v>113.92</v>
      </c>
      <c r="E1761" s="3">
        <v>1.3940999999999999</v>
      </c>
      <c r="F1761" s="3">
        <v>295.83999999999997</v>
      </c>
      <c r="G1761" s="3">
        <v>347.45</v>
      </c>
      <c r="H1761" s="3">
        <v>204.35</v>
      </c>
      <c r="I1761" s="3">
        <v>291.13</v>
      </c>
      <c r="J1761" s="3">
        <v>114.38</v>
      </c>
      <c r="K1761" s="3">
        <v>232.44</v>
      </c>
      <c r="L1761" s="3"/>
      <c r="N1761" s="4"/>
    </row>
    <row r="1762" spans="1:14" ht="17.5" thickBot="1" x14ac:dyDescent="0.45">
      <c r="A1762" s="4">
        <v>44619</v>
      </c>
      <c r="B1762" s="3">
        <v>145.37</v>
      </c>
      <c r="C1762" s="3">
        <v>321.32</v>
      </c>
      <c r="D1762" s="3">
        <v>113.92</v>
      </c>
      <c r="E1762" s="3">
        <v>1.3940999999999999</v>
      </c>
      <c r="F1762" s="3">
        <v>295.83999999999997</v>
      </c>
      <c r="G1762" s="3">
        <v>347.45</v>
      </c>
      <c r="H1762" s="3">
        <v>204.35</v>
      </c>
      <c r="I1762" s="3">
        <v>291.13</v>
      </c>
      <c r="J1762" s="3">
        <v>114.38</v>
      </c>
      <c r="K1762" s="3">
        <v>232.44</v>
      </c>
      <c r="L1762" s="3"/>
      <c r="N1762" s="4"/>
    </row>
    <row r="1763" spans="1:14" ht="17.5" thickBot="1" x14ac:dyDescent="0.45">
      <c r="A1763" s="4">
        <v>44620</v>
      </c>
      <c r="B1763" s="3">
        <v>145.07</v>
      </c>
      <c r="C1763" s="3">
        <v>323.01</v>
      </c>
      <c r="D1763" s="3">
        <v>114.09</v>
      </c>
      <c r="E1763" s="3">
        <v>1.3976</v>
      </c>
      <c r="F1763" s="3">
        <v>295.92</v>
      </c>
      <c r="G1763" s="3">
        <v>347.16</v>
      </c>
      <c r="H1763" s="3">
        <v>204.66</v>
      </c>
      <c r="I1763" s="3">
        <v>290.64999999999998</v>
      </c>
      <c r="J1763" s="3">
        <v>114.39</v>
      </c>
      <c r="K1763" s="3">
        <v>232.93</v>
      </c>
      <c r="L1763" s="3"/>
      <c r="N1763" s="4"/>
    </row>
    <row r="1764" spans="1:14" ht="17.5" thickBot="1" x14ac:dyDescent="0.45">
      <c r="A1764" s="4">
        <v>44621</v>
      </c>
      <c r="B1764" s="3">
        <v>145.15</v>
      </c>
      <c r="C1764" s="3">
        <v>324.48</v>
      </c>
      <c r="D1764" s="3">
        <v>114.27</v>
      </c>
      <c r="E1764" s="3">
        <v>1.3923000000000001</v>
      </c>
      <c r="F1764" s="3">
        <v>294.31</v>
      </c>
      <c r="G1764" s="3">
        <v>341.89</v>
      </c>
      <c r="H1764" s="3">
        <v>204.39</v>
      </c>
      <c r="I1764" s="3">
        <v>286.18</v>
      </c>
      <c r="J1764" s="3">
        <v>114.39</v>
      </c>
      <c r="K1764" s="3">
        <v>232.92</v>
      </c>
      <c r="L1764" s="3"/>
      <c r="N1764" s="4"/>
    </row>
    <row r="1765" spans="1:14" ht="17.5" thickBot="1" x14ac:dyDescent="0.45">
      <c r="A1765" s="4">
        <v>44622</v>
      </c>
      <c r="B1765" s="3">
        <v>142.72999999999999</v>
      </c>
      <c r="C1765" s="3">
        <v>321.67</v>
      </c>
      <c r="D1765" s="3">
        <v>114.45</v>
      </c>
      <c r="E1765" s="3">
        <v>1.3951</v>
      </c>
      <c r="F1765" s="3">
        <v>292.08999999999997</v>
      </c>
      <c r="G1765" s="3">
        <v>348.42</v>
      </c>
      <c r="H1765" s="3">
        <v>203.04</v>
      </c>
      <c r="I1765" s="3">
        <v>291.45</v>
      </c>
      <c r="J1765" s="3">
        <v>114.39</v>
      </c>
      <c r="K1765" s="3">
        <v>231.25</v>
      </c>
      <c r="L1765" s="3"/>
      <c r="N1765" s="4"/>
    </row>
    <row r="1766" spans="1:14" ht="17.5" thickBot="1" x14ac:dyDescent="0.45">
      <c r="A1766" s="4">
        <v>44623</v>
      </c>
      <c r="B1766" s="3">
        <v>143.53</v>
      </c>
      <c r="C1766" s="3">
        <v>324.36</v>
      </c>
      <c r="D1766" s="3">
        <v>114.45</v>
      </c>
      <c r="E1766" s="3">
        <v>1.3907</v>
      </c>
      <c r="F1766" s="3">
        <v>291.68</v>
      </c>
      <c r="G1766" s="3">
        <v>346.75</v>
      </c>
      <c r="H1766" s="3">
        <v>202.74</v>
      </c>
      <c r="I1766" s="3">
        <v>290.01</v>
      </c>
      <c r="J1766" s="3">
        <v>114.39</v>
      </c>
      <c r="K1766" s="3">
        <v>230.95</v>
      </c>
      <c r="L1766" s="3"/>
      <c r="N1766" s="4"/>
    </row>
    <row r="1767" spans="1:14" ht="17.5" thickBot="1" x14ac:dyDescent="0.45">
      <c r="A1767" s="4">
        <v>44624</v>
      </c>
      <c r="B1767" s="3">
        <v>139.88999999999999</v>
      </c>
      <c r="C1767" s="3">
        <v>319.81</v>
      </c>
      <c r="D1767" s="3">
        <v>114.44</v>
      </c>
      <c r="E1767" s="3">
        <v>1.38</v>
      </c>
      <c r="F1767" s="3">
        <v>284.92</v>
      </c>
      <c r="G1767" s="3">
        <v>343.5</v>
      </c>
      <c r="H1767" s="3">
        <v>200.04</v>
      </c>
      <c r="I1767" s="3">
        <v>287.64</v>
      </c>
      <c r="J1767" s="3">
        <v>114.39</v>
      </c>
      <c r="K1767" s="3">
        <v>228.3</v>
      </c>
      <c r="L1767" s="3"/>
      <c r="N1767" s="4"/>
    </row>
    <row r="1768" spans="1:14" ht="17.5" thickBot="1" x14ac:dyDescent="0.45">
      <c r="A1768" s="4">
        <v>44625</v>
      </c>
      <c r="B1768" s="3">
        <v>139.88999999999999</v>
      </c>
      <c r="C1768" s="3">
        <v>319.81</v>
      </c>
      <c r="D1768" s="3">
        <v>114.44</v>
      </c>
      <c r="E1768" s="3">
        <v>1.38</v>
      </c>
      <c r="F1768" s="3">
        <v>284.92</v>
      </c>
      <c r="G1768" s="3">
        <v>343.5</v>
      </c>
      <c r="H1768" s="3">
        <v>200.04</v>
      </c>
      <c r="I1768" s="3">
        <v>287.64</v>
      </c>
      <c r="J1768" s="3">
        <v>114.39</v>
      </c>
      <c r="K1768" s="3">
        <v>228.3</v>
      </c>
      <c r="L1768" s="3"/>
      <c r="N1768" s="4"/>
    </row>
    <row r="1769" spans="1:14" ht="17.5" thickBot="1" x14ac:dyDescent="0.45">
      <c r="A1769" s="4">
        <v>44626</v>
      </c>
      <c r="B1769" s="3">
        <v>139.88999999999999</v>
      </c>
      <c r="C1769" s="3">
        <v>319.81</v>
      </c>
      <c r="D1769" s="3">
        <v>114.44</v>
      </c>
      <c r="E1769" s="3">
        <v>1.38</v>
      </c>
      <c r="F1769" s="3">
        <v>284.92</v>
      </c>
      <c r="G1769" s="3">
        <v>343.5</v>
      </c>
      <c r="H1769" s="3">
        <v>200.04</v>
      </c>
      <c r="I1769" s="3">
        <v>287.64</v>
      </c>
      <c r="J1769" s="3">
        <v>114.39</v>
      </c>
      <c r="K1769" s="3">
        <v>228.3</v>
      </c>
      <c r="L1769" s="3"/>
      <c r="N1769" s="4"/>
    </row>
    <row r="1770" spans="1:14" ht="17.5" thickBot="1" x14ac:dyDescent="0.45">
      <c r="A1770" s="4">
        <v>44627</v>
      </c>
      <c r="B1770" s="3">
        <v>134.59</v>
      </c>
      <c r="C1770" s="3">
        <v>311.94</v>
      </c>
      <c r="D1770" s="3">
        <v>114.26</v>
      </c>
      <c r="E1770" s="3">
        <v>1.3569</v>
      </c>
      <c r="F1770" s="3">
        <v>276.77</v>
      </c>
      <c r="G1770" s="3">
        <v>333.39</v>
      </c>
      <c r="H1770" s="3">
        <v>196.3</v>
      </c>
      <c r="I1770" s="3">
        <v>279.08</v>
      </c>
      <c r="J1770" s="3">
        <v>114.39</v>
      </c>
      <c r="K1770" s="3">
        <v>224.32</v>
      </c>
      <c r="L1770" s="3"/>
      <c r="N1770" s="4"/>
    </row>
    <row r="1771" spans="1:14" ht="17.5" thickBot="1" x14ac:dyDescent="0.45">
      <c r="A1771" s="4">
        <v>44628</v>
      </c>
      <c r="B1771" s="3">
        <v>132.51</v>
      </c>
      <c r="C1771" s="3">
        <v>308.04000000000002</v>
      </c>
      <c r="D1771" s="3">
        <v>113.54</v>
      </c>
      <c r="E1771" s="3">
        <v>1.3468</v>
      </c>
      <c r="F1771" s="3">
        <v>273.89999999999998</v>
      </c>
      <c r="G1771" s="3">
        <v>331.91</v>
      </c>
      <c r="H1771" s="3">
        <v>194.66</v>
      </c>
      <c r="I1771" s="3">
        <v>277.19</v>
      </c>
      <c r="J1771" s="3">
        <v>114.39</v>
      </c>
      <c r="K1771" s="3">
        <v>222.47</v>
      </c>
      <c r="L1771" s="3"/>
      <c r="N1771" s="4"/>
    </row>
    <row r="1772" spans="1:14" ht="17.5" thickBot="1" x14ac:dyDescent="0.45">
      <c r="A1772" s="4">
        <v>44629</v>
      </c>
      <c r="B1772" s="3">
        <v>131.9</v>
      </c>
      <c r="C1772" s="3">
        <v>312.75</v>
      </c>
      <c r="D1772" s="3">
        <v>113.53</v>
      </c>
      <c r="E1772" s="3">
        <v>1.3665</v>
      </c>
      <c r="F1772" s="3">
        <v>279.81</v>
      </c>
      <c r="G1772" s="3">
        <v>340.59</v>
      </c>
      <c r="H1772" s="3">
        <v>196.79</v>
      </c>
      <c r="I1772" s="3">
        <v>284.55</v>
      </c>
      <c r="J1772" s="3">
        <v>114.39</v>
      </c>
      <c r="K1772" s="3">
        <v>224.61</v>
      </c>
      <c r="L1772" s="3"/>
      <c r="N1772" s="4"/>
    </row>
    <row r="1773" spans="1:14" ht="17.5" thickBot="1" x14ac:dyDescent="0.45">
      <c r="A1773" s="4">
        <v>44630</v>
      </c>
      <c r="B1773" s="3">
        <v>133.82</v>
      </c>
      <c r="C1773" s="3">
        <v>318.31</v>
      </c>
      <c r="D1773" s="3">
        <v>113.62</v>
      </c>
      <c r="E1773" s="3">
        <v>1.3631</v>
      </c>
      <c r="F1773" s="3">
        <v>279.27</v>
      </c>
      <c r="G1773" s="3">
        <v>339.17</v>
      </c>
      <c r="H1773" s="3">
        <v>196.67</v>
      </c>
      <c r="I1773" s="3">
        <v>283.24</v>
      </c>
      <c r="J1773" s="3">
        <v>114.39</v>
      </c>
      <c r="K1773" s="3">
        <v>224.29</v>
      </c>
      <c r="L1773" s="3"/>
      <c r="N1773" s="4"/>
    </row>
    <row r="1774" spans="1:14" ht="17.5" thickBot="1" x14ac:dyDescent="0.45">
      <c r="A1774" s="4">
        <v>44631</v>
      </c>
      <c r="B1774" s="3">
        <v>131.97999999999999</v>
      </c>
      <c r="C1774" s="3">
        <v>314.51</v>
      </c>
      <c r="D1774" s="3">
        <v>113.26</v>
      </c>
      <c r="E1774" s="3">
        <v>1.3548</v>
      </c>
      <c r="F1774" s="3">
        <v>275.82</v>
      </c>
      <c r="G1774" s="3">
        <v>335.2</v>
      </c>
      <c r="H1774" s="3">
        <v>195.02</v>
      </c>
      <c r="I1774" s="3">
        <v>279.83</v>
      </c>
      <c r="J1774" s="3">
        <v>114.39</v>
      </c>
      <c r="K1774" s="3">
        <v>222.61</v>
      </c>
      <c r="L1774" s="3"/>
      <c r="N1774" s="4"/>
    </row>
    <row r="1775" spans="1:14" ht="17.5" thickBot="1" x14ac:dyDescent="0.45">
      <c r="A1775" s="4">
        <v>44632</v>
      </c>
      <c r="B1775" s="3">
        <v>131.97999999999999</v>
      </c>
      <c r="C1775" s="3">
        <v>314.51</v>
      </c>
      <c r="D1775" s="3">
        <v>113.26</v>
      </c>
      <c r="E1775" s="3">
        <v>1.3548</v>
      </c>
      <c r="F1775" s="3">
        <v>275.82</v>
      </c>
      <c r="G1775" s="3">
        <v>335.2</v>
      </c>
      <c r="H1775" s="3">
        <v>195.02</v>
      </c>
      <c r="I1775" s="3">
        <v>279.83</v>
      </c>
      <c r="J1775" s="3">
        <v>114.39</v>
      </c>
      <c r="K1775" s="3">
        <v>222.61</v>
      </c>
      <c r="L1775" s="3"/>
      <c r="N1775" s="4"/>
    </row>
    <row r="1776" spans="1:14" ht="17.5" thickBot="1" x14ac:dyDescent="0.45">
      <c r="A1776" s="4">
        <v>44633</v>
      </c>
      <c r="B1776" s="3">
        <v>131.97999999999999</v>
      </c>
      <c r="C1776" s="3">
        <v>314.51</v>
      </c>
      <c r="D1776" s="3">
        <v>113.26</v>
      </c>
      <c r="E1776" s="3">
        <v>1.3548</v>
      </c>
      <c r="F1776" s="3">
        <v>275.82</v>
      </c>
      <c r="G1776" s="3">
        <v>335.2</v>
      </c>
      <c r="H1776" s="3">
        <v>195.02</v>
      </c>
      <c r="I1776" s="3">
        <v>279.83</v>
      </c>
      <c r="J1776" s="3">
        <v>114.39</v>
      </c>
      <c r="K1776" s="3">
        <v>222.61</v>
      </c>
      <c r="L1776" s="3"/>
      <c r="N1776" s="4"/>
    </row>
    <row r="1777" spans="1:14" ht="17.5" thickBot="1" x14ac:dyDescent="0.45">
      <c r="A1777" s="4">
        <v>44634</v>
      </c>
      <c r="B1777" s="3">
        <v>125.66</v>
      </c>
      <c r="C1777" s="3">
        <v>314.04000000000002</v>
      </c>
      <c r="D1777" s="3">
        <v>112.63</v>
      </c>
      <c r="E1777" s="3">
        <v>1.3462000000000001</v>
      </c>
      <c r="F1777" s="3">
        <v>272.45</v>
      </c>
      <c r="G1777" s="3">
        <v>332.83</v>
      </c>
      <c r="H1777" s="3">
        <v>193.04</v>
      </c>
      <c r="I1777" s="3">
        <v>277.81</v>
      </c>
      <c r="J1777" s="3">
        <v>114.39</v>
      </c>
      <c r="K1777" s="3">
        <v>220.27</v>
      </c>
      <c r="L1777" s="3"/>
      <c r="N1777" s="4"/>
    </row>
    <row r="1778" spans="1:14" ht="17.5" thickBot="1" x14ac:dyDescent="0.45">
      <c r="A1778" s="4">
        <v>44635</v>
      </c>
      <c r="B1778" s="3">
        <v>118.59</v>
      </c>
      <c r="C1778" s="3">
        <v>309.88</v>
      </c>
      <c r="D1778" s="3">
        <v>112.17</v>
      </c>
      <c r="E1778" s="3">
        <v>1.3534999999999999</v>
      </c>
      <c r="F1778" s="3">
        <v>269.32</v>
      </c>
      <c r="G1778" s="3">
        <v>339.48</v>
      </c>
      <c r="H1778" s="3">
        <v>191.71</v>
      </c>
      <c r="I1778" s="3">
        <v>283.77999999999997</v>
      </c>
      <c r="J1778" s="3">
        <v>114.39</v>
      </c>
      <c r="K1778" s="3">
        <v>218.63</v>
      </c>
      <c r="L1778" s="3"/>
      <c r="N1778" s="4"/>
    </row>
    <row r="1779" spans="1:14" ht="17.5" thickBot="1" x14ac:dyDescent="0.45">
      <c r="A1779" s="4">
        <v>44636</v>
      </c>
      <c r="B1779" s="3">
        <v>128.34</v>
      </c>
      <c r="C1779" s="3">
        <v>315.77999999999997</v>
      </c>
      <c r="D1779" s="3">
        <v>112.35</v>
      </c>
      <c r="E1779" s="3">
        <v>1.3734</v>
      </c>
      <c r="F1779" s="3">
        <v>283.07</v>
      </c>
      <c r="G1779" s="3">
        <v>346.58</v>
      </c>
      <c r="H1779" s="3">
        <v>196.09</v>
      </c>
      <c r="I1779" s="3">
        <v>290.02999999999997</v>
      </c>
      <c r="J1779" s="3">
        <v>114.39</v>
      </c>
      <c r="K1779" s="3">
        <v>224.34</v>
      </c>
      <c r="L1779" s="3"/>
      <c r="N1779" s="4"/>
    </row>
    <row r="1780" spans="1:14" ht="17.5" thickBot="1" x14ac:dyDescent="0.45">
      <c r="A1780" s="4">
        <v>44637</v>
      </c>
      <c r="B1780" s="3">
        <v>137.1</v>
      </c>
      <c r="C1780" s="3">
        <v>323.89</v>
      </c>
      <c r="D1780" s="3">
        <v>112.89</v>
      </c>
      <c r="E1780" s="3">
        <v>1.3877999999999999</v>
      </c>
      <c r="F1780" s="3">
        <v>288.52999999999997</v>
      </c>
      <c r="G1780" s="3">
        <v>350.38</v>
      </c>
      <c r="H1780" s="3">
        <v>198.59</v>
      </c>
      <c r="I1780" s="3">
        <v>293.58</v>
      </c>
      <c r="J1780" s="3">
        <v>114.39</v>
      </c>
      <c r="K1780" s="3">
        <v>227.42</v>
      </c>
      <c r="L1780" s="3"/>
      <c r="N1780" s="4"/>
    </row>
    <row r="1781" spans="1:14" ht="17.5" thickBot="1" x14ac:dyDescent="0.45">
      <c r="A1781" s="4">
        <v>44638</v>
      </c>
      <c r="B1781" s="3">
        <v>137.01</v>
      </c>
      <c r="C1781" s="3">
        <v>325.16000000000003</v>
      </c>
      <c r="D1781" s="3">
        <v>113.07</v>
      </c>
      <c r="E1781" s="3">
        <v>1.3974</v>
      </c>
      <c r="F1781" s="3">
        <v>290.56</v>
      </c>
      <c r="G1781" s="3">
        <v>354.46</v>
      </c>
      <c r="H1781" s="3">
        <v>199.45</v>
      </c>
      <c r="I1781" s="3">
        <v>296.64999999999998</v>
      </c>
      <c r="J1781" s="3">
        <v>114.39</v>
      </c>
      <c r="K1781" s="3">
        <v>228.46</v>
      </c>
      <c r="L1781" s="3"/>
      <c r="N1781" s="4"/>
    </row>
    <row r="1782" spans="1:14" ht="17.5" thickBot="1" x14ac:dyDescent="0.45">
      <c r="A1782" s="4">
        <v>44639</v>
      </c>
      <c r="B1782" s="3">
        <v>137.01</v>
      </c>
      <c r="C1782" s="3">
        <v>325.16000000000003</v>
      </c>
      <c r="D1782" s="3">
        <v>113.07</v>
      </c>
      <c r="E1782" s="3">
        <v>1.3974</v>
      </c>
      <c r="F1782" s="3">
        <v>290.56</v>
      </c>
      <c r="G1782" s="3">
        <v>354.46</v>
      </c>
      <c r="H1782" s="3">
        <v>199.45</v>
      </c>
      <c r="I1782" s="3">
        <v>296.64999999999998</v>
      </c>
      <c r="J1782" s="3">
        <v>114.39</v>
      </c>
      <c r="K1782" s="3">
        <v>228.46</v>
      </c>
      <c r="L1782" s="3"/>
      <c r="N1782" s="4"/>
    </row>
    <row r="1783" spans="1:14" ht="17.5" thickBot="1" x14ac:dyDescent="0.45">
      <c r="A1783" s="4">
        <v>44640</v>
      </c>
      <c r="B1783" s="3">
        <v>137.01</v>
      </c>
      <c r="C1783" s="3">
        <v>325.16000000000003</v>
      </c>
      <c r="D1783" s="3">
        <v>113.07</v>
      </c>
      <c r="E1783" s="3">
        <v>1.3974</v>
      </c>
      <c r="F1783" s="3">
        <v>290.56</v>
      </c>
      <c r="G1783" s="3">
        <v>354.46</v>
      </c>
      <c r="H1783" s="3">
        <v>199.45</v>
      </c>
      <c r="I1783" s="3">
        <v>296.64999999999998</v>
      </c>
      <c r="J1783" s="3">
        <v>114.39</v>
      </c>
      <c r="K1783" s="3">
        <v>228.46</v>
      </c>
      <c r="L1783" s="3"/>
      <c r="N1783" s="4"/>
    </row>
    <row r="1784" spans="1:14" ht="17.5" thickBot="1" x14ac:dyDescent="0.45">
      <c r="A1784" s="4">
        <v>44641</v>
      </c>
      <c r="B1784" s="3">
        <v>135.36000000000001</v>
      </c>
      <c r="C1784" s="3">
        <v>323.67</v>
      </c>
      <c r="D1784" s="3">
        <v>112.88</v>
      </c>
      <c r="E1784" s="3">
        <v>1.3926000000000001</v>
      </c>
      <c r="F1784" s="3">
        <v>288.26</v>
      </c>
      <c r="G1784" s="3">
        <v>354.31</v>
      </c>
      <c r="H1784" s="3">
        <v>198.2</v>
      </c>
      <c r="I1784" s="3">
        <v>296.7</v>
      </c>
      <c r="J1784" s="3">
        <v>114.39</v>
      </c>
      <c r="K1784" s="3">
        <v>226.95</v>
      </c>
      <c r="L1784" s="3"/>
      <c r="N1784" s="4"/>
    </row>
    <row r="1785" spans="1:14" ht="17.5" thickBot="1" x14ac:dyDescent="0.45">
      <c r="A1785" s="4">
        <v>44642</v>
      </c>
      <c r="B1785" s="3">
        <v>139.66</v>
      </c>
      <c r="C1785" s="3">
        <v>326.17</v>
      </c>
      <c r="D1785" s="3">
        <v>112.43</v>
      </c>
      <c r="E1785" s="3">
        <v>1.3992</v>
      </c>
      <c r="F1785" s="3">
        <v>292.39</v>
      </c>
      <c r="G1785" s="3">
        <v>358.18</v>
      </c>
      <c r="H1785" s="3">
        <v>199.11</v>
      </c>
      <c r="I1785" s="3">
        <v>300.32</v>
      </c>
      <c r="J1785" s="3">
        <v>114.39</v>
      </c>
      <c r="K1785" s="3">
        <v>228.28</v>
      </c>
      <c r="L1785" s="3"/>
      <c r="N1785" s="4"/>
    </row>
    <row r="1786" spans="1:14" ht="17.5" thickBot="1" x14ac:dyDescent="0.45">
      <c r="A1786" s="4">
        <v>44643</v>
      </c>
      <c r="B1786" s="3">
        <v>141.16999999999999</v>
      </c>
      <c r="C1786" s="3">
        <v>328.85</v>
      </c>
      <c r="D1786" s="3">
        <v>112.34</v>
      </c>
      <c r="E1786" s="3">
        <v>1.3946000000000001</v>
      </c>
      <c r="F1786" s="3">
        <v>293.2</v>
      </c>
      <c r="G1786" s="3">
        <v>353.47</v>
      </c>
      <c r="H1786" s="3">
        <v>199.62</v>
      </c>
      <c r="I1786" s="3">
        <v>296.51</v>
      </c>
      <c r="J1786" s="3">
        <v>114.39</v>
      </c>
      <c r="K1786" s="3">
        <v>228.83</v>
      </c>
      <c r="L1786" s="3"/>
      <c r="N1786" s="4"/>
    </row>
    <row r="1787" spans="1:14" ht="17.5" thickBot="1" x14ac:dyDescent="0.45">
      <c r="A1787" s="4">
        <v>44644</v>
      </c>
      <c r="B1787" s="3">
        <v>139.99</v>
      </c>
      <c r="C1787" s="3">
        <v>328.3</v>
      </c>
      <c r="D1787" s="3">
        <v>112.24</v>
      </c>
      <c r="E1787" s="3">
        <v>1.4006000000000001</v>
      </c>
      <c r="F1787" s="3">
        <v>292.72000000000003</v>
      </c>
      <c r="G1787" s="3">
        <v>358.72</v>
      </c>
      <c r="H1787" s="3">
        <v>199.25</v>
      </c>
      <c r="I1787" s="3">
        <v>300.49</v>
      </c>
      <c r="J1787" s="3">
        <v>114.39</v>
      </c>
      <c r="K1787" s="3">
        <v>228.42</v>
      </c>
      <c r="L1787" s="3"/>
      <c r="N1787" s="4"/>
    </row>
    <row r="1788" spans="1:14" ht="17.5" thickBot="1" x14ac:dyDescent="0.45">
      <c r="A1788" s="4">
        <v>44645</v>
      </c>
      <c r="B1788" s="3">
        <v>136.44999999999999</v>
      </c>
      <c r="C1788" s="3">
        <v>328.52</v>
      </c>
      <c r="D1788" s="3">
        <v>112.24</v>
      </c>
      <c r="E1788" s="3">
        <v>1.3994</v>
      </c>
      <c r="F1788" s="3">
        <v>290.41000000000003</v>
      </c>
      <c r="G1788" s="3">
        <v>360.74</v>
      </c>
      <c r="H1788" s="3">
        <v>198.05</v>
      </c>
      <c r="I1788" s="3">
        <v>302.04000000000002</v>
      </c>
      <c r="J1788" s="3">
        <v>114.39</v>
      </c>
      <c r="K1788" s="3">
        <v>226.95</v>
      </c>
      <c r="L1788" s="3"/>
      <c r="N1788" s="4"/>
    </row>
    <row r="1789" spans="1:14" ht="17.5" thickBot="1" x14ac:dyDescent="0.45">
      <c r="A1789" s="4">
        <v>44646</v>
      </c>
      <c r="B1789" s="3">
        <v>136.44999999999999</v>
      </c>
      <c r="C1789" s="3">
        <v>328.52</v>
      </c>
      <c r="D1789" s="3">
        <v>112.24</v>
      </c>
      <c r="E1789" s="3">
        <v>1.3994</v>
      </c>
      <c r="F1789" s="3">
        <v>290.41000000000003</v>
      </c>
      <c r="G1789" s="3">
        <v>360.74</v>
      </c>
      <c r="H1789" s="3">
        <v>198.05</v>
      </c>
      <c r="I1789" s="3">
        <v>302.04000000000002</v>
      </c>
      <c r="J1789" s="3">
        <v>114.39</v>
      </c>
      <c r="K1789" s="3">
        <v>226.95</v>
      </c>
      <c r="L1789" s="3"/>
      <c r="N1789" s="4"/>
    </row>
    <row r="1790" spans="1:14" ht="17.5" thickBot="1" x14ac:dyDescent="0.45">
      <c r="A1790" s="4">
        <v>44647</v>
      </c>
      <c r="B1790" s="3">
        <v>136.44999999999999</v>
      </c>
      <c r="C1790" s="3">
        <v>328.52</v>
      </c>
      <c r="D1790" s="3">
        <v>112.24</v>
      </c>
      <c r="E1790" s="3">
        <v>1.3994</v>
      </c>
      <c r="F1790" s="3">
        <v>290.41000000000003</v>
      </c>
      <c r="G1790" s="3">
        <v>360.74</v>
      </c>
      <c r="H1790" s="3">
        <v>198.05</v>
      </c>
      <c r="I1790" s="3">
        <v>302.04000000000002</v>
      </c>
      <c r="J1790" s="3">
        <v>114.39</v>
      </c>
      <c r="K1790" s="3">
        <v>226.95</v>
      </c>
      <c r="L1790" s="3"/>
      <c r="N1790" s="4"/>
    </row>
    <row r="1791" spans="1:14" ht="17.5" thickBot="1" x14ac:dyDescent="0.45">
      <c r="A1791" s="4">
        <v>44648</v>
      </c>
      <c r="B1791" s="3">
        <v>138.32</v>
      </c>
      <c r="C1791" s="3">
        <v>326.83</v>
      </c>
      <c r="D1791" s="3">
        <v>111.34</v>
      </c>
      <c r="E1791" s="3">
        <v>1.4024000000000001</v>
      </c>
      <c r="F1791" s="3">
        <v>291.02</v>
      </c>
      <c r="G1791" s="3">
        <v>362.7</v>
      </c>
      <c r="H1791" s="3">
        <v>198.08</v>
      </c>
      <c r="I1791" s="3">
        <v>304.14999999999998</v>
      </c>
      <c r="J1791" s="3">
        <v>114.39</v>
      </c>
      <c r="K1791" s="3">
        <v>227.09</v>
      </c>
      <c r="L1791" s="3"/>
      <c r="N1791" s="4"/>
    </row>
    <row r="1792" spans="1:14" ht="17.5" thickBot="1" x14ac:dyDescent="0.45">
      <c r="A1792" s="4">
        <v>44649</v>
      </c>
      <c r="B1792" s="3">
        <v>139.80000000000001</v>
      </c>
      <c r="C1792" s="3">
        <v>329.27</v>
      </c>
      <c r="D1792" s="3">
        <v>111.51</v>
      </c>
      <c r="E1792" s="3">
        <v>1.4151</v>
      </c>
      <c r="F1792" s="3">
        <v>294.68</v>
      </c>
      <c r="G1792" s="3">
        <v>367.16</v>
      </c>
      <c r="H1792" s="3">
        <v>199.67</v>
      </c>
      <c r="I1792" s="3">
        <v>308</v>
      </c>
      <c r="J1792" s="3">
        <v>114.39</v>
      </c>
      <c r="K1792" s="3">
        <v>229.03</v>
      </c>
      <c r="L1792" s="3"/>
      <c r="N1792" s="4"/>
    </row>
    <row r="1793" spans="1:14" ht="17.5" thickBot="1" x14ac:dyDescent="0.45">
      <c r="A1793" s="4">
        <v>44650</v>
      </c>
      <c r="B1793" s="3">
        <v>141.62</v>
      </c>
      <c r="C1793" s="3">
        <v>332.23</v>
      </c>
      <c r="D1793" s="3">
        <v>112.14</v>
      </c>
      <c r="E1793" s="3">
        <v>1.4139999999999999</v>
      </c>
      <c r="F1793" s="3">
        <v>296.26</v>
      </c>
      <c r="G1793" s="3">
        <v>364.57</v>
      </c>
      <c r="H1793" s="3">
        <v>200.55</v>
      </c>
      <c r="I1793" s="3">
        <v>306.07</v>
      </c>
      <c r="J1793" s="3">
        <v>114.39</v>
      </c>
      <c r="K1793" s="3">
        <v>230.04</v>
      </c>
      <c r="L1793" s="3"/>
      <c r="N1793" s="4"/>
    </row>
    <row r="1794" spans="1:14" ht="17.5" thickBot="1" x14ac:dyDescent="0.45">
      <c r="A1794" s="4">
        <v>44651</v>
      </c>
      <c r="B1794" s="3">
        <v>140.84</v>
      </c>
      <c r="C1794" s="3">
        <v>330.54</v>
      </c>
      <c r="D1794" s="3">
        <v>112.41</v>
      </c>
      <c r="E1794" s="3">
        <v>1.4056</v>
      </c>
      <c r="F1794" s="3">
        <v>293.39999999999998</v>
      </c>
      <c r="G1794" s="3">
        <v>358.88</v>
      </c>
      <c r="H1794" s="3">
        <v>199.93</v>
      </c>
      <c r="I1794" s="3">
        <v>301.44</v>
      </c>
      <c r="J1794" s="3">
        <v>114.4</v>
      </c>
      <c r="K1794" s="3">
        <v>229.12</v>
      </c>
      <c r="L1794" s="3"/>
      <c r="N1794" s="4"/>
    </row>
    <row r="1795" spans="1:14" ht="17.5" thickBot="1" x14ac:dyDescent="0.45">
      <c r="A1795" s="4">
        <v>44652</v>
      </c>
      <c r="B1795" s="3">
        <v>140.66999999999999</v>
      </c>
      <c r="C1795" s="3">
        <v>329.76</v>
      </c>
      <c r="D1795" s="3">
        <v>112.05</v>
      </c>
      <c r="E1795" s="3">
        <v>1.4055</v>
      </c>
      <c r="F1795" s="3">
        <v>293.39</v>
      </c>
      <c r="G1795" s="3">
        <v>359.86</v>
      </c>
      <c r="H1795" s="3">
        <v>199.53</v>
      </c>
      <c r="I1795" s="3">
        <v>302.29000000000002</v>
      </c>
      <c r="J1795" s="3">
        <v>114.4</v>
      </c>
      <c r="K1795" s="3">
        <v>228.72</v>
      </c>
      <c r="L1795" s="3"/>
      <c r="N1795" s="4"/>
    </row>
    <row r="1796" spans="1:14" ht="17.5" thickBot="1" x14ac:dyDescent="0.45">
      <c r="A1796" s="4">
        <v>44653</v>
      </c>
      <c r="B1796" s="3">
        <v>140.66999999999999</v>
      </c>
      <c r="C1796" s="3">
        <v>329.76</v>
      </c>
      <c r="D1796" s="3">
        <v>112.05</v>
      </c>
      <c r="E1796" s="3">
        <v>1.4055</v>
      </c>
      <c r="F1796" s="3">
        <v>293.39</v>
      </c>
      <c r="G1796" s="3">
        <v>359.86</v>
      </c>
      <c r="H1796" s="3">
        <v>199.53</v>
      </c>
      <c r="I1796" s="3">
        <v>302.29000000000002</v>
      </c>
      <c r="J1796" s="3">
        <v>114.4</v>
      </c>
      <c r="K1796" s="3">
        <v>228.72</v>
      </c>
      <c r="L1796" s="3"/>
      <c r="N1796" s="4"/>
    </row>
    <row r="1797" spans="1:14" ht="17.5" thickBot="1" x14ac:dyDescent="0.45">
      <c r="A1797" s="4">
        <v>44654</v>
      </c>
      <c r="B1797" s="3">
        <v>140.66999999999999</v>
      </c>
      <c r="C1797" s="3">
        <v>329.76</v>
      </c>
      <c r="D1797" s="3">
        <v>112.05</v>
      </c>
      <c r="E1797" s="3">
        <v>1.4055</v>
      </c>
      <c r="F1797" s="3">
        <v>293.39</v>
      </c>
      <c r="G1797" s="3">
        <v>359.86</v>
      </c>
      <c r="H1797" s="3">
        <v>199.53</v>
      </c>
      <c r="I1797" s="3">
        <v>302.29000000000002</v>
      </c>
      <c r="J1797" s="3">
        <v>114.4</v>
      </c>
      <c r="K1797" s="3">
        <v>228.72</v>
      </c>
      <c r="L1797" s="3"/>
      <c r="N1797" s="4"/>
    </row>
    <row r="1798" spans="1:14" ht="17.5" thickBot="1" x14ac:dyDescent="0.45">
      <c r="A1798" s="4">
        <v>44655</v>
      </c>
      <c r="B1798" s="3">
        <v>143.51</v>
      </c>
      <c r="C1798" s="3">
        <v>332.44</v>
      </c>
      <c r="D1798" s="3">
        <v>112.04</v>
      </c>
      <c r="E1798" s="3">
        <v>1.4124000000000001</v>
      </c>
      <c r="F1798" s="3">
        <v>296.58</v>
      </c>
      <c r="G1798" s="3">
        <v>362.5</v>
      </c>
      <c r="H1798" s="3">
        <v>200.67</v>
      </c>
      <c r="I1798" s="3">
        <v>304.95999999999998</v>
      </c>
      <c r="J1798" s="3">
        <v>114.4</v>
      </c>
      <c r="K1798" s="3">
        <v>230.18</v>
      </c>
      <c r="L1798" s="3"/>
      <c r="N1798" s="4"/>
    </row>
    <row r="1799" spans="1:14" ht="17.5" thickBot="1" x14ac:dyDescent="0.45">
      <c r="A1799" s="4">
        <v>44656</v>
      </c>
      <c r="B1799" s="3">
        <v>143.51</v>
      </c>
      <c r="C1799" s="3">
        <v>332.44</v>
      </c>
      <c r="D1799" s="3">
        <v>112.04</v>
      </c>
      <c r="E1799" s="3">
        <v>1.4124000000000001</v>
      </c>
      <c r="F1799" s="3">
        <v>296.58</v>
      </c>
      <c r="G1799" s="3">
        <v>362.5</v>
      </c>
      <c r="H1799" s="3">
        <v>200.67</v>
      </c>
      <c r="I1799" s="3">
        <v>304.95999999999998</v>
      </c>
      <c r="J1799" s="3">
        <v>114.4</v>
      </c>
      <c r="K1799" s="3">
        <v>230.18</v>
      </c>
      <c r="L1799" s="3"/>
      <c r="N1799" s="4"/>
    </row>
    <row r="1800" spans="1:14" ht="17.5" thickBot="1" x14ac:dyDescent="0.45">
      <c r="A1800" s="4">
        <v>44657</v>
      </c>
      <c r="B1800" s="3">
        <v>140.68</v>
      </c>
      <c r="C1800" s="3">
        <v>327.9</v>
      </c>
      <c r="D1800" s="3">
        <v>111.41</v>
      </c>
      <c r="E1800" s="3">
        <v>1.389</v>
      </c>
      <c r="F1800" s="3">
        <v>290.91000000000003</v>
      </c>
      <c r="G1800" s="3">
        <v>354.12</v>
      </c>
      <c r="H1800" s="3">
        <v>197.77</v>
      </c>
      <c r="I1800" s="3">
        <v>298.23</v>
      </c>
      <c r="J1800" s="3">
        <v>114.4</v>
      </c>
      <c r="K1800" s="3">
        <v>226.71</v>
      </c>
      <c r="L1800" s="3"/>
      <c r="N1800" s="4"/>
    </row>
    <row r="1801" spans="1:14" ht="17.5" thickBot="1" x14ac:dyDescent="0.45">
      <c r="A1801" s="4">
        <v>44658</v>
      </c>
      <c r="B1801" s="3">
        <v>139.19999999999999</v>
      </c>
      <c r="C1801" s="3">
        <v>322.58999999999997</v>
      </c>
      <c r="D1801" s="3">
        <v>111.32</v>
      </c>
      <c r="E1801" s="3">
        <v>1.3872</v>
      </c>
      <c r="F1801" s="3">
        <v>288.39</v>
      </c>
      <c r="G1801" s="3">
        <v>355.57</v>
      </c>
      <c r="H1801" s="3">
        <v>196.73</v>
      </c>
      <c r="I1801" s="3">
        <v>299.63</v>
      </c>
      <c r="J1801" s="3">
        <v>114.4</v>
      </c>
      <c r="K1801" s="3">
        <v>225.45</v>
      </c>
      <c r="L1801" s="3"/>
      <c r="N1801" s="4"/>
    </row>
    <row r="1802" spans="1:14" ht="17.5" thickBot="1" x14ac:dyDescent="0.45">
      <c r="A1802" s="4">
        <v>44659</v>
      </c>
      <c r="B1802" s="3">
        <v>139.63</v>
      </c>
      <c r="C1802" s="3">
        <v>322.66000000000003</v>
      </c>
      <c r="D1802" s="3">
        <v>110.96</v>
      </c>
      <c r="E1802" s="3">
        <v>1.3859999999999999</v>
      </c>
      <c r="F1802" s="3">
        <v>289.29000000000002</v>
      </c>
      <c r="G1802" s="3">
        <v>354.88</v>
      </c>
      <c r="H1802" s="3">
        <v>196.69</v>
      </c>
      <c r="I1802" s="3">
        <v>298.79000000000002</v>
      </c>
      <c r="J1802" s="3">
        <v>114.4</v>
      </c>
      <c r="K1802" s="3">
        <v>225.52</v>
      </c>
      <c r="L1802" s="3"/>
      <c r="N1802" s="4"/>
    </row>
    <row r="1803" spans="1:14" ht="17.5" thickBot="1" x14ac:dyDescent="0.45">
      <c r="A1803" s="4">
        <v>44660</v>
      </c>
      <c r="B1803" s="3">
        <v>139.63</v>
      </c>
      <c r="C1803" s="3">
        <v>322.66000000000003</v>
      </c>
      <c r="D1803" s="3">
        <v>110.96</v>
      </c>
      <c r="E1803" s="3">
        <v>1.3859999999999999</v>
      </c>
      <c r="F1803" s="3">
        <v>289.29000000000002</v>
      </c>
      <c r="G1803" s="3">
        <v>354.88</v>
      </c>
      <c r="H1803" s="3">
        <v>196.69</v>
      </c>
      <c r="I1803" s="3">
        <v>298.79000000000002</v>
      </c>
      <c r="J1803" s="3">
        <v>114.4</v>
      </c>
      <c r="K1803" s="3">
        <v>225.52</v>
      </c>
      <c r="L1803" s="3"/>
      <c r="N1803" s="4"/>
    </row>
    <row r="1804" spans="1:14" ht="17.5" thickBot="1" x14ac:dyDescent="0.45">
      <c r="A1804" s="4">
        <v>44661</v>
      </c>
      <c r="B1804" s="3">
        <v>139.63</v>
      </c>
      <c r="C1804" s="3">
        <v>322.66000000000003</v>
      </c>
      <c r="D1804" s="3">
        <v>110.96</v>
      </c>
      <c r="E1804" s="3">
        <v>1.3859999999999999</v>
      </c>
      <c r="F1804" s="3">
        <v>289.29000000000002</v>
      </c>
      <c r="G1804" s="3">
        <v>354.88</v>
      </c>
      <c r="H1804" s="3">
        <v>196.69</v>
      </c>
      <c r="I1804" s="3">
        <v>298.79000000000002</v>
      </c>
      <c r="J1804" s="3">
        <v>114.4</v>
      </c>
      <c r="K1804" s="3">
        <v>225.52</v>
      </c>
      <c r="L1804" s="3"/>
      <c r="N1804" s="4"/>
    </row>
    <row r="1805" spans="1:14" ht="17.5" thickBot="1" x14ac:dyDescent="0.45">
      <c r="A1805" s="4">
        <v>44662</v>
      </c>
      <c r="B1805" s="3">
        <v>135.37</v>
      </c>
      <c r="C1805" s="3">
        <v>319.63</v>
      </c>
      <c r="D1805" s="3">
        <v>110.5</v>
      </c>
      <c r="E1805" s="3">
        <v>1.3724000000000001</v>
      </c>
      <c r="F1805" s="3">
        <v>284.48</v>
      </c>
      <c r="G1805" s="3">
        <v>348.84</v>
      </c>
      <c r="H1805" s="3">
        <v>194.56</v>
      </c>
      <c r="I1805" s="3">
        <v>293.67</v>
      </c>
      <c r="J1805" s="3">
        <v>114.4</v>
      </c>
      <c r="K1805" s="3">
        <v>222.91</v>
      </c>
      <c r="L1805" s="3"/>
      <c r="N1805" s="4"/>
    </row>
    <row r="1806" spans="1:14" ht="17.5" thickBot="1" x14ac:dyDescent="0.45">
      <c r="A1806" s="4">
        <v>44663</v>
      </c>
      <c r="B1806" s="3">
        <v>135.97</v>
      </c>
      <c r="C1806" s="3">
        <v>317.3</v>
      </c>
      <c r="D1806" s="3">
        <v>110.23</v>
      </c>
      <c r="E1806" s="3">
        <v>1.3701000000000001</v>
      </c>
      <c r="F1806" s="3">
        <v>283.95999999999998</v>
      </c>
      <c r="G1806" s="3">
        <v>347.88</v>
      </c>
      <c r="H1806" s="3">
        <v>194.47</v>
      </c>
      <c r="I1806" s="3">
        <v>292.5</v>
      </c>
      <c r="J1806" s="3">
        <v>114.4</v>
      </c>
      <c r="K1806" s="3">
        <v>222.81</v>
      </c>
      <c r="L1806" s="3"/>
      <c r="N1806" s="4"/>
    </row>
    <row r="1807" spans="1:14" ht="17.5" thickBot="1" x14ac:dyDescent="0.45">
      <c r="A1807" s="4">
        <v>44664</v>
      </c>
      <c r="B1807" s="3">
        <v>136.34</v>
      </c>
      <c r="C1807" s="3">
        <v>319.95999999999998</v>
      </c>
      <c r="D1807" s="3">
        <v>110.32</v>
      </c>
      <c r="E1807" s="3">
        <v>1.3781000000000001</v>
      </c>
      <c r="F1807" s="3">
        <v>285.37</v>
      </c>
      <c r="G1807" s="3">
        <v>352.19</v>
      </c>
      <c r="H1807" s="3">
        <v>194.97</v>
      </c>
      <c r="I1807" s="3">
        <v>295.95</v>
      </c>
      <c r="J1807" s="3">
        <v>114.4</v>
      </c>
      <c r="K1807" s="3">
        <v>223.42</v>
      </c>
      <c r="L1807" s="3"/>
      <c r="N1807" s="4"/>
    </row>
    <row r="1808" spans="1:14" ht="17.5" thickBot="1" x14ac:dyDescent="0.45">
      <c r="A1808" s="4">
        <v>44665</v>
      </c>
      <c r="B1808" s="3">
        <v>137.26</v>
      </c>
      <c r="C1808" s="3">
        <v>320.58999999999997</v>
      </c>
      <c r="D1808" s="3">
        <v>110.67</v>
      </c>
      <c r="E1808" s="3">
        <v>1.3694999999999999</v>
      </c>
      <c r="F1808" s="3">
        <v>285.85000000000002</v>
      </c>
      <c r="G1808" s="3">
        <v>348.09</v>
      </c>
      <c r="H1808" s="3">
        <v>194.76</v>
      </c>
      <c r="I1808" s="3">
        <v>292.33</v>
      </c>
      <c r="J1808" s="3">
        <v>114.4</v>
      </c>
      <c r="K1808" s="3">
        <v>223.21</v>
      </c>
      <c r="L1808" s="3"/>
      <c r="N1808" s="4"/>
    </row>
    <row r="1809" spans="1:14" ht="17.5" thickBot="1" x14ac:dyDescent="0.45">
      <c r="A1809" s="4">
        <v>44666</v>
      </c>
      <c r="B1809" s="3">
        <v>137.26</v>
      </c>
      <c r="C1809" s="3">
        <v>320.58999999999997</v>
      </c>
      <c r="D1809" s="3">
        <v>110.67</v>
      </c>
      <c r="E1809" s="3">
        <v>1.3694999999999999</v>
      </c>
      <c r="F1809" s="3">
        <v>285.85000000000002</v>
      </c>
      <c r="G1809" s="3">
        <v>348.09</v>
      </c>
      <c r="H1809" s="3">
        <v>194.76</v>
      </c>
      <c r="I1809" s="3">
        <v>292.33</v>
      </c>
      <c r="J1809" s="3">
        <v>114.4</v>
      </c>
      <c r="K1809" s="3">
        <v>223.21</v>
      </c>
      <c r="L1809" s="3"/>
      <c r="N1809" s="4"/>
    </row>
    <row r="1810" spans="1:14" ht="17.5" thickBot="1" x14ac:dyDescent="0.45">
      <c r="A1810" s="4">
        <v>44667</v>
      </c>
      <c r="B1810" s="3">
        <v>137.26</v>
      </c>
      <c r="C1810" s="3">
        <v>320.58999999999997</v>
      </c>
      <c r="D1810" s="3">
        <v>110.67</v>
      </c>
      <c r="E1810" s="3">
        <v>1.3694999999999999</v>
      </c>
      <c r="F1810" s="3">
        <v>285.85000000000002</v>
      </c>
      <c r="G1810" s="3">
        <v>348.09</v>
      </c>
      <c r="H1810" s="3">
        <v>194.76</v>
      </c>
      <c r="I1810" s="3">
        <v>292.33</v>
      </c>
      <c r="J1810" s="3">
        <v>114.4</v>
      </c>
      <c r="K1810" s="3">
        <v>223.21</v>
      </c>
      <c r="L1810" s="3"/>
      <c r="N1810" s="4"/>
    </row>
    <row r="1811" spans="1:14" ht="17.5" thickBot="1" x14ac:dyDescent="0.45">
      <c r="A1811" s="4">
        <v>44668</v>
      </c>
      <c r="B1811" s="3">
        <v>137.26</v>
      </c>
      <c r="C1811" s="3">
        <v>320.58999999999997</v>
      </c>
      <c r="D1811" s="3">
        <v>110.67</v>
      </c>
      <c r="E1811" s="3">
        <v>1.3694999999999999</v>
      </c>
      <c r="F1811" s="3">
        <v>285.85000000000002</v>
      </c>
      <c r="G1811" s="3">
        <v>348.09</v>
      </c>
      <c r="H1811" s="3">
        <v>194.76</v>
      </c>
      <c r="I1811" s="3">
        <v>292.33</v>
      </c>
      <c r="J1811" s="3">
        <v>114.4</v>
      </c>
      <c r="K1811" s="3">
        <v>223.21</v>
      </c>
      <c r="L1811" s="3"/>
      <c r="N1811" s="4"/>
    </row>
    <row r="1812" spans="1:14" ht="17.5" thickBot="1" x14ac:dyDescent="0.45">
      <c r="A1812" s="4">
        <v>44669</v>
      </c>
      <c r="B1812" s="3">
        <v>137.26</v>
      </c>
      <c r="C1812" s="3">
        <v>320.58999999999997</v>
      </c>
      <c r="D1812" s="3">
        <v>110.67</v>
      </c>
      <c r="E1812" s="3">
        <v>1.3694999999999999</v>
      </c>
      <c r="F1812" s="3">
        <v>285.85000000000002</v>
      </c>
      <c r="G1812" s="3">
        <v>348.09</v>
      </c>
      <c r="H1812" s="3">
        <v>194.76</v>
      </c>
      <c r="I1812" s="3">
        <v>292.33</v>
      </c>
      <c r="J1812" s="3">
        <v>114.4</v>
      </c>
      <c r="K1812" s="3">
        <v>223.21</v>
      </c>
      <c r="L1812" s="3"/>
      <c r="N1812" s="4"/>
    </row>
    <row r="1813" spans="1:14" ht="17.5" thickBot="1" x14ac:dyDescent="0.45">
      <c r="A1813" s="4">
        <v>44670</v>
      </c>
      <c r="B1813" s="3">
        <v>134.09</v>
      </c>
      <c r="C1813" s="3">
        <v>315.89</v>
      </c>
      <c r="D1813" s="3">
        <v>109.86</v>
      </c>
      <c r="E1813" s="3">
        <v>1.3707</v>
      </c>
      <c r="F1813" s="3">
        <v>282.88</v>
      </c>
      <c r="G1813" s="3">
        <v>353.98</v>
      </c>
      <c r="H1813" s="3">
        <v>193.1</v>
      </c>
      <c r="I1813" s="3">
        <v>297.19</v>
      </c>
      <c r="J1813" s="3">
        <v>114.4</v>
      </c>
      <c r="K1813" s="3">
        <v>221.3</v>
      </c>
      <c r="L1813" s="3"/>
      <c r="N1813" s="4"/>
    </row>
    <row r="1814" spans="1:14" ht="17.5" thickBot="1" x14ac:dyDescent="0.45">
      <c r="A1814" s="4">
        <v>44671</v>
      </c>
      <c r="B1814" s="3">
        <v>133.5</v>
      </c>
      <c r="C1814" s="3">
        <v>318.82</v>
      </c>
      <c r="D1814" s="3">
        <v>109.86</v>
      </c>
      <c r="E1814" s="3">
        <v>1.3757999999999999</v>
      </c>
      <c r="F1814" s="3">
        <v>283.72000000000003</v>
      </c>
      <c r="G1814" s="3">
        <v>354.53</v>
      </c>
      <c r="H1814" s="3">
        <v>193.78</v>
      </c>
      <c r="I1814" s="3">
        <v>296.93</v>
      </c>
      <c r="J1814" s="3">
        <v>114.4</v>
      </c>
      <c r="K1814" s="3">
        <v>222.07</v>
      </c>
      <c r="L1814" s="3"/>
      <c r="N1814" s="4"/>
    </row>
    <row r="1815" spans="1:14" ht="17.5" thickBot="1" x14ac:dyDescent="0.45">
      <c r="A1815" s="4">
        <v>44672</v>
      </c>
      <c r="B1815" s="3">
        <v>131.94999999999999</v>
      </c>
      <c r="C1815" s="3">
        <v>319.08</v>
      </c>
      <c r="D1815" s="3">
        <v>109.58</v>
      </c>
      <c r="E1815" s="3">
        <v>1.3649</v>
      </c>
      <c r="F1815" s="3">
        <v>281.88</v>
      </c>
      <c r="G1815" s="3">
        <v>349.58</v>
      </c>
      <c r="H1815" s="3">
        <v>192.71</v>
      </c>
      <c r="I1815" s="3">
        <v>292.62</v>
      </c>
      <c r="J1815" s="3">
        <v>114.4</v>
      </c>
      <c r="K1815" s="3">
        <v>220.78</v>
      </c>
      <c r="L1815" s="3"/>
      <c r="N1815" s="4"/>
    </row>
    <row r="1816" spans="1:14" ht="17.5" thickBot="1" x14ac:dyDescent="0.45">
      <c r="A1816" s="4">
        <v>44673</v>
      </c>
      <c r="B1816" s="3">
        <v>131.69999999999999</v>
      </c>
      <c r="C1816" s="3">
        <v>312.83999999999997</v>
      </c>
      <c r="D1816" s="3">
        <v>108.95</v>
      </c>
      <c r="E1816" s="3">
        <v>1.3447</v>
      </c>
      <c r="F1816" s="3">
        <v>278.02999999999997</v>
      </c>
      <c r="G1816" s="3">
        <v>340.33</v>
      </c>
      <c r="H1816" s="3">
        <v>191.16</v>
      </c>
      <c r="I1816" s="3">
        <v>284.51</v>
      </c>
      <c r="J1816" s="3">
        <v>114.4</v>
      </c>
      <c r="K1816" s="3">
        <v>218.87</v>
      </c>
      <c r="L1816" s="3"/>
      <c r="N1816" s="4"/>
    </row>
    <row r="1817" spans="1:14" ht="17.5" thickBot="1" x14ac:dyDescent="0.45">
      <c r="A1817" s="4">
        <v>44674</v>
      </c>
      <c r="B1817" s="3">
        <v>131.69999999999999</v>
      </c>
      <c r="C1817" s="3">
        <v>312.83999999999997</v>
      </c>
      <c r="D1817" s="3">
        <v>108.95</v>
      </c>
      <c r="E1817" s="3">
        <v>1.3447</v>
      </c>
      <c r="F1817" s="3">
        <v>278.02999999999997</v>
      </c>
      <c r="G1817" s="3">
        <v>340.33</v>
      </c>
      <c r="H1817" s="3">
        <v>191.16</v>
      </c>
      <c r="I1817" s="3">
        <v>284.51</v>
      </c>
      <c r="J1817" s="3">
        <v>114.4</v>
      </c>
      <c r="K1817" s="3">
        <v>218.87</v>
      </c>
      <c r="L1817" s="3"/>
      <c r="N1817" s="4"/>
    </row>
    <row r="1818" spans="1:14" ht="17.5" thickBot="1" x14ac:dyDescent="0.45">
      <c r="A1818" s="4">
        <v>44675</v>
      </c>
      <c r="B1818" s="3">
        <v>131.69999999999999</v>
      </c>
      <c r="C1818" s="3">
        <v>312.83999999999997</v>
      </c>
      <c r="D1818" s="3">
        <v>108.95</v>
      </c>
      <c r="E1818" s="3">
        <v>1.3447</v>
      </c>
      <c r="F1818" s="3">
        <v>278.02999999999997</v>
      </c>
      <c r="G1818" s="3">
        <v>340.33</v>
      </c>
      <c r="H1818" s="3">
        <v>191.16</v>
      </c>
      <c r="I1818" s="3">
        <v>284.51</v>
      </c>
      <c r="J1818" s="3">
        <v>114.4</v>
      </c>
      <c r="K1818" s="3">
        <v>218.87</v>
      </c>
      <c r="L1818" s="3"/>
      <c r="N1818" s="4"/>
    </row>
    <row r="1819" spans="1:14" ht="17.5" thickBot="1" x14ac:dyDescent="0.45">
      <c r="A1819" s="4">
        <v>44676</v>
      </c>
      <c r="B1819" s="3">
        <v>127.36</v>
      </c>
      <c r="C1819" s="3">
        <v>307.85000000000002</v>
      </c>
      <c r="D1819" s="3">
        <v>108.5</v>
      </c>
      <c r="E1819" s="3">
        <v>1.3435999999999999</v>
      </c>
      <c r="F1819" s="3">
        <v>273.08999999999997</v>
      </c>
      <c r="G1819" s="3">
        <v>342.47</v>
      </c>
      <c r="H1819" s="3">
        <v>189.55</v>
      </c>
      <c r="I1819" s="3">
        <v>286.26</v>
      </c>
      <c r="J1819" s="3">
        <v>114.4</v>
      </c>
      <c r="K1819" s="3">
        <v>216.76</v>
      </c>
      <c r="L1819" s="3"/>
      <c r="N1819" s="4"/>
    </row>
    <row r="1820" spans="1:14" ht="17.5" thickBot="1" x14ac:dyDescent="0.45">
      <c r="A1820" s="4">
        <v>44677</v>
      </c>
      <c r="B1820" s="3">
        <v>127.27</v>
      </c>
      <c r="C1820" s="3">
        <v>306.37</v>
      </c>
      <c r="D1820" s="3">
        <v>108.41</v>
      </c>
      <c r="E1820" s="3">
        <v>1.3292999999999999</v>
      </c>
      <c r="F1820" s="3">
        <v>271.01</v>
      </c>
      <c r="G1820" s="3">
        <v>332.87</v>
      </c>
      <c r="H1820" s="3">
        <v>189.19</v>
      </c>
      <c r="I1820" s="3">
        <v>277.93</v>
      </c>
      <c r="J1820" s="3">
        <v>114.4</v>
      </c>
      <c r="K1820" s="3">
        <v>216.24</v>
      </c>
      <c r="L1820" s="3"/>
      <c r="N1820" s="4"/>
    </row>
    <row r="1821" spans="1:14" ht="17.5" thickBot="1" x14ac:dyDescent="0.45">
      <c r="A1821" s="4">
        <v>44678</v>
      </c>
      <c r="B1821" s="3">
        <v>127.3</v>
      </c>
      <c r="C1821" s="3">
        <v>302.13</v>
      </c>
      <c r="D1821" s="3">
        <v>108.22</v>
      </c>
      <c r="E1821" s="3">
        <v>1.327</v>
      </c>
      <c r="F1821" s="3">
        <v>270.82</v>
      </c>
      <c r="G1821" s="3">
        <v>333.69</v>
      </c>
      <c r="H1821" s="3">
        <v>188.6</v>
      </c>
      <c r="I1821" s="3">
        <v>278.76</v>
      </c>
      <c r="J1821" s="3">
        <v>114.4</v>
      </c>
      <c r="K1821" s="3">
        <v>215.6</v>
      </c>
      <c r="L1821" s="3"/>
      <c r="N1821" s="4"/>
    </row>
    <row r="1822" spans="1:14" ht="17.5" thickBot="1" x14ac:dyDescent="0.45">
      <c r="A1822" s="4">
        <v>44679</v>
      </c>
      <c r="B1822" s="3">
        <v>129.28</v>
      </c>
      <c r="C1822" s="3">
        <v>304.51</v>
      </c>
      <c r="D1822" s="3">
        <v>107.86</v>
      </c>
      <c r="E1822" s="3">
        <v>1.3391999999999999</v>
      </c>
      <c r="F1822" s="3">
        <v>274.51</v>
      </c>
      <c r="G1822" s="3">
        <v>341.87</v>
      </c>
      <c r="H1822" s="3">
        <v>189.41</v>
      </c>
      <c r="I1822" s="3">
        <v>285.75</v>
      </c>
      <c r="J1822" s="3">
        <v>114.4</v>
      </c>
      <c r="K1822" s="3">
        <v>216.76</v>
      </c>
      <c r="L1822" s="3"/>
      <c r="N1822" s="4"/>
    </row>
    <row r="1823" spans="1:14" ht="17.5" thickBot="1" x14ac:dyDescent="0.45">
      <c r="A1823" s="4">
        <v>44680</v>
      </c>
      <c r="B1823" s="3">
        <v>134.62</v>
      </c>
      <c r="C1823" s="3">
        <v>308.24</v>
      </c>
      <c r="D1823" s="3">
        <v>108.04</v>
      </c>
      <c r="E1823" s="3">
        <v>1.3237000000000001</v>
      </c>
      <c r="F1823" s="3">
        <v>276.83</v>
      </c>
      <c r="G1823" s="3">
        <v>329.89</v>
      </c>
      <c r="H1823" s="3">
        <v>190.34</v>
      </c>
      <c r="I1823" s="3">
        <v>275.08999999999997</v>
      </c>
      <c r="J1823" s="3">
        <v>114.41</v>
      </c>
      <c r="K1823" s="3">
        <v>217.94</v>
      </c>
      <c r="L1823" s="3"/>
      <c r="N1823" s="4"/>
    </row>
    <row r="1824" spans="1:14" ht="17.5" thickBot="1" x14ac:dyDescent="0.45">
      <c r="A1824" s="4">
        <v>44681</v>
      </c>
      <c r="B1824" s="3">
        <v>134.62</v>
      </c>
      <c r="C1824" s="3">
        <v>308.24</v>
      </c>
      <c r="D1824" s="3">
        <v>108.04</v>
      </c>
      <c r="E1824" s="3">
        <v>1.3237000000000001</v>
      </c>
      <c r="F1824" s="3">
        <v>276.83</v>
      </c>
      <c r="G1824" s="3">
        <v>329.89</v>
      </c>
      <c r="H1824" s="3">
        <v>190.34</v>
      </c>
      <c r="I1824" s="3">
        <v>275.08999999999997</v>
      </c>
      <c r="J1824" s="3">
        <v>114.41</v>
      </c>
      <c r="K1824" s="3">
        <v>217.94</v>
      </c>
      <c r="L1824" s="3"/>
      <c r="N1824" s="4"/>
    </row>
    <row r="1825" spans="1:14" ht="17.5" thickBot="1" x14ac:dyDescent="0.45">
      <c r="A1825" s="4">
        <v>44682</v>
      </c>
      <c r="B1825" s="3">
        <v>134.62</v>
      </c>
      <c r="C1825" s="3">
        <v>308.24</v>
      </c>
      <c r="D1825" s="3">
        <v>108.04</v>
      </c>
      <c r="E1825" s="3">
        <v>1.3237000000000001</v>
      </c>
      <c r="F1825" s="3">
        <v>276.83</v>
      </c>
      <c r="G1825" s="3">
        <v>329.89</v>
      </c>
      <c r="H1825" s="3">
        <v>190.34</v>
      </c>
      <c r="I1825" s="3">
        <v>275.08999999999997</v>
      </c>
      <c r="J1825" s="3">
        <v>114.41</v>
      </c>
      <c r="K1825" s="3">
        <v>217.94</v>
      </c>
      <c r="L1825" s="3"/>
      <c r="N1825" s="4"/>
    </row>
    <row r="1826" spans="1:14" ht="17.5" thickBot="1" x14ac:dyDescent="0.45">
      <c r="A1826" s="4">
        <v>44683</v>
      </c>
      <c r="B1826" s="3">
        <v>134.62</v>
      </c>
      <c r="C1826" s="3">
        <v>308.24</v>
      </c>
      <c r="D1826" s="3">
        <v>108.04</v>
      </c>
      <c r="E1826" s="3">
        <v>1.3237000000000001</v>
      </c>
      <c r="F1826" s="3">
        <v>276.83</v>
      </c>
      <c r="G1826" s="3">
        <v>329.89</v>
      </c>
      <c r="H1826" s="3">
        <v>190.34</v>
      </c>
      <c r="I1826" s="3">
        <v>275.08999999999997</v>
      </c>
      <c r="J1826" s="3">
        <v>114.41</v>
      </c>
      <c r="K1826" s="3">
        <v>217.94</v>
      </c>
      <c r="L1826" s="3"/>
      <c r="N1826" s="4"/>
    </row>
    <row r="1827" spans="1:14" ht="17.5" thickBot="1" x14ac:dyDescent="0.45">
      <c r="A1827" s="4">
        <v>44684</v>
      </c>
      <c r="B1827" s="3">
        <v>134.55000000000001</v>
      </c>
      <c r="C1827" s="3">
        <v>305.91000000000003</v>
      </c>
      <c r="D1827" s="3">
        <v>107.31</v>
      </c>
      <c r="E1827" s="3">
        <v>1.3250999999999999</v>
      </c>
      <c r="F1827" s="3">
        <v>276.77999999999997</v>
      </c>
      <c r="G1827" s="3">
        <v>333.47</v>
      </c>
      <c r="H1827" s="3">
        <v>189.9</v>
      </c>
      <c r="I1827" s="3">
        <v>278.10000000000002</v>
      </c>
      <c r="J1827" s="3">
        <v>114.41</v>
      </c>
      <c r="K1827" s="3">
        <v>217.52</v>
      </c>
      <c r="L1827" s="3"/>
      <c r="N1827" s="4"/>
    </row>
    <row r="1828" spans="1:14" ht="17.5" thickBot="1" x14ac:dyDescent="0.45">
      <c r="A1828" s="4">
        <v>44685</v>
      </c>
      <c r="B1828" s="3">
        <v>133.1</v>
      </c>
      <c r="C1828" s="3">
        <v>306.12</v>
      </c>
      <c r="D1828" s="3">
        <v>107.31</v>
      </c>
      <c r="E1828" s="3">
        <v>1.3381000000000001</v>
      </c>
      <c r="F1828" s="3">
        <v>277.07</v>
      </c>
      <c r="G1828" s="3">
        <v>343.67</v>
      </c>
      <c r="H1828" s="3">
        <v>189.93</v>
      </c>
      <c r="I1828" s="3">
        <v>286.51</v>
      </c>
      <c r="J1828" s="3">
        <v>114.41</v>
      </c>
      <c r="K1828" s="3">
        <v>217.57</v>
      </c>
      <c r="L1828" s="3"/>
      <c r="N1828" s="4"/>
    </row>
    <row r="1829" spans="1:14" ht="17.5" thickBot="1" x14ac:dyDescent="0.45">
      <c r="A1829" s="4">
        <v>44686</v>
      </c>
      <c r="B1829" s="3">
        <v>132.46</v>
      </c>
      <c r="C1829" s="3">
        <v>307.57</v>
      </c>
      <c r="D1829" s="3">
        <v>107.49</v>
      </c>
      <c r="E1829" s="3">
        <v>1.3154999999999999</v>
      </c>
      <c r="F1829" s="3">
        <v>273.76</v>
      </c>
      <c r="G1829" s="3">
        <v>331.33</v>
      </c>
      <c r="H1829" s="3">
        <v>188.42</v>
      </c>
      <c r="I1829" s="3">
        <v>276.33</v>
      </c>
      <c r="J1829" s="3">
        <v>114.41</v>
      </c>
      <c r="K1829" s="3">
        <v>215.65</v>
      </c>
      <c r="L1829" s="3"/>
      <c r="N1829" s="4"/>
    </row>
    <row r="1830" spans="1:14" ht="17.5" thickBot="1" x14ac:dyDescent="0.45">
      <c r="A1830" s="4">
        <v>44687</v>
      </c>
      <c r="B1830" s="3">
        <v>127.74</v>
      </c>
      <c r="C1830" s="3">
        <v>302.05</v>
      </c>
      <c r="D1830" s="3">
        <v>106.77</v>
      </c>
      <c r="E1830" s="3">
        <v>1.3059000000000001</v>
      </c>
      <c r="F1830" s="3">
        <v>270.08999999999997</v>
      </c>
      <c r="G1830" s="3">
        <v>329.79</v>
      </c>
      <c r="H1830" s="3">
        <v>186.8</v>
      </c>
      <c r="I1830" s="3">
        <v>274.83</v>
      </c>
      <c r="J1830" s="3">
        <v>114.41</v>
      </c>
      <c r="K1830" s="3">
        <v>213.68</v>
      </c>
      <c r="L1830" s="3"/>
      <c r="N1830" s="4"/>
    </row>
    <row r="1831" spans="1:14" ht="17.5" thickBot="1" x14ac:dyDescent="0.45">
      <c r="A1831" s="4">
        <v>44688</v>
      </c>
      <c r="B1831" s="3">
        <v>127.74</v>
      </c>
      <c r="C1831" s="3">
        <v>302.05</v>
      </c>
      <c r="D1831" s="3">
        <v>106.77</v>
      </c>
      <c r="E1831" s="3">
        <v>1.3059000000000001</v>
      </c>
      <c r="F1831" s="3">
        <v>270.08999999999997</v>
      </c>
      <c r="G1831" s="3">
        <v>329.79</v>
      </c>
      <c r="H1831" s="3">
        <v>186.8</v>
      </c>
      <c r="I1831" s="3">
        <v>274.83</v>
      </c>
      <c r="J1831" s="3">
        <v>114.41</v>
      </c>
      <c r="K1831" s="3">
        <v>213.68</v>
      </c>
      <c r="L1831" s="3"/>
      <c r="N1831" s="4"/>
    </row>
    <row r="1832" spans="1:14" ht="17.5" thickBot="1" x14ac:dyDescent="0.45">
      <c r="A1832" s="4">
        <v>44689</v>
      </c>
      <c r="B1832" s="3">
        <v>127.74</v>
      </c>
      <c r="C1832" s="3">
        <v>302.05</v>
      </c>
      <c r="D1832" s="3">
        <v>106.77</v>
      </c>
      <c r="E1832" s="3">
        <v>1.3059000000000001</v>
      </c>
      <c r="F1832" s="3">
        <v>270.08999999999997</v>
      </c>
      <c r="G1832" s="3">
        <v>329.79</v>
      </c>
      <c r="H1832" s="3">
        <v>186.8</v>
      </c>
      <c r="I1832" s="3">
        <v>274.83</v>
      </c>
      <c r="J1832" s="3">
        <v>114.41</v>
      </c>
      <c r="K1832" s="3">
        <v>213.68</v>
      </c>
      <c r="L1832" s="3"/>
      <c r="N1832" s="4"/>
    </row>
    <row r="1833" spans="1:14" ht="17.5" thickBot="1" x14ac:dyDescent="0.45">
      <c r="A1833" s="4">
        <v>44690</v>
      </c>
      <c r="B1833" s="3">
        <v>127.74</v>
      </c>
      <c r="C1833" s="3">
        <v>302.05</v>
      </c>
      <c r="D1833" s="3">
        <v>106.77</v>
      </c>
      <c r="E1833" s="3">
        <v>1.3059000000000001</v>
      </c>
      <c r="F1833" s="3">
        <v>270.08999999999997</v>
      </c>
      <c r="G1833" s="3">
        <v>329.79</v>
      </c>
      <c r="H1833" s="3">
        <v>186.8</v>
      </c>
      <c r="I1833" s="3">
        <v>274.83</v>
      </c>
      <c r="J1833" s="3">
        <v>114.41</v>
      </c>
      <c r="K1833" s="3">
        <v>213.68</v>
      </c>
      <c r="L1833" s="3"/>
      <c r="N1833" s="4"/>
    </row>
    <row r="1834" spans="1:14" ht="17.5" thickBot="1" x14ac:dyDescent="0.45">
      <c r="A1834" s="4">
        <v>44691</v>
      </c>
      <c r="B1834" s="3">
        <v>125.15</v>
      </c>
      <c r="C1834" s="3">
        <v>293.25</v>
      </c>
      <c r="D1834" s="3">
        <v>106.04</v>
      </c>
      <c r="E1834" s="3">
        <v>1.2867</v>
      </c>
      <c r="F1834" s="3">
        <v>264.39</v>
      </c>
      <c r="G1834" s="3">
        <v>320.87</v>
      </c>
      <c r="H1834" s="3">
        <v>185.22</v>
      </c>
      <c r="I1834" s="3">
        <v>266.51</v>
      </c>
      <c r="J1834" s="3">
        <v>114.41</v>
      </c>
      <c r="K1834" s="3">
        <v>211.61</v>
      </c>
      <c r="L1834" s="3"/>
      <c r="N1834" s="4"/>
    </row>
    <row r="1835" spans="1:14" ht="17.5" thickBot="1" x14ac:dyDescent="0.45">
      <c r="A1835" s="4">
        <v>44692</v>
      </c>
      <c r="B1835" s="3">
        <v>126.6</v>
      </c>
      <c r="C1835" s="3">
        <v>294.01</v>
      </c>
      <c r="D1835" s="3">
        <v>106.4</v>
      </c>
      <c r="E1835" s="3">
        <v>1.2824</v>
      </c>
      <c r="F1835" s="3">
        <v>264.82</v>
      </c>
      <c r="G1835" s="3">
        <v>315.18</v>
      </c>
      <c r="H1835" s="3">
        <v>185.55</v>
      </c>
      <c r="I1835" s="3">
        <v>262.29000000000002</v>
      </c>
      <c r="J1835" s="3">
        <v>114.41</v>
      </c>
      <c r="K1835" s="3">
        <v>211.99</v>
      </c>
      <c r="L1835" s="3"/>
      <c r="N1835" s="4"/>
    </row>
    <row r="1836" spans="1:14" ht="17.5" thickBot="1" x14ac:dyDescent="0.45">
      <c r="A1836" s="4">
        <v>44693</v>
      </c>
      <c r="B1836" s="3">
        <v>123.55</v>
      </c>
      <c r="C1836" s="3">
        <v>287.11</v>
      </c>
      <c r="D1836" s="3">
        <v>106.13</v>
      </c>
      <c r="E1836" s="3">
        <v>1.2807999999999999</v>
      </c>
      <c r="F1836" s="3">
        <v>261.45999999999998</v>
      </c>
      <c r="G1836" s="3">
        <v>315.02</v>
      </c>
      <c r="H1836" s="3">
        <v>184.71</v>
      </c>
      <c r="I1836" s="3">
        <v>261.92</v>
      </c>
      <c r="J1836" s="3">
        <v>114.41</v>
      </c>
      <c r="K1836" s="3">
        <v>210.85</v>
      </c>
      <c r="L1836" s="3"/>
      <c r="N1836" s="4"/>
    </row>
    <row r="1837" spans="1:14" ht="17.5" thickBot="1" x14ac:dyDescent="0.45">
      <c r="A1837" s="4">
        <v>44694</v>
      </c>
      <c r="B1837" s="3">
        <v>126.91</v>
      </c>
      <c r="C1837" s="3">
        <v>291.43</v>
      </c>
      <c r="D1837" s="3">
        <v>106.13</v>
      </c>
      <c r="E1837" s="3">
        <v>1.2947</v>
      </c>
      <c r="F1837" s="3">
        <v>266.27999999999997</v>
      </c>
      <c r="G1837" s="3">
        <v>322.36</v>
      </c>
      <c r="H1837" s="3">
        <v>185.9</v>
      </c>
      <c r="I1837" s="3">
        <v>268.25</v>
      </c>
      <c r="J1837" s="3">
        <v>114.41</v>
      </c>
      <c r="K1837" s="3">
        <v>212.49</v>
      </c>
      <c r="L1837" s="3"/>
      <c r="N1837" s="4"/>
    </row>
    <row r="1838" spans="1:14" ht="17.5" thickBot="1" x14ac:dyDescent="0.45">
      <c r="A1838" s="4">
        <v>44695</v>
      </c>
      <c r="B1838" s="3">
        <v>126.91</v>
      </c>
      <c r="C1838" s="3">
        <v>291.43</v>
      </c>
      <c r="D1838" s="3">
        <v>106.13</v>
      </c>
      <c r="E1838" s="3">
        <v>1.2947</v>
      </c>
      <c r="F1838" s="3">
        <v>266.27999999999997</v>
      </c>
      <c r="G1838" s="3">
        <v>322.36</v>
      </c>
      <c r="H1838" s="3">
        <v>185.9</v>
      </c>
      <c r="I1838" s="3">
        <v>268.25</v>
      </c>
      <c r="J1838" s="3">
        <v>114.41</v>
      </c>
      <c r="K1838" s="3">
        <v>212.49</v>
      </c>
      <c r="L1838" s="3"/>
      <c r="N1838" s="4"/>
    </row>
    <row r="1839" spans="1:14" ht="17.5" thickBot="1" x14ac:dyDescent="0.45">
      <c r="A1839" s="4">
        <v>44696</v>
      </c>
      <c r="B1839" s="3">
        <v>126.91</v>
      </c>
      <c r="C1839" s="3">
        <v>291.43</v>
      </c>
      <c r="D1839" s="3">
        <v>106.13</v>
      </c>
      <c r="E1839" s="3">
        <v>1.2947</v>
      </c>
      <c r="F1839" s="3">
        <v>266.27999999999997</v>
      </c>
      <c r="G1839" s="3">
        <v>322.36</v>
      </c>
      <c r="H1839" s="3">
        <v>185.9</v>
      </c>
      <c r="I1839" s="3">
        <v>268.25</v>
      </c>
      <c r="J1839" s="3">
        <v>114.41</v>
      </c>
      <c r="K1839" s="3">
        <v>212.49</v>
      </c>
      <c r="L1839" s="3"/>
      <c r="N1839" s="4"/>
    </row>
    <row r="1840" spans="1:14" ht="17.5" thickBot="1" x14ac:dyDescent="0.45">
      <c r="A1840" s="4">
        <v>44697</v>
      </c>
      <c r="B1840" s="3">
        <v>127.23</v>
      </c>
      <c r="C1840" s="3">
        <v>292.62</v>
      </c>
      <c r="D1840" s="3">
        <v>106.3</v>
      </c>
      <c r="E1840" s="3">
        <v>1.294</v>
      </c>
      <c r="F1840" s="3">
        <v>266.67</v>
      </c>
      <c r="G1840" s="3">
        <v>321.31</v>
      </c>
      <c r="H1840" s="3">
        <v>186.2</v>
      </c>
      <c r="I1840" s="3">
        <v>267.10000000000002</v>
      </c>
      <c r="J1840" s="3">
        <v>114.41</v>
      </c>
      <c r="K1840" s="3">
        <v>212.82</v>
      </c>
      <c r="L1840" s="3"/>
      <c r="N1840" s="4"/>
    </row>
    <row r="1841" spans="1:14" ht="17.5" thickBot="1" x14ac:dyDescent="0.45">
      <c r="A1841" s="4">
        <v>44698</v>
      </c>
      <c r="B1841" s="3">
        <v>131.36000000000001</v>
      </c>
      <c r="C1841" s="3">
        <v>296.70999999999998</v>
      </c>
      <c r="D1841" s="3">
        <v>106.57</v>
      </c>
      <c r="E1841" s="3">
        <v>1.3063</v>
      </c>
      <c r="F1841" s="3">
        <v>271.67</v>
      </c>
      <c r="G1841" s="3">
        <v>328.3</v>
      </c>
      <c r="H1841" s="3">
        <v>187.66</v>
      </c>
      <c r="I1841" s="3">
        <v>272.60000000000002</v>
      </c>
      <c r="J1841" s="3">
        <v>114.41</v>
      </c>
      <c r="K1841" s="3">
        <v>214.78</v>
      </c>
      <c r="L1841" s="3"/>
      <c r="N1841" s="4"/>
    </row>
    <row r="1842" spans="1:14" ht="17.5" thickBot="1" x14ac:dyDescent="0.45">
      <c r="A1842" s="4">
        <v>44699</v>
      </c>
      <c r="B1842" s="3">
        <v>131.51</v>
      </c>
      <c r="C1842" s="3">
        <v>299.7</v>
      </c>
      <c r="D1842" s="3">
        <v>106.57</v>
      </c>
      <c r="E1842" s="3">
        <v>1.2874000000000001</v>
      </c>
      <c r="F1842" s="3">
        <v>270.18</v>
      </c>
      <c r="G1842" s="3">
        <v>315.20999999999998</v>
      </c>
      <c r="H1842" s="3">
        <v>187.39</v>
      </c>
      <c r="I1842" s="3">
        <v>261.66000000000003</v>
      </c>
      <c r="J1842" s="3">
        <v>114.41</v>
      </c>
      <c r="K1842" s="3">
        <v>214.34</v>
      </c>
      <c r="L1842" s="3"/>
      <c r="N1842" s="4"/>
    </row>
    <row r="1843" spans="1:14" ht="17.5" thickBot="1" x14ac:dyDescent="0.45">
      <c r="A1843" s="4">
        <v>44700</v>
      </c>
      <c r="B1843" s="3">
        <v>128.61000000000001</v>
      </c>
      <c r="C1843" s="3">
        <v>294.45</v>
      </c>
      <c r="D1843" s="3">
        <v>106.83</v>
      </c>
      <c r="E1843" s="3">
        <v>1.2836000000000001</v>
      </c>
      <c r="F1843" s="3">
        <v>266.98</v>
      </c>
      <c r="G1843" s="3">
        <v>313.07</v>
      </c>
      <c r="H1843" s="3">
        <v>186.68</v>
      </c>
      <c r="I1843" s="3">
        <v>260</v>
      </c>
      <c r="J1843" s="3">
        <v>114.41</v>
      </c>
      <c r="K1843" s="3">
        <v>213.34</v>
      </c>
      <c r="L1843" s="3"/>
      <c r="N1843" s="4"/>
    </row>
    <row r="1844" spans="1:14" ht="17.5" thickBot="1" x14ac:dyDescent="0.45">
      <c r="A1844" s="4">
        <v>44701</v>
      </c>
      <c r="B1844" s="3">
        <v>132.27000000000001</v>
      </c>
      <c r="C1844" s="3">
        <v>298.94</v>
      </c>
      <c r="D1844" s="3">
        <v>107.19</v>
      </c>
      <c r="E1844" s="3">
        <v>1.2868999999999999</v>
      </c>
      <c r="F1844" s="3">
        <v>270.04000000000002</v>
      </c>
      <c r="G1844" s="3">
        <v>312.99</v>
      </c>
      <c r="H1844" s="3">
        <v>187.77</v>
      </c>
      <c r="I1844" s="3">
        <v>260.11</v>
      </c>
      <c r="J1844" s="3">
        <v>114.41</v>
      </c>
      <c r="K1844" s="3">
        <v>214.72</v>
      </c>
      <c r="L1844" s="3"/>
      <c r="N1844" s="4"/>
    </row>
    <row r="1845" spans="1:14" ht="17.5" thickBot="1" x14ac:dyDescent="0.45">
      <c r="A1845" s="4">
        <v>44702</v>
      </c>
      <c r="B1845" s="3">
        <v>132.27000000000001</v>
      </c>
      <c r="C1845" s="3">
        <v>298.94</v>
      </c>
      <c r="D1845" s="3">
        <v>107.19</v>
      </c>
      <c r="E1845" s="3">
        <v>1.2868999999999999</v>
      </c>
      <c r="F1845" s="3">
        <v>270.04000000000002</v>
      </c>
      <c r="G1845" s="3">
        <v>312.99</v>
      </c>
      <c r="H1845" s="3">
        <v>187.77</v>
      </c>
      <c r="I1845" s="3">
        <v>260.11</v>
      </c>
      <c r="J1845" s="3">
        <v>114.41</v>
      </c>
      <c r="K1845" s="3">
        <v>214.72</v>
      </c>
      <c r="L1845" s="3"/>
      <c r="N1845" s="4"/>
    </row>
    <row r="1846" spans="1:14" ht="17.5" thickBot="1" x14ac:dyDescent="0.45">
      <c r="A1846" s="4">
        <v>44703</v>
      </c>
      <c r="B1846" s="3">
        <v>132.27000000000001</v>
      </c>
      <c r="C1846" s="3">
        <v>298.94</v>
      </c>
      <c r="D1846" s="3">
        <v>107.19</v>
      </c>
      <c r="E1846" s="3">
        <v>1.2868999999999999</v>
      </c>
      <c r="F1846" s="3">
        <v>270.04000000000002</v>
      </c>
      <c r="G1846" s="3">
        <v>312.99</v>
      </c>
      <c r="H1846" s="3">
        <v>187.77</v>
      </c>
      <c r="I1846" s="3">
        <v>260.11</v>
      </c>
      <c r="J1846" s="3">
        <v>114.41</v>
      </c>
      <c r="K1846" s="3">
        <v>214.72</v>
      </c>
      <c r="L1846" s="3"/>
      <c r="N1846" s="4"/>
    </row>
    <row r="1847" spans="1:14" ht="17.5" thickBot="1" x14ac:dyDescent="0.45">
      <c r="A1847" s="4">
        <v>44704</v>
      </c>
      <c r="B1847" s="3">
        <v>130.72999999999999</v>
      </c>
      <c r="C1847" s="3">
        <v>299.89</v>
      </c>
      <c r="D1847" s="3">
        <v>107.72</v>
      </c>
      <c r="E1847" s="3">
        <v>1.2972999999999999</v>
      </c>
      <c r="F1847" s="3">
        <v>271.67</v>
      </c>
      <c r="G1847" s="3">
        <v>318.35000000000002</v>
      </c>
      <c r="H1847" s="3">
        <v>188.17</v>
      </c>
      <c r="I1847" s="3">
        <v>264.98</v>
      </c>
      <c r="J1847" s="3">
        <v>114.41</v>
      </c>
      <c r="K1847" s="3">
        <v>215.23</v>
      </c>
      <c r="L1847" s="3"/>
      <c r="N1847" s="4"/>
    </row>
    <row r="1848" spans="1:14" ht="17.5" thickBot="1" x14ac:dyDescent="0.45">
      <c r="A1848" s="4">
        <v>44705</v>
      </c>
      <c r="B1848" s="3">
        <v>128.79</v>
      </c>
      <c r="C1848" s="3">
        <v>297.11</v>
      </c>
      <c r="D1848" s="3">
        <v>107.81</v>
      </c>
      <c r="E1848" s="3">
        <v>1.2930999999999999</v>
      </c>
      <c r="F1848" s="3">
        <v>269.25</v>
      </c>
      <c r="G1848" s="3">
        <v>315.23</v>
      </c>
      <c r="H1848" s="3">
        <v>187.71</v>
      </c>
      <c r="I1848" s="3">
        <v>262.95999999999998</v>
      </c>
      <c r="J1848" s="3">
        <v>114.41</v>
      </c>
      <c r="K1848" s="3">
        <v>214.55</v>
      </c>
      <c r="L1848" s="3"/>
      <c r="N1848" s="4"/>
    </row>
    <row r="1849" spans="1:14" ht="17.5" thickBot="1" x14ac:dyDescent="0.45">
      <c r="A1849" s="4">
        <v>44706</v>
      </c>
      <c r="B1849" s="3">
        <v>129.29</v>
      </c>
      <c r="C1849" s="3">
        <v>297.31</v>
      </c>
      <c r="D1849" s="3">
        <v>108.08</v>
      </c>
      <c r="E1849" s="3">
        <v>1.2985</v>
      </c>
      <c r="F1849" s="3">
        <v>270.17</v>
      </c>
      <c r="G1849" s="3">
        <v>318.51</v>
      </c>
      <c r="H1849" s="3">
        <v>188.05</v>
      </c>
      <c r="I1849" s="3">
        <v>265.29000000000002</v>
      </c>
      <c r="J1849" s="3">
        <v>114.41</v>
      </c>
      <c r="K1849" s="3">
        <v>214.96</v>
      </c>
      <c r="L1849" s="3"/>
      <c r="N1849" s="4"/>
    </row>
    <row r="1850" spans="1:14" ht="17.5" thickBot="1" x14ac:dyDescent="0.45">
      <c r="A1850" s="4">
        <v>44707</v>
      </c>
      <c r="B1850" s="3">
        <v>128.74</v>
      </c>
      <c r="C1850" s="3">
        <v>296.17</v>
      </c>
      <c r="D1850" s="3">
        <v>108.25</v>
      </c>
      <c r="E1850" s="3">
        <v>1.3085</v>
      </c>
      <c r="F1850" s="3">
        <v>272.14</v>
      </c>
      <c r="G1850" s="3">
        <v>324.83</v>
      </c>
      <c r="H1850" s="3">
        <v>188.75</v>
      </c>
      <c r="I1850" s="3">
        <v>270.49</v>
      </c>
      <c r="J1850" s="3">
        <v>114.41</v>
      </c>
      <c r="K1850" s="3">
        <v>215.87</v>
      </c>
      <c r="L1850" s="3"/>
      <c r="N1850" s="4"/>
    </row>
    <row r="1851" spans="1:14" ht="17.5" thickBot="1" x14ac:dyDescent="0.45">
      <c r="A1851" s="4">
        <v>44708</v>
      </c>
      <c r="B1851" s="3">
        <v>132.59</v>
      </c>
      <c r="C1851" s="3">
        <v>302.08999999999997</v>
      </c>
      <c r="D1851" s="3">
        <v>108.61</v>
      </c>
      <c r="E1851" s="3">
        <v>1.3255999999999999</v>
      </c>
      <c r="F1851" s="3">
        <v>276.33999999999997</v>
      </c>
      <c r="G1851" s="3">
        <v>332.79</v>
      </c>
      <c r="H1851" s="3">
        <v>190.2</v>
      </c>
      <c r="I1851" s="3">
        <v>277.26</v>
      </c>
      <c r="J1851" s="3">
        <v>114.41</v>
      </c>
      <c r="K1851" s="3">
        <v>217.68</v>
      </c>
      <c r="L1851" s="3"/>
      <c r="N1851" s="4"/>
    </row>
    <row r="1852" spans="1:14" ht="17.5" thickBot="1" x14ac:dyDescent="0.45">
      <c r="A1852" s="4">
        <v>44709</v>
      </c>
      <c r="B1852" s="3">
        <v>132.59</v>
      </c>
      <c r="C1852" s="3">
        <v>302.08999999999997</v>
      </c>
      <c r="D1852" s="3">
        <v>108.61</v>
      </c>
      <c r="E1852" s="3">
        <v>1.3255999999999999</v>
      </c>
      <c r="F1852" s="3">
        <v>276.33999999999997</v>
      </c>
      <c r="G1852" s="3">
        <v>332.79</v>
      </c>
      <c r="H1852" s="3">
        <v>190.2</v>
      </c>
      <c r="I1852" s="3">
        <v>277.26</v>
      </c>
      <c r="J1852" s="3">
        <v>114.41</v>
      </c>
      <c r="K1852" s="3">
        <v>217.68</v>
      </c>
      <c r="L1852" s="3"/>
      <c r="N1852" s="4"/>
    </row>
    <row r="1853" spans="1:14" ht="17.5" thickBot="1" x14ac:dyDescent="0.45">
      <c r="A1853" s="4">
        <v>44710</v>
      </c>
      <c r="B1853" s="3">
        <v>132.59</v>
      </c>
      <c r="C1853" s="3">
        <v>302.08999999999997</v>
      </c>
      <c r="D1853" s="3">
        <v>108.61</v>
      </c>
      <c r="E1853" s="3">
        <v>1.3255999999999999</v>
      </c>
      <c r="F1853" s="3">
        <v>276.33999999999997</v>
      </c>
      <c r="G1853" s="3">
        <v>332.79</v>
      </c>
      <c r="H1853" s="3">
        <v>190.2</v>
      </c>
      <c r="I1853" s="3">
        <v>277.26</v>
      </c>
      <c r="J1853" s="3">
        <v>114.41</v>
      </c>
      <c r="K1853" s="3">
        <v>217.68</v>
      </c>
      <c r="L1853" s="3"/>
      <c r="N1853" s="4"/>
    </row>
    <row r="1854" spans="1:14" ht="17.5" thickBot="1" x14ac:dyDescent="0.45">
      <c r="A1854" s="4">
        <v>44711</v>
      </c>
      <c r="B1854" s="3">
        <v>135.13</v>
      </c>
      <c r="C1854" s="3">
        <v>308.45999999999998</v>
      </c>
      <c r="D1854" s="3">
        <v>108.96</v>
      </c>
      <c r="E1854" s="3">
        <v>1.3284</v>
      </c>
      <c r="F1854" s="3">
        <v>279.52</v>
      </c>
      <c r="G1854" s="3">
        <v>332.76</v>
      </c>
      <c r="H1854" s="3">
        <v>191.22</v>
      </c>
      <c r="I1854" s="3">
        <v>277.23</v>
      </c>
      <c r="J1854" s="3">
        <v>114.41</v>
      </c>
      <c r="K1854" s="3">
        <v>218.96</v>
      </c>
      <c r="L1854" s="3"/>
      <c r="N1854" s="4"/>
    </row>
    <row r="1855" spans="1:14" ht="17.5" thickBot="1" x14ac:dyDescent="0.45">
      <c r="A1855" s="4">
        <v>44712</v>
      </c>
      <c r="B1855" s="3">
        <v>136.99</v>
      </c>
      <c r="C1855" s="3">
        <v>308.51</v>
      </c>
      <c r="D1855" s="3">
        <v>108.6</v>
      </c>
      <c r="E1855" s="3">
        <v>1.3209</v>
      </c>
      <c r="F1855" s="3">
        <v>279.58999999999997</v>
      </c>
      <c r="G1855" s="3">
        <v>330.62</v>
      </c>
      <c r="H1855" s="3">
        <v>190.89</v>
      </c>
      <c r="I1855" s="3">
        <v>275.63</v>
      </c>
      <c r="J1855" s="3">
        <v>114.42</v>
      </c>
      <c r="K1855" s="3">
        <v>218.65</v>
      </c>
      <c r="L1855" s="3"/>
      <c r="N1855" s="4"/>
    </row>
    <row r="1856" spans="1:14" ht="17.5" thickBot="1" x14ac:dyDescent="0.45">
      <c r="A1856" s="4">
        <v>44713</v>
      </c>
      <c r="B1856" s="3">
        <v>136.38999999999999</v>
      </c>
      <c r="C1856" s="3">
        <v>307.95</v>
      </c>
      <c r="D1856" s="3">
        <v>108.33</v>
      </c>
      <c r="E1856" s="3">
        <v>1.3132999999999999</v>
      </c>
      <c r="F1856" s="3">
        <v>278.13</v>
      </c>
      <c r="G1856" s="3">
        <v>328.36</v>
      </c>
      <c r="H1856" s="3">
        <v>190.04</v>
      </c>
      <c r="I1856" s="3">
        <v>273.35000000000002</v>
      </c>
      <c r="J1856" s="3">
        <v>114.42</v>
      </c>
      <c r="K1856" s="3">
        <v>217.63</v>
      </c>
      <c r="L1856" s="3"/>
      <c r="N1856" s="4"/>
    </row>
    <row r="1857" spans="1:14" ht="17.5" thickBot="1" x14ac:dyDescent="0.45">
      <c r="A1857" s="4">
        <v>44714</v>
      </c>
      <c r="B1857" s="3">
        <v>135.19999999999999</v>
      </c>
      <c r="C1857" s="3">
        <v>305.85000000000002</v>
      </c>
      <c r="D1857" s="3">
        <v>108.15</v>
      </c>
      <c r="E1857" s="3">
        <v>1.3228</v>
      </c>
      <c r="F1857" s="3">
        <v>278.20999999999998</v>
      </c>
      <c r="G1857" s="3">
        <v>333.98</v>
      </c>
      <c r="H1857" s="3">
        <v>189.99</v>
      </c>
      <c r="I1857" s="3">
        <v>278.51</v>
      </c>
      <c r="J1857" s="3">
        <v>114.42</v>
      </c>
      <c r="K1857" s="3">
        <v>217.62</v>
      </c>
      <c r="L1857" s="3"/>
      <c r="N1857" s="4"/>
    </row>
    <row r="1858" spans="1:14" ht="17.5" thickBot="1" x14ac:dyDescent="0.45">
      <c r="A1858" s="4">
        <v>44715</v>
      </c>
      <c r="B1858" s="3">
        <v>135.19999999999999</v>
      </c>
      <c r="C1858" s="3">
        <v>305.85000000000002</v>
      </c>
      <c r="D1858" s="3">
        <v>108.15</v>
      </c>
      <c r="E1858" s="3">
        <v>1.3228</v>
      </c>
      <c r="F1858" s="3">
        <v>278.20999999999998</v>
      </c>
      <c r="G1858" s="3">
        <v>333.98</v>
      </c>
      <c r="H1858" s="3">
        <v>189.99</v>
      </c>
      <c r="I1858" s="3">
        <v>278.51</v>
      </c>
      <c r="J1858" s="3">
        <v>114.42</v>
      </c>
      <c r="K1858" s="3">
        <v>217.62</v>
      </c>
      <c r="L1858" s="3"/>
      <c r="N1858" s="4"/>
    </row>
    <row r="1859" spans="1:14" ht="17.5" thickBot="1" x14ac:dyDescent="0.45">
      <c r="A1859" s="4">
        <v>44716</v>
      </c>
      <c r="B1859" s="3">
        <v>135.19999999999999</v>
      </c>
      <c r="C1859" s="3">
        <v>305.85000000000002</v>
      </c>
      <c r="D1859" s="3">
        <v>108.15</v>
      </c>
      <c r="E1859" s="3">
        <v>1.3228</v>
      </c>
      <c r="F1859" s="3">
        <v>278.20999999999998</v>
      </c>
      <c r="G1859" s="3">
        <v>333.98</v>
      </c>
      <c r="H1859" s="3">
        <v>189.99</v>
      </c>
      <c r="I1859" s="3">
        <v>278.51</v>
      </c>
      <c r="J1859" s="3">
        <v>114.42</v>
      </c>
      <c r="K1859" s="3">
        <v>217.62</v>
      </c>
      <c r="L1859" s="3"/>
      <c r="N1859" s="4"/>
    </row>
    <row r="1860" spans="1:14" ht="17.5" thickBot="1" x14ac:dyDescent="0.45">
      <c r="A1860" s="4">
        <v>44717</v>
      </c>
      <c r="B1860" s="3">
        <v>135.19999999999999</v>
      </c>
      <c r="C1860" s="3">
        <v>305.85000000000002</v>
      </c>
      <c r="D1860" s="3">
        <v>108.15</v>
      </c>
      <c r="E1860" s="3">
        <v>1.3228</v>
      </c>
      <c r="F1860" s="3">
        <v>278.20999999999998</v>
      </c>
      <c r="G1860" s="3">
        <v>333.98</v>
      </c>
      <c r="H1860" s="3">
        <v>189.99</v>
      </c>
      <c r="I1860" s="3">
        <v>278.51</v>
      </c>
      <c r="J1860" s="3">
        <v>114.42</v>
      </c>
      <c r="K1860" s="3">
        <v>217.62</v>
      </c>
      <c r="L1860" s="3"/>
      <c r="N1860" s="4"/>
    </row>
    <row r="1861" spans="1:14" ht="17.5" thickBot="1" x14ac:dyDescent="0.45">
      <c r="A1861" s="4">
        <v>44718</v>
      </c>
      <c r="B1861" s="3">
        <v>138.75</v>
      </c>
      <c r="C1861" s="3">
        <v>306.74</v>
      </c>
      <c r="D1861" s="3">
        <v>108.14</v>
      </c>
      <c r="E1861" s="3">
        <v>1.3141</v>
      </c>
      <c r="F1861" s="3">
        <v>279.64</v>
      </c>
      <c r="G1861" s="3">
        <v>329.86</v>
      </c>
      <c r="H1861" s="3">
        <v>190.1</v>
      </c>
      <c r="I1861" s="3">
        <v>274.72000000000003</v>
      </c>
      <c r="J1861" s="3">
        <v>114.42</v>
      </c>
      <c r="K1861" s="3">
        <v>217.86</v>
      </c>
      <c r="L1861" s="3"/>
      <c r="N1861" s="4"/>
    </row>
    <row r="1862" spans="1:14" ht="17.5" thickBot="1" x14ac:dyDescent="0.45">
      <c r="A1862" s="4">
        <v>44719</v>
      </c>
      <c r="B1862" s="3">
        <v>138.13999999999999</v>
      </c>
      <c r="C1862" s="3">
        <v>302.75</v>
      </c>
      <c r="D1862" s="3">
        <v>107.69</v>
      </c>
      <c r="E1862" s="3">
        <v>1.3187</v>
      </c>
      <c r="F1862" s="3">
        <v>278.91000000000003</v>
      </c>
      <c r="G1862" s="3">
        <v>333.12</v>
      </c>
      <c r="H1862" s="3">
        <v>189.98</v>
      </c>
      <c r="I1862" s="3">
        <v>277.29000000000002</v>
      </c>
      <c r="J1862" s="3">
        <v>114.42</v>
      </c>
      <c r="K1862" s="3">
        <v>217.72</v>
      </c>
      <c r="L1862" s="3"/>
      <c r="N1862" s="4"/>
    </row>
    <row r="1863" spans="1:14" ht="17.5" thickBot="1" x14ac:dyDescent="0.45">
      <c r="A1863" s="4">
        <v>44720</v>
      </c>
      <c r="B1863" s="3">
        <v>141.04</v>
      </c>
      <c r="C1863" s="3">
        <v>304.62</v>
      </c>
      <c r="D1863" s="3">
        <v>107.69</v>
      </c>
      <c r="E1863" s="3">
        <v>1.3127</v>
      </c>
      <c r="F1863" s="3">
        <v>280.49</v>
      </c>
      <c r="G1863" s="3">
        <v>329.47</v>
      </c>
      <c r="H1863" s="3">
        <v>190.38</v>
      </c>
      <c r="I1863" s="3">
        <v>274.35000000000002</v>
      </c>
      <c r="J1863" s="3">
        <v>114.42</v>
      </c>
      <c r="K1863" s="3">
        <v>218.26</v>
      </c>
      <c r="L1863" s="3"/>
      <c r="N1863" s="4"/>
    </row>
    <row r="1864" spans="1:14" ht="17.5" thickBot="1" x14ac:dyDescent="0.45">
      <c r="A1864" s="4">
        <v>44721</v>
      </c>
      <c r="B1864" s="3">
        <v>140.36000000000001</v>
      </c>
      <c r="C1864" s="3">
        <v>302.70999999999998</v>
      </c>
      <c r="D1864" s="3">
        <v>107.15</v>
      </c>
      <c r="E1864" s="3">
        <v>1.2956000000000001</v>
      </c>
      <c r="F1864" s="3">
        <v>277.58</v>
      </c>
      <c r="G1864" s="3">
        <v>321.91000000000003</v>
      </c>
      <c r="H1864" s="3">
        <v>188.98</v>
      </c>
      <c r="I1864" s="3">
        <v>267.76</v>
      </c>
      <c r="J1864" s="3">
        <v>114.42</v>
      </c>
      <c r="K1864" s="3">
        <v>216.55</v>
      </c>
      <c r="L1864" s="3"/>
      <c r="N1864" s="4"/>
    </row>
    <row r="1865" spans="1:14" ht="17.5" thickBot="1" x14ac:dyDescent="0.45">
      <c r="A1865" s="4">
        <v>44722</v>
      </c>
      <c r="B1865" s="3">
        <v>140.13999999999999</v>
      </c>
      <c r="C1865" s="3">
        <v>296.64</v>
      </c>
      <c r="D1865" s="3">
        <v>106.61</v>
      </c>
      <c r="E1865" s="3">
        <v>1.2716000000000001</v>
      </c>
      <c r="F1865" s="3">
        <v>273.11</v>
      </c>
      <c r="G1865" s="3">
        <v>312.35000000000002</v>
      </c>
      <c r="H1865" s="3">
        <v>186.98</v>
      </c>
      <c r="I1865" s="3">
        <v>259.91000000000003</v>
      </c>
      <c r="J1865" s="3">
        <v>114.42</v>
      </c>
      <c r="K1865" s="3">
        <v>214.11</v>
      </c>
      <c r="L1865" s="3"/>
      <c r="N1865" s="4"/>
    </row>
    <row r="1866" spans="1:14" ht="17.5" thickBot="1" x14ac:dyDescent="0.45">
      <c r="A1866" s="4">
        <v>44723</v>
      </c>
      <c r="B1866" s="3">
        <v>140.13999999999999</v>
      </c>
      <c r="C1866" s="3">
        <v>296.64</v>
      </c>
      <c r="D1866" s="3">
        <v>106.61</v>
      </c>
      <c r="E1866" s="3">
        <v>1.2716000000000001</v>
      </c>
      <c r="F1866" s="3">
        <v>273.11</v>
      </c>
      <c r="G1866" s="3">
        <v>312.35000000000002</v>
      </c>
      <c r="H1866" s="3">
        <v>186.98</v>
      </c>
      <c r="I1866" s="3">
        <v>259.91000000000003</v>
      </c>
      <c r="J1866" s="3">
        <v>114.42</v>
      </c>
      <c r="K1866" s="3">
        <v>214.11</v>
      </c>
      <c r="L1866" s="3"/>
      <c r="N1866" s="4"/>
    </row>
    <row r="1867" spans="1:14" ht="17.5" thickBot="1" x14ac:dyDescent="0.45">
      <c r="A1867" s="4">
        <v>44724</v>
      </c>
      <c r="B1867" s="3">
        <v>140.13999999999999</v>
      </c>
      <c r="C1867" s="3">
        <v>296.64</v>
      </c>
      <c r="D1867" s="3">
        <v>106.61</v>
      </c>
      <c r="E1867" s="3">
        <v>1.2716000000000001</v>
      </c>
      <c r="F1867" s="3">
        <v>273.11</v>
      </c>
      <c r="G1867" s="3">
        <v>312.35000000000002</v>
      </c>
      <c r="H1867" s="3">
        <v>186.98</v>
      </c>
      <c r="I1867" s="3">
        <v>259.91000000000003</v>
      </c>
      <c r="J1867" s="3">
        <v>114.42</v>
      </c>
      <c r="K1867" s="3">
        <v>214.11</v>
      </c>
      <c r="L1867" s="3"/>
      <c r="N1867" s="4"/>
    </row>
    <row r="1868" spans="1:14" ht="17.5" thickBot="1" x14ac:dyDescent="0.45">
      <c r="A1868" s="4">
        <v>44725</v>
      </c>
      <c r="B1868" s="3">
        <v>135.21</v>
      </c>
      <c r="C1868" s="3">
        <v>283.81</v>
      </c>
      <c r="D1868" s="3">
        <v>105.26</v>
      </c>
      <c r="E1868" s="3">
        <v>1.2391000000000001</v>
      </c>
      <c r="F1868" s="3">
        <v>264.45</v>
      </c>
      <c r="G1868" s="3">
        <v>300.13</v>
      </c>
      <c r="H1868" s="3">
        <v>182.93</v>
      </c>
      <c r="I1868" s="3">
        <v>249.99</v>
      </c>
      <c r="J1868" s="3">
        <v>114.42</v>
      </c>
      <c r="K1868" s="3">
        <v>209.25</v>
      </c>
      <c r="L1868" s="3"/>
      <c r="N1868" s="4"/>
    </row>
    <row r="1869" spans="1:14" ht="17.5" thickBot="1" x14ac:dyDescent="0.45">
      <c r="A1869" s="4">
        <v>44726</v>
      </c>
      <c r="B1869" s="3">
        <v>135.31</v>
      </c>
      <c r="C1869" s="3">
        <v>284.62</v>
      </c>
      <c r="D1869" s="3">
        <v>104.63</v>
      </c>
      <c r="E1869" s="3">
        <v>1.2313000000000001</v>
      </c>
      <c r="F1869" s="3">
        <v>263.33</v>
      </c>
      <c r="G1869" s="3">
        <v>299.5</v>
      </c>
      <c r="H1869" s="3">
        <v>181.96</v>
      </c>
      <c r="I1869" s="3">
        <v>249.33</v>
      </c>
      <c r="J1869" s="3">
        <v>114.42</v>
      </c>
      <c r="K1869" s="3">
        <v>208.18</v>
      </c>
      <c r="L1869" s="3"/>
      <c r="N1869" s="4"/>
    </row>
    <row r="1870" spans="1:14" ht="17.5" thickBot="1" x14ac:dyDescent="0.45">
      <c r="A1870" s="4">
        <v>44727</v>
      </c>
      <c r="B1870" s="3">
        <v>137.04</v>
      </c>
      <c r="C1870" s="3">
        <v>282.85000000000002</v>
      </c>
      <c r="D1870" s="3">
        <v>104.45</v>
      </c>
      <c r="E1870" s="3">
        <v>1.2418</v>
      </c>
      <c r="F1870" s="3">
        <v>264.95999999999998</v>
      </c>
      <c r="G1870" s="3">
        <v>303.35000000000002</v>
      </c>
      <c r="H1870" s="3">
        <v>182.79</v>
      </c>
      <c r="I1870" s="3">
        <v>252.89</v>
      </c>
      <c r="J1870" s="3">
        <v>114.42</v>
      </c>
      <c r="K1870" s="3">
        <v>209.23</v>
      </c>
      <c r="L1870" s="3"/>
      <c r="N1870" s="4"/>
    </row>
    <row r="1871" spans="1:14" ht="17.5" thickBot="1" x14ac:dyDescent="0.45">
      <c r="A1871" s="4">
        <v>44728</v>
      </c>
      <c r="B1871" s="3">
        <v>133.94</v>
      </c>
      <c r="C1871" s="3">
        <v>281.76</v>
      </c>
      <c r="D1871" s="3">
        <v>104.81</v>
      </c>
      <c r="E1871" s="3">
        <v>1.2251000000000001</v>
      </c>
      <c r="F1871" s="3">
        <v>260.92</v>
      </c>
      <c r="G1871" s="3">
        <v>292.86</v>
      </c>
      <c r="H1871" s="3">
        <v>181.8</v>
      </c>
      <c r="I1871" s="3">
        <v>244.58</v>
      </c>
      <c r="J1871" s="3">
        <v>114.42</v>
      </c>
      <c r="K1871" s="3">
        <v>207.84</v>
      </c>
      <c r="L1871" s="3"/>
      <c r="N1871" s="4"/>
    </row>
    <row r="1872" spans="1:14" ht="17.5" thickBot="1" x14ac:dyDescent="0.45">
      <c r="A1872" s="4">
        <v>44729</v>
      </c>
      <c r="B1872" s="3">
        <v>135.86000000000001</v>
      </c>
      <c r="C1872" s="3">
        <v>277.37</v>
      </c>
      <c r="D1872" s="3">
        <v>104.63</v>
      </c>
      <c r="E1872" s="3">
        <v>1.2248000000000001</v>
      </c>
      <c r="F1872" s="3">
        <v>260.27999999999997</v>
      </c>
      <c r="G1872" s="3">
        <v>293.33</v>
      </c>
      <c r="H1872" s="3">
        <v>181.55</v>
      </c>
      <c r="I1872" s="3">
        <v>244.97</v>
      </c>
      <c r="J1872" s="3">
        <v>114.42</v>
      </c>
      <c r="K1872" s="3">
        <v>207.56</v>
      </c>
      <c r="L1872" s="3"/>
      <c r="N1872" s="4"/>
    </row>
    <row r="1873" spans="1:14" ht="17.5" thickBot="1" x14ac:dyDescent="0.45">
      <c r="A1873" s="4">
        <v>44730</v>
      </c>
      <c r="B1873" s="3">
        <v>135.86000000000001</v>
      </c>
      <c r="C1873" s="3">
        <v>277.37</v>
      </c>
      <c r="D1873" s="3">
        <v>104.63</v>
      </c>
      <c r="E1873" s="3">
        <v>1.2248000000000001</v>
      </c>
      <c r="F1873" s="3">
        <v>260.27999999999997</v>
      </c>
      <c r="G1873" s="3">
        <v>293.33</v>
      </c>
      <c r="H1873" s="3">
        <v>181.55</v>
      </c>
      <c r="I1873" s="3">
        <v>244.97</v>
      </c>
      <c r="J1873" s="3">
        <v>114.42</v>
      </c>
      <c r="K1873" s="3">
        <v>207.56</v>
      </c>
      <c r="L1873" s="3"/>
      <c r="N1873" s="4"/>
    </row>
    <row r="1874" spans="1:14" ht="17.5" thickBot="1" x14ac:dyDescent="0.45">
      <c r="A1874" s="4">
        <v>44731</v>
      </c>
      <c r="B1874" s="3">
        <v>135.86000000000001</v>
      </c>
      <c r="C1874" s="3">
        <v>277.37</v>
      </c>
      <c r="D1874" s="3">
        <v>104.63</v>
      </c>
      <c r="E1874" s="3">
        <v>1.2248000000000001</v>
      </c>
      <c r="F1874" s="3">
        <v>260.27999999999997</v>
      </c>
      <c r="G1874" s="3">
        <v>293.33</v>
      </c>
      <c r="H1874" s="3">
        <v>181.55</v>
      </c>
      <c r="I1874" s="3">
        <v>244.97</v>
      </c>
      <c r="J1874" s="3">
        <v>114.42</v>
      </c>
      <c r="K1874" s="3">
        <v>207.56</v>
      </c>
      <c r="L1874" s="3"/>
      <c r="N1874" s="4"/>
    </row>
    <row r="1875" spans="1:14" ht="17.5" thickBot="1" x14ac:dyDescent="0.45">
      <c r="A1875" s="4">
        <v>44732</v>
      </c>
      <c r="B1875" s="3">
        <v>136.27000000000001</v>
      </c>
      <c r="C1875" s="3">
        <v>275.29000000000002</v>
      </c>
      <c r="D1875" s="3">
        <v>104.8</v>
      </c>
      <c r="E1875" s="3">
        <v>1.2251000000000001</v>
      </c>
      <c r="F1875" s="3">
        <v>260.98</v>
      </c>
      <c r="G1875" s="3">
        <v>293.2</v>
      </c>
      <c r="H1875" s="3">
        <v>181.78</v>
      </c>
      <c r="I1875" s="3">
        <v>244.93</v>
      </c>
      <c r="J1875" s="3">
        <v>114.42</v>
      </c>
      <c r="K1875" s="3">
        <v>207.87</v>
      </c>
      <c r="L1875" s="3"/>
      <c r="N1875" s="4"/>
    </row>
    <row r="1876" spans="1:14" ht="17.5" thickBot="1" x14ac:dyDescent="0.45">
      <c r="A1876" s="4">
        <v>44733</v>
      </c>
      <c r="B1876" s="3">
        <v>138.58000000000001</v>
      </c>
      <c r="C1876" s="3">
        <v>279.42</v>
      </c>
      <c r="D1876" s="3">
        <v>104.89</v>
      </c>
      <c r="E1876" s="3">
        <v>1.2378</v>
      </c>
      <c r="F1876" s="3">
        <v>264.7</v>
      </c>
      <c r="G1876" s="3">
        <v>299.95</v>
      </c>
      <c r="H1876" s="3">
        <v>182.85</v>
      </c>
      <c r="I1876" s="3">
        <v>251.12</v>
      </c>
      <c r="J1876" s="3">
        <v>114.42</v>
      </c>
      <c r="K1876" s="3">
        <v>209.29</v>
      </c>
      <c r="L1876" s="3"/>
      <c r="N1876" s="4"/>
    </row>
    <row r="1877" spans="1:14" ht="17.5" thickBot="1" x14ac:dyDescent="0.45">
      <c r="A1877" s="4">
        <v>44734</v>
      </c>
      <c r="B1877" s="3">
        <v>135.22</v>
      </c>
      <c r="C1877" s="3">
        <v>275.08</v>
      </c>
      <c r="D1877" s="3">
        <v>104.98</v>
      </c>
      <c r="E1877" s="3">
        <v>1.2386999999999999</v>
      </c>
      <c r="F1877" s="3">
        <v>261.94</v>
      </c>
      <c r="G1877" s="3">
        <v>298.79000000000002</v>
      </c>
      <c r="H1877" s="3">
        <v>182.48</v>
      </c>
      <c r="I1877" s="3">
        <v>250.67</v>
      </c>
      <c r="J1877" s="3">
        <v>114.42</v>
      </c>
      <c r="K1877" s="3">
        <v>208.67</v>
      </c>
      <c r="L1877" s="3"/>
      <c r="N1877" s="4"/>
    </row>
    <row r="1878" spans="1:14" ht="17.5" thickBot="1" x14ac:dyDescent="0.45">
      <c r="A1878" s="4">
        <v>44735</v>
      </c>
      <c r="B1878" s="3">
        <v>136.94999999999999</v>
      </c>
      <c r="C1878" s="3">
        <v>274.05</v>
      </c>
      <c r="D1878" s="3">
        <v>105.24</v>
      </c>
      <c r="E1878" s="3">
        <v>1.2455000000000001</v>
      </c>
      <c r="F1878" s="3">
        <v>263.12</v>
      </c>
      <c r="G1878" s="3">
        <v>301.13</v>
      </c>
      <c r="H1878" s="3">
        <v>183.4</v>
      </c>
      <c r="I1878" s="3">
        <v>253.13</v>
      </c>
      <c r="J1878" s="3">
        <v>114.42</v>
      </c>
      <c r="K1878" s="3">
        <v>209.75</v>
      </c>
      <c r="L1878" s="3"/>
      <c r="N1878" s="4"/>
    </row>
    <row r="1879" spans="1:14" ht="17.5" thickBot="1" x14ac:dyDescent="0.45">
      <c r="A1879" s="4">
        <v>44736</v>
      </c>
      <c r="B1879" s="3">
        <v>139.61000000000001</v>
      </c>
      <c r="C1879" s="3">
        <v>275.76</v>
      </c>
      <c r="D1879" s="3">
        <v>105.51</v>
      </c>
      <c r="E1879" s="3">
        <v>1.2638</v>
      </c>
      <c r="F1879" s="3">
        <v>267.88</v>
      </c>
      <c r="G1879" s="3">
        <v>310.52999999999997</v>
      </c>
      <c r="H1879" s="3">
        <v>184.87</v>
      </c>
      <c r="I1879" s="3">
        <v>261</v>
      </c>
      <c r="J1879" s="3">
        <v>114.42</v>
      </c>
      <c r="K1879" s="3">
        <v>211.72</v>
      </c>
      <c r="L1879" s="3"/>
      <c r="N1879" s="4"/>
    </row>
    <row r="1880" spans="1:14" ht="17.5" thickBot="1" x14ac:dyDescent="0.45">
      <c r="A1880" s="4">
        <v>44737</v>
      </c>
      <c r="B1880" s="3">
        <v>139.61000000000001</v>
      </c>
      <c r="C1880" s="3">
        <v>275.76</v>
      </c>
      <c r="D1880" s="3">
        <v>105.51</v>
      </c>
      <c r="E1880" s="3">
        <v>1.2638</v>
      </c>
      <c r="F1880" s="3">
        <v>267.88</v>
      </c>
      <c r="G1880" s="3">
        <v>310.52999999999997</v>
      </c>
      <c r="H1880" s="3">
        <v>184.87</v>
      </c>
      <c r="I1880" s="3">
        <v>261</v>
      </c>
      <c r="J1880" s="3">
        <v>114.42</v>
      </c>
      <c r="K1880" s="3">
        <v>211.72</v>
      </c>
      <c r="L1880" s="3"/>
      <c r="N1880" s="4"/>
    </row>
    <row r="1881" spans="1:14" ht="17.5" thickBot="1" x14ac:dyDescent="0.45">
      <c r="A1881" s="4">
        <v>44738</v>
      </c>
      <c r="B1881" s="3">
        <v>139.61000000000001</v>
      </c>
      <c r="C1881" s="3">
        <v>275.76</v>
      </c>
      <c r="D1881" s="3">
        <v>105.51</v>
      </c>
      <c r="E1881" s="3">
        <v>1.2638</v>
      </c>
      <c r="F1881" s="3">
        <v>267.88</v>
      </c>
      <c r="G1881" s="3">
        <v>310.52999999999997</v>
      </c>
      <c r="H1881" s="3">
        <v>184.87</v>
      </c>
      <c r="I1881" s="3">
        <v>261</v>
      </c>
      <c r="J1881" s="3">
        <v>114.42</v>
      </c>
      <c r="K1881" s="3">
        <v>211.72</v>
      </c>
      <c r="L1881" s="3"/>
      <c r="N1881" s="4"/>
    </row>
    <row r="1882" spans="1:14" ht="17.5" thickBot="1" x14ac:dyDescent="0.45">
      <c r="A1882" s="4">
        <v>44739</v>
      </c>
      <c r="B1882" s="3">
        <v>143.01</v>
      </c>
      <c r="C1882" s="3">
        <v>279.91000000000003</v>
      </c>
      <c r="D1882" s="3">
        <v>105.5</v>
      </c>
      <c r="E1882" s="3">
        <v>1.2638</v>
      </c>
      <c r="F1882" s="3">
        <v>270.42</v>
      </c>
      <c r="G1882" s="3">
        <v>309.58999999999997</v>
      </c>
      <c r="H1882" s="3">
        <v>185.56</v>
      </c>
      <c r="I1882" s="3">
        <v>259.99</v>
      </c>
      <c r="J1882" s="3">
        <v>114.42</v>
      </c>
      <c r="K1882" s="3">
        <v>212.65</v>
      </c>
      <c r="L1882" s="3"/>
      <c r="N1882" s="4"/>
    </row>
    <row r="1883" spans="1:14" ht="17.5" thickBot="1" x14ac:dyDescent="0.45">
      <c r="A1883" s="4">
        <v>44740</v>
      </c>
      <c r="B1883" s="3">
        <v>143.86000000000001</v>
      </c>
      <c r="C1883" s="3">
        <v>280.83999999999997</v>
      </c>
      <c r="D1883" s="3">
        <v>105.41</v>
      </c>
      <c r="E1883" s="3">
        <v>1.2528999999999999</v>
      </c>
      <c r="F1883" s="3">
        <v>270.42</v>
      </c>
      <c r="G1883" s="3">
        <v>303.86</v>
      </c>
      <c r="H1883" s="3">
        <v>185.2</v>
      </c>
      <c r="I1883" s="3">
        <v>254.67</v>
      </c>
      <c r="J1883" s="3">
        <v>114.42</v>
      </c>
      <c r="K1883" s="3">
        <v>212.27</v>
      </c>
      <c r="L1883" s="3"/>
      <c r="N1883" s="4"/>
    </row>
    <row r="1884" spans="1:14" ht="17.5" thickBot="1" x14ac:dyDescent="0.45">
      <c r="A1884" s="4">
        <v>44741</v>
      </c>
      <c r="B1884" s="3">
        <v>141.72999999999999</v>
      </c>
      <c r="C1884" s="3">
        <v>276.67</v>
      </c>
      <c r="D1884" s="3">
        <v>105.32</v>
      </c>
      <c r="E1884" s="3">
        <v>1.2523</v>
      </c>
      <c r="F1884" s="3">
        <v>267.74</v>
      </c>
      <c r="G1884" s="3">
        <v>303.62</v>
      </c>
      <c r="H1884" s="3">
        <v>184.71</v>
      </c>
      <c r="I1884" s="3">
        <v>254.49</v>
      </c>
      <c r="J1884" s="3">
        <v>114.42</v>
      </c>
      <c r="K1884" s="3">
        <v>211.38</v>
      </c>
      <c r="L1884" s="3"/>
      <c r="N1884" s="4"/>
    </row>
    <row r="1885" spans="1:14" ht="17.5" thickBot="1" x14ac:dyDescent="0.45">
      <c r="A1885" s="4">
        <v>44742</v>
      </c>
      <c r="B1885" s="3">
        <v>141.12</v>
      </c>
      <c r="C1885" s="3">
        <v>272.58999999999997</v>
      </c>
      <c r="D1885" s="3">
        <v>105.5</v>
      </c>
      <c r="E1885" s="3">
        <v>1.2474000000000001</v>
      </c>
      <c r="F1885" s="3">
        <v>265.48</v>
      </c>
      <c r="G1885" s="3">
        <v>301.01</v>
      </c>
      <c r="H1885" s="3">
        <v>184.52</v>
      </c>
      <c r="I1885" s="3">
        <v>252.36</v>
      </c>
      <c r="J1885" s="3">
        <v>114.43</v>
      </c>
      <c r="K1885" s="3">
        <v>210.86</v>
      </c>
      <c r="L1885" s="3"/>
      <c r="N1885" s="4"/>
    </row>
    <row r="1886" spans="1:14" ht="17.5" thickBot="1" x14ac:dyDescent="0.45">
      <c r="A1886" s="4">
        <v>44743</v>
      </c>
      <c r="B1886" s="3">
        <v>141.12</v>
      </c>
      <c r="C1886" s="3">
        <v>272.58999999999997</v>
      </c>
      <c r="D1886" s="3">
        <v>105.5</v>
      </c>
      <c r="E1886" s="3">
        <v>1.2474000000000001</v>
      </c>
      <c r="F1886" s="3">
        <v>265.48</v>
      </c>
      <c r="G1886" s="3">
        <v>301.01</v>
      </c>
      <c r="H1886" s="3">
        <v>184.52</v>
      </c>
      <c r="I1886" s="3">
        <v>252.36</v>
      </c>
      <c r="J1886" s="3">
        <v>114.43</v>
      </c>
      <c r="K1886" s="3">
        <v>210.86</v>
      </c>
      <c r="L1886" s="3"/>
      <c r="N1886" s="4"/>
    </row>
    <row r="1887" spans="1:14" ht="17.5" thickBot="1" x14ac:dyDescent="0.45">
      <c r="A1887" s="4">
        <v>44744</v>
      </c>
      <c r="B1887" s="3">
        <v>141.12</v>
      </c>
      <c r="C1887" s="3">
        <v>272.58999999999997</v>
      </c>
      <c r="D1887" s="3">
        <v>105.5</v>
      </c>
      <c r="E1887" s="3">
        <v>1.2474000000000001</v>
      </c>
      <c r="F1887" s="3">
        <v>265.48</v>
      </c>
      <c r="G1887" s="3">
        <v>301.01</v>
      </c>
      <c r="H1887" s="3">
        <v>184.52</v>
      </c>
      <c r="I1887" s="3">
        <v>252.36</v>
      </c>
      <c r="J1887" s="3">
        <v>114.43</v>
      </c>
      <c r="K1887" s="3">
        <v>210.86</v>
      </c>
      <c r="L1887" s="3"/>
      <c r="N1887" s="4"/>
    </row>
    <row r="1888" spans="1:14" ht="17.5" thickBot="1" x14ac:dyDescent="0.45">
      <c r="A1888" s="4">
        <v>44745</v>
      </c>
      <c r="B1888" s="3">
        <v>141.12</v>
      </c>
      <c r="C1888" s="3">
        <v>272.58999999999997</v>
      </c>
      <c r="D1888" s="3">
        <v>105.5</v>
      </c>
      <c r="E1888" s="3">
        <v>1.2474000000000001</v>
      </c>
      <c r="F1888" s="3">
        <v>265.48</v>
      </c>
      <c r="G1888" s="3">
        <v>301.01</v>
      </c>
      <c r="H1888" s="3">
        <v>184.52</v>
      </c>
      <c r="I1888" s="3">
        <v>252.36</v>
      </c>
      <c r="J1888" s="3">
        <v>114.43</v>
      </c>
      <c r="K1888" s="3">
        <v>210.86</v>
      </c>
      <c r="L1888" s="3"/>
      <c r="N1888" s="4"/>
    </row>
    <row r="1889" spans="1:14" ht="17.5" thickBot="1" x14ac:dyDescent="0.45">
      <c r="A1889" s="4">
        <v>44746</v>
      </c>
      <c r="B1889" s="3">
        <v>141.08000000000001</v>
      </c>
      <c r="C1889" s="3">
        <v>269.27</v>
      </c>
      <c r="D1889" s="3">
        <v>106.03</v>
      </c>
      <c r="E1889" s="3">
        <v>1.2527999999999999</v>
      </c>
      <c r="F1889" s="3">
        <v>265.48</v>
      </c>
      <c r="G1889" s="3">
        <v>303.85000000000002</v>
      </c>
      <c r="H1889" s="3">
        <v>184.67</v>
      </c>
      <c r="I1889" s="3">
        <v>254.95</v>
      </c>
      <c r="J1889" s="3">
        <v>114.43</v>
      </c>
      <c r="K1889" s="3">
        <v>210.99</v>
      </c>
      <c r="L1889" s="3"/>
      <c r="N1889" s="4"/>
    </row>
    <row r="1890" spans="1:14" ht="17.5" thickBot="1" x14ac:dyDescent="0.45">
      <c r="A1890" s="4">
        <v>44747</v>
      </c>
      <c r="B1890" s="3">
        <v>141.30000000000001</v>
      </c>
      <c r="C1890" s="3">
        <v>269.44</v>
      </c>
      <c r="D1890" s="3">
        <v>105.85</v>
      </c>
      <c r="E1890" s="3">
        <v>1.2532000000000001</v>
      </c>
      <c r="F1890" s="3">
        <v>264.42</v>
      </c>
      <c r="G1890" s="3">
        <v>304.55</v>
      </c>
      <c r="H1890" s="3">
        <v>184.51</v>
      </c>
      <c r="I1890" s="3">
        <v>255.5</v>
      </c>
      <c r="J1890" s="3">
        <v>114.43</v>
      </c>
      <c r="K1890" s="3">
        <v>210.69</v>
      </c>
      <c r="L1890" s="3"/>
      <c r="N1890" s="4"/>
    </row>
    <row r="1891" spans="1:14" ht="17.5" thickBot="1" x14ac:dyDescent="0.45">
      <c r="A1891" s="4">
        <v>44748</v>
      </c>
      <c r="B1891" s="3">
        <v>139.4</v>
      </c>
      <c r="C1891" s="3">
        <v>265.81</v>
      </c>
      <c r="D1891" s="3">
        <v>105.93</v>
      </c>
      <c r="E1891" s="3">
        <v>1.252</v>
      </c>
      <c r="F1891" s="3">
        <v>263.08999999999997</v>
      </c>
      <c r="G1891" s="3">
        <v>305.37</v>
      </c>
      <c r="H1891" s="3">
        <v>183.89</v>
      </c>
      <c r="I1891" s="3">
        <v>256.39</v>
      </c>
      <c r="J1891" s="3">
        <v>114.43</v>
      </c>
      <c r="K1891" s="3">
        <v>209.87</v>
      </c>
      <c r="L1891" s="3"/>
      <c r="N1891" s="4"/>
    </row>
    <row r="1892" spans="1:14" ht="17.5" thickBot="1" x14ac:dyDescent="0.45">
      <c r="A1892" s="4">
        <v>44749</v>
      </c>
      <c r="B1892" s="3">
        <v>140.38999999999999</v>
      </c>
      <c r="C1892" s="3">
        <v>270.32</v>
      </c>
      <c r="D1892" s="3">
        <v>106.02</v>
      </c>
      <c r="E1892" s="3">
        <v>1.2615000000000001</v>
      </c>
      <c r="F1892" s="3">
        <v>265.69</v>
      </c>
      <c r="G1892" s="3">
        <v>310.33</v>
      </c>
      <c r="H1892" s="3">
        <v>184.23</v>
      </c>
      <c r="I1892" s="3">
        <v>260.2</v>
      </c>
      <c r="J1892" s="3">
        <v>114.43</v>
      </c>
      <c r="K1892" s="3">
        <v>210.58</v>
      </c>
      <c r="L1892" s="3"/>
      <c r="N1892" s="4"/>
    </row>
    <row r="1893" spans="1:14" ht="17.5" thickBot="1" x14ac:dyDescent="0.45">
      <c r="A1893" s="4">
        <v>44750</v>
      </c>
      <c r="B1893" s="3">
        <v>140.69</v>
      </c>
      <c r="C1893" s="3">
        <v>272.54000000000002</v>
      </c>
      <c r="D1893" s="3">
        <v>106.11</v>
      </c>
      <c r="E1893" s="3">
        <v>1.2605999999999999</v>
      </c>
      <c r="F1893" s="3">
        <v>266.85000000000002</v>
      </c>
      <c r="G1893" s="3">
        <v>310.04000000000002</v>
      </c>
      <c r="H1893" s="3">
        <v>184.28</v>
      </c>
      <c r="I1893" s="3">
        <v>260.02999999999997</v>
      </c>
      <c r="J1893" s="3">
        <v>114.43</v>
      </c>
      <c r="K1893" s="3">
        <v>210.78</v>
      </c>
      <c r="L1893" s="3"/>
      <c r="N1893" s="4"/>
    </row>
    <row r="1894" spans="1:14" ht="17.5" thickBot="1" x14ac:dyDescent="0.45">
      <c r="A1894" s="4">
        <v>44751</v>
      </c>
      <c r="B1894" s="3">
        <v>140.69</v>
      </c>
      <c r="C1894" s="3">
        <v>272.54000000000002</v>
      </c>
      <c r="D1894" s="3">
        <v>106.11</v>
      </c>
      <c r="E1894" s="3">
        <v>1.2605999999999999</v>
      </c>
      <c r="F1894" s="3">
        <v>266.85000000000002</v>
      </c>
      <c r="G1894" s="3">
        <v>310.04000000000002</v>
      </c>
      <c r="H1894" s="3">
        <v>184.28</v>
      </c>
      <c r="I1894" s="3">
        <v>260.02999999999997</v>
      </c>
      <c r="J1894" s="3">
        <v>114.43</v>
      </c>
      <c r="K1894" s="3">
        <v>210.78</v>
      </c>
      <c r="L1894" s="3"/>
      <c r="N1894" s="4"/>
    </row>
    <row r="1895" spans="1:14" ht="17.5" thickBot="1" x14ac:dyDescent="0.45">
      <c r="A1895" s="4">
        <v>44752</v>
      </c>
      <c r="B1895" s="3">
        <v>140.69</v>
      </c>
      <c r="C1895" s="3">
        <v>272.54000000000002</v>
      </c>
      <c r="D1895" s="3">
        <v>106.11</v>
      </c>
      <c r="E1895" s="3">
        <v>1.2605999999999999</v>
      </c>
      <c r="F1895" s="3">
        <v>266.85000000000002</v>
      </c>
      <c r="G1895" s="3">
        <v>310.04000000000002</v>
      </c>
      <c r="H1895" s="3">
        <v>184.28</v>
      </c>
      <c r="I1895" s="3">
        <v>260.02999999999997</v>
      </c>
      <c r="J1895" s="3">
        <v>114.43</v>
      </c>
      <c r="K1895" s="3">
        <v>210.78</v>
      </c>
      <c r="L1895" s="3"/>
      <c r="N1895" s="4"/>
    </row>
    <row r="1896" spans="1:14" ht="17.5" thickBot="1" x14ac:dyDescent="0.45">
      <c r="A1896" s="4">
        <v>44753</v>
      </c>
      <c r="B1896" s="3">
        <v>136.96</v>
      </c>
      <c r="C1896" s="3">
        <v>269.54000000000002</v>
      </c>
      <c r="D1896" s="3">
        <v>105.66</v>
      </c>
      <c r="E1896" s="3">
        <v>1.2535000000000001</v>
      </c>
      <c r="F1896" s="3">
        <v>263.29000000000002</v>
      </c>
      <c r="G1896" s="3">
        <v>306.36</v>
      </c>
      <c r="H1896" s="3">
        <v>183.38</v>
      </c>
      <c r="I1896" s="3">
        <v>257.06</v>
      </c>
      <c r="J1896" s="3">
        <v>114.43</v>
      </c>
      <c r="K1896" s="3">
        <v>209.33</v>
      </c>
      <c r="L1896" s="3"/>
      <c r="N1896" s="4"/>
    </row>
    <row r="1897" spans="1:14" ht="17.5" thickBot="1" x14ac:dyDescent="0.45">
      <c r="A1897" s="4">
        <v>44754</v>
      </c>
      <c r="B1897" s="3">
        <v>135.25</v>
      </c>
      <c r="C1897" s="3">
        <v>267.43</v>
      </c>
      <c r="D1897" s="3">
        <v>105.74</v>
      </c>
      <c r="E1897" s="3">
        <v>1.2497</v>
      </c>
      <c r="F1897" s="3">
        <v>261.27999999999997</v>
      </c>
      <c r="G1897" s="3">
        <v>304.06</v>
      </c>
      <c r="H1897" s="3">
        <v>183.06</v>
      </c>
      <c r="I1897" s="3">
        <v>254.76</v>
      </c>
      <c r="J1897" s="3">
        <v>114.43</v>
      </c>
      <c r="K1897" s="3">
        <v>208.7</v>
      </c>
      <c r="L1897" s="3"/>
      <c r="N1897" s="4"/>
    </row>
    <row r="1898" spans="1:14" ht="17.5" thickBot="1" x14ac:dyDescent="0.45">
      <c r="A1898" s="4">
        <v>44755</v>
      </c>
      <c r="B1898" s="3">
        <v>135.12</v>
      </c>
      <c r="C1898" s="3">
        <v>267.92</v>
      </c>
      <c r="D1898" s="3">
        <v>105.92</v>
      </c>
      <c r="E1898" s="3">
        <v>1.2474000000000001</v>
      </c>
      <c r="F1898" s="3">
        <v>260.74</v>
      </c>
      <c r="G1898" s="3">
        <v>302.63</v>
      </c>
      <c r="H1898" s="3">
        <v>183.12</v>
      </c>
      <c r="I1898" s="3">
        <v>253.46</v>
      </c>
      <c r="J1898" s="3">
        <v>114.43</v>
      </c>
      <c r="K1898" s="3">
        <v>208.7</v>
      </c>
      <c r="L1898" s="3"/>
      <c r="N1898" s="4"/>
    </row>
    <row r="1899" spans="1:14" ht="17.5" thickBot="1" x14ac:dyDescent="0.45">
      <c r="A1899" s="4">
        <v>44756</v>
      </c>
      <c r="B1899" s="3">
        <v>134.44999999999999</v>
      </c>
      <c r="C1899" s="3">
        <v>266.87</v>
      </c>
      <c r="D1899" s="3">
        <v>105.47</v>
      </c>
      <c r="E1899" s="3">
        <v>1.24</v>
      </c>
      <c r="F1899" s="3">
        <v>258.77</v>
      </c>
      <c r="G1899" s="3">
        <v>301.48</v>
      </c>
      <c r="H1899" s="3">
        <v>182.11</v>
      </c>
      <c r="I1899" s="3">
        <v>252.85</v>
      </c>
      <c r="J1899" s="3">
        <v>114.43</v>
      </c>
      <c r="K1899" s="3">
        <v>207.48</v>
      </c>
      <c r="L1899" s="3"/>
      <c r="N1899" s="4"/>
    </row>
    <row r="1900" spans="1:14" ht="17.5" thickBot="1" x14ac:dyDescent="0.45">
      <c r="A1900" s="4">
        <v>44757</v>
      </c>
      <c r="B1900" s="3">
        <v>131.91999999999999</v>
      </c>
      <c r="C1900" s="3">
        <v>268.86</v>
      </c>
      <c r="D1900" s="3">
        <v>105.65</v>
      </c>
      <c r="E1900" s="3">
        <v>1.2528999999999999</v>
      </c>
      <c r="F1900" s="3">
        <v>259</v>
      </c>
      <c r="G1900" s="3">
        <v>306.95</v>
      </c>
      <c r="H1900" s="3">
        <v>182.38</v>
      </c>
      <c r="I1900" s="3">
        <v>257.66000000000003</v>
      </c>
      <c r="J1900" s="3">
        <v>114.43</v>
      </c>
      <c r="K1900" s="3">
        <v>207.68</v>
      </c>
      <c r="L1900" s="3"/>
      <c r="N1900" s="4"/>
    </row>
    <row r="1901" spans="1:14" ht="17.5" thickBot="1" x14ac:dyDescent="0.45">
      <c r="A1901" s="4">
        <v>44758</v>
      </c>
      <c r="B1901" s="3">
        <v>131.91999999999999</v>
      </c>
      <c r="C1901" s="3">
        <v>268.86</v>
      </c>
      <c r="D1901" s="3">
        <v>105.65</v>
      </c>
      <c r="E1901" s="3">
        <v>1.2528999999999999</v>
      </c>
      <c r="F1901" s="3">
        <v>259</v>
      </c>
      <c r="G1901" s="3">
        <v>306.95</v>
      </c>
      <c r="H1901" s="3">
        <v>182.38</v>
      </c>
      <c r="I1901" s="3">
        <v>257.66000000000003</v>
      </c>
      <c r="J1901" s="3">
        <v>114.43</v>
      </c>
      <c r="K1901" s="3">
        <v>207.68</v>
      </c>
      <c r="L1901" s="3"/>
      <c r="N1901" s="4"/>
    </row>
    <row r="1902" spans="1:14" ht="17.5" thickBot="1" x14ac:dyDescent="0.45">
      <c r="A1902" s="4">
        <v>44759</v>
      </c>
      <c r="B1902" s="3">
        <v>131.91999999999999</v>
      </c>
      <c r="C1902" s="3">
        <v>268.86</v>
      </c>
      <c r="D1902" s="3">
        <v>105.65</v>
      </c>
      <c r="E1902" s="3">
        <v>1.2528999999999999</v>
      </c>
      <c r="F1902" s="3">
        <v>259</v>
      </c>
      <c r="G1902" s="3">
        <v>306.95</v>
      </c>
      <c r="H1902" s="3">
        <v>182.38</v>
      </c>
      <c r="I1902" s="3">
        <v>257.66000000000003</v>
      </c>
      <c r="J1902" s="3">
        <v>114.43</v>
      </c>
      <c r="K1902" s="3">
        <v>207.68</v>
      </c>
      <c r="L1902" s="3"/>
      <c r="N1902" s="4"/>
    </row>
    <row r="1903" spans="1:14" ht="17.5" thickBot="1" x14ac:dyDescent="0.45">
      <c r="A1903" s="4">
        <v>44760</v>
      </c>
      <c r="B1903" s="3">
        <v>135.24</v>
      </c>
      <c r="C1903" s="3">
        <v>273.11</v>
      </c>
      <c r="D1903" s="3">
        <v>105.91</v>
      </c>
      <c r="E1903" s="3">
        <v>1.2525999999999999</v>
      </c>
      <c r="F1903" s="3">
        <v>261.89999999999998</v>
      </c>
      <c r="G1903" s="3">
        <v>304.63</v>
      </c>
      <c r="H1903" s="3">
        <v>183.27</v>
      </c>
      <c r="I1903" s="3">
        <v>255.56</v>
      </c>
      <c r="J1903" s="3">
        <v>114.43</v>
      </c>
      <c r="K1903" s="3">
        <v>209</v>
      </c>
      <c r="L1903" s="3"/>
      <c r="N1903" s="4"/>
    </row>
    <row r="1904" spans="1:14" ht="17.5" thickBot="1" x14ac:dyDescent="0.45">
      <c r="A1904" s="4">
        <v>44761</v>
      </c>
      <c r="B1904" s="3">
        <v>134.29</v>
      </c>
      <c r="C1904" s="3">
        <v>273.52999999999997</v>
      </c>
      <c r="D1904" s="3">
        <v>105.82</v>
      </c>
      <c r="E1904" s="3">
        <v>1.2665999999999999</v>
      </c>
      <c r="F1904" s="3">
        <v>263.23</v>
      </c>
      <c r="G1904" s="3">
        <v>313.13</v>
      </c>
      <c r="H1904" s="3">
        <v>183.37</v>
      </c>
      <c r="I1904" s="3">
        <v>262.39</v>
      </c>
      <c r="J1904" s="3">
        <v>114.43</v>
      </c>
      <c r="K1904" s="3">
        <v>209.25</v>
      </c>
      <c r="L1904" s="3"/>
      <c r="N1904" s="4"/>
    </row>
    <row r="1905" spans="1:14" ht="17.5" thickBot="1" x14ac:dyDescent="0.45">
      <c r="A1905" s="4">
        <v>44762</v>
      </c>
      <c r="B1905" s="3">
        <v>135.71</v>
      </c>
      <c r="C1905" s="3">
        <v>277.76</v>
      </c>
      <c r="D1905" s="3">
        <v>105.64</v>
      </c>
      <c r="E1905" s="3">
        <v>1.2707999999999999</v>
      </c>
      <c r="F1905" s="3">
        <v>265.12</v>
      </c>
      <c r="G1905" s="3">
        <v>314.95999999999998</v>
      </c>
      <c r="H1905" s="3">
        <v>183.93</v>
      </c>
      <c r="I1905" s="3">
        <v>264.01</v>
      </c>
      <c r="J1905" s="3">
        <v>114.43</v>
      </c>
      <c r="K1905" s="3">
        <v>210.08</v>
      </c>
      <c r="L1905" s="3"/>
      <c r="N1905" s="4"/>
    </row>
    <row r="1906" spans="1:14" ht="17.5" thickBot="1" x14ac:dyDescent="0.45">
      <c r="A1906" s="4">
        <v>44763</v>
      </c>
      <c r="B1906" s="3">
        <v>133.41999999999999</v>
      </c>
      <c r="C1906" s="3">
        <v>279.8</v>
      </c>
      <c r="D1906" s="3">
        <v>105.55</v>
      </c>
      <c r="E1906" s="3">
        <v>1.2787999999999999</v>
      </c>
      <c r="F1906" s="3">
        <v>265</v>
      </c>
      <c r="G1906" s="3">
        <v>317.51</v>
      </c>
      <c r="H1906" s="3">
        <v>184.29</v>
      </c>
      <c r="I1906" s="3">
        <v>266.67</v>
      </c>
      <c r="J1906" s="3">
        <v>114.43</v>
      </c>
      <c r="K1906" s="3">
        <v>210.39</v>
      </c>
      <c r="L1906" s="3"/>
      <c r="N1906" s="4"/>
    </row>
    <row r="1907" spans="1:14" ht="17.5" thickBot="1" x14ac:dyDescent="0.45">
      <c r="A1907" s="4">
        <v>44764</v>
      </c>
      <c r="B1907" s="3">
        <v>133.57</v>
      </c>
      <c r="C1907" s="3">
        <v>280.66000000000003</v>
      </c>
      <c r="D1907" s="3">
        <v>106.26</v>
      </c>
      <c r="E1907" s="3">
        <v>1.2798</v>
      </c>
      <c r="F1907" s="3">
        <v>265.19</v>
      </c>
      <c r="G1907" s="3">
        <v>314.14999999999998</v>
      </c>
      <c r="H1907" s="3">
        <v>185.22</v>
      </c>
      <c r="I1907" s="3">
        <v>264.3</v>
      </c>
      <c r="J1907" s="3">
        <v>114.43</v>
      </c>
      <c r="K1907" s="3">
        <v>211.27</v>
      </c>
      <c r="L1907" s="3"/>
      <c r="N1907" s="4"/>
    </row>
    <row r="1908" spans="1:14" ht="17.5" thickBot="1" x14ac:dyDescent="0.45">
      <c r="A1908" s="4">
        <v>44765</v>
      </c>
      <c r="B1908" s="3">
        <v>133.57</v>
      </c>
      <c r="C1908" s="3">
        <v>280.66000000000003</v>
      </c>
      <c r="D1908" s="3">
        <v>106.26</v>
      </c>
      <c r="E1908" s="3">
        <v>1.2798</v>
      </c>
      <c r="F1908" s="3">
        <v>265.19</v>
      </c>
      <c r="G1908" s="3">
        <v>314.14999999999998</v>
      </c>
      <c r="H1908" s="3">
        <v>185.22</v>
      </c>
      <c r="I1908" s="3">
        <v>264.3</v>
      </c>
      <c r="J1908" s="3">
        <v>114.43</v>
      </c>
      <c r="K1908" s="3">
        <v>211.27</v>
      </c>
      <c r="L1908" s="3"/>
      <c r="N1908" s="4"/>
    </row>
    <row r="1909" spans="1:14" ht="17.5" thickBot="1" x14ac:dyDescent="0.45">
      <c r="A1909" s="4">
        <v>44766</v>
      </c>
      <c r="B1909" s="3">
        <v>133.57</v>
      </c>
      <c r="C1909" s="3">
        <v>280.66000000000003</v>
      </c>
      <c r="D1909" s="3">
        <v>106.26</v>
      </c>
      <c r="E1909" s="3">
        <v>1.2798</v>
      </c>
      <c r="F1909" s="3">
        <v>265.19</v>
      </c>
      <c r="G1909" s="3">
        <v>314.14999999999998</v>
      </c>
      <c r="H1909" s="3">
        <v>185.22</v>
      </c>
      <c r="I1909" s="3">
        <v>264.3</v>
      </c>
      <c r="J1909" s="3">
        <v>114.43</v>
      </c>
      <c r="K1909" s="3">
        <v>211.27</v>
      </c>
      <c r="L1909" s="3"/>
      <c r="N1909" s="4"/>
    </row>
    <row r="1910" spans="1:14" ht="17.5" thickBot="1" x14ac:dyDescent="0.45">
      <c r="A1910" s="4">
        <v>44767</v>
      </c>
      <c r="B1910" s="3">
        <v>133.62</v>
      </c>
      <c r="C1910" s="3">
        <v>279.32</v>
      </c>
      <c r="D1910" s="3">
        <v>106.43</v>
      </c>
      <c r="E1910" s="3">
        <v>1.2788999999999999</v>
      </c>
      <c r="F1910" s="3">
        <v>264.60000000000002</v>
      </c>
      <c r="G1910" s="3">
        <v>314.94</v>
      </c>
      <c r="H1910" s="3">
        <v>184.98</v>
      </c>
      <c r="I1910" s="3">
        <v>264.52999999999997</v>
      </c>
      <c r="J1910" s="3">
        <v>114.43</v>
      </c>
      <c r="K1910" s="3">
        <v>210.93</v>
      </c>
      <c r="L1910" s="3"/>
      <c r="N1910" s="4"/>
    </row>
    <row r="1911" spans="1:14" ht="17.5" thickBot="1" x14ac:dyDescent="0.45">
      <c r="A1911" s="4">
        <v>44768</v>
      </c>
      <c r="B1911" s="3">
        <v>135.84</v>
      </c>
      <c r="C1911" s="3">
        <v>279.12</v>
      </c>
      <c r="D1911" s="3">
        <v>106.61</v>
      </c>
      <c r="E1911" s="3">
        <v>1.2737000000000001</v>
      </c>
      <c r="F1911" s="3">
        <v>265.08999999999997</v>
      </c>
      <c r="G1911" s="3">
        <v>311.37</v>
      </c>
      <c r="H1911" s="3">
        <v>185.26</v>
      </c>
      <c r="I1911" s="3">
        <v>261.37</v>
      </c>
      <c r="J1911" s="3">
        <v>114.43</v>
      </c>
      <c r="K1911" s="3">
        <v>211.28</v>
      </c>
      <c r="L1911" s="3"/>
      <c r="N1911" s="4"/>
    </row>
    <row r="1912" spans="1:14" ht="17.5" thickBot="1" x14ac:dyDescent="0.45">
      <c r="A1912" s="4">
        <v>44769</v>
      </c>
      <c r="B1912" s="3">
        <v>134.11000000000001</v>
      </c>
      <c r="C1912" s="3">
        <v>279.36</v>
      </c>
      <c r="D1912" s="3">
        <v>106.61</v>
      </c>
      <c r="E1912" s="3">
        <v>1.2870999999999999</v>
      </c>
      <c r="F1912" s="3">
        <v>265.36</v>
      </c>
      <c r="G1912" s="3">
        <v>319.64999999999998</v>
      </c>
      <c r="H1912" s="3">
        <v>185.34</v>
      </c>
      <c r="I1912" s="3">
        <v>268.10000000000002</v>
      </c>
      <c r="J1912" s="3">
        <v>114.43</v>
      </c>
      <c r="K1912" s="3">
        <v>211.39</v>
      </c>
      <c r="L1912" s="3"/>
      <c r="N1912" s="4"/>
    </row>
    <row r="1913" spans="1:14" ht="17.5" thickBot="1" x14ac:dyDescent="0.45">
      <c r="A1913" s="4">
        <v>44770</v>
      </c>
      <c r="B1913" s="3">
        <v>133.68</v>
      </c>
      <c r="C1913" s="3">
        <v>283.08</v>
      </c>
      <c r="D1913" s="3">
        <v>107.05</v>
      </c>
      <c r="E1913" s="3">
        <v>1.3001</v>
      </c>
      <c r="F1913" s="3">
        <v>267.3</v>
      </c>
      <c r="G1913" s="3">
        <v>322.52999999999997</v>
      </c>
      <c r="H1913" s="3">
        <v>186.48</v>
      </c>
      <c r="I1913" s="3">
        <v>271.48</v>
      </c>
      <c r="J1913" s="3">
        <v>114.43</v>
      </c>
      <c r="K1913" s="3">
        <v>212.72</v>
      </c>
      <c r="L1913" s="3"/>
      <c r="N1913" s="4"/>
    </row>
    <row r="1914" spans="1:14" ht="17.5" thickBot="1" x14ac:dyDescent="0.45">
      <c r="A1914" s="4">
        <v>44771</v>
      </c>
      <c r="B1914" s="3">
        <v>130.84</v>
      </c>
      <c r="C1914" s="3">
        <v>284.91000000000003</v>
      </c>
      <c r="D1914" s="3">
        <v>107.5</v>
      </c>
      <c r="E1914" s="3">
        <v>1.3093999999999999</v>
      </c>
      <c r="F1914" s="3">
        <v>266.86</v>
      </c>
      <c r="G1914" s="3">
        <v>327.22000000000003</v>
      </c>
      <c r="H1914" s="3">
        <v>186.59</v>
      </c>
      <c r="I1914" s="3">
        <v>275.52</v>
      </c>
      <c r="J1914" s="3">
        <v>114.44</v>
      </c>
      <c r="K1914" s="3">
        <v>212.69</v>
      </c>
      <c r="L1914" s="3"/>
      <c r="N1914" s="4"/>
    </row>
    <row r="1915" spans="1:14" ht="17.5" thickBot="1" x14ac:dyDescent="0.45">
      <c r="A1915" s="4">
        <v>44772</v>
      </c>
      <c r="B1915" s="3">
        <v>130.84</v>
      </c>
      <c r="C1915" s="3">
        <v>284.91000000000003</v>
      </c>
      <c r="D1915" s="3">
        <v>107.5</v>
      </c>
      <c r="E1915" s="3">
        <v>1.3093999999999999</v>
      </c>
      <c r="F1915" s="3">
        <v>266.86</v>
      </c>
      <c r="G1915" s="3">
        <v>327.22000000000003</v>
      </c>
      <c r="H1915" s="3">
        <v>186.59</v>
      </c>
      <c r="I1915" s="3">
        <v>275.52</v>
      </c>
      <c r="J1915" s="3">
        <v>114.44</v>
      </c>
      <c r="K1915" s="3">
        <v>212.69</v>
      </c>
      <c r="L1915" s="3"/>
      <c r="N1915" s="4"/>
    </row>
    <row r="1916" spans="1:14" ht="17.5" thickBot="1" x14ac:dyDescent="0.45">
      <c r="A1916" s="4">
        <v>44773</v>
      </c>
      <c r="B1916" s="3">
        <v>130.84</v>
      </c>
      <c r="C1916" s="3">
        <v>284.91000000000003</v>
      </c>
      <c r="D1916" s="3">
        <v>107.5</v>
      </c>
      <c r="E1916" s="3">
        <v>1.3093999999999999</v>
      </c>
      <c r="F1916" s="3">
        <v>266.86</v>
      </c>
      <c r="G1916" s="3">
        <v>327.22000000000003</v>
      </c>
      <c r="H1916" s="3">
        <v>186.59</v>
      </c>
      <c r="I1916" s="3">
        <v>275.52</v>
      </c>
      <c r="J1916" s="3">
        <v>114.44</v>
      </c>
      <c r="K1916" s="3">
        <v>212.69</v>
      </c>
      <c r="L1916" s="3"/>
      <c r="N1916" s="4"/>
    </row>
    <row r="1917" spans="1:14" ht="17.5" thickBot="1" x14ac:dyDescent="0.45">
      <c r="A1917" s="4">
        <v>44774</v>
      </c>
      <c r="B1917" s="3">
        <v>130.88</v>
      </c>
      <c r="C1917" s="3">
        <v>287.51</v>
      </c>
      <c r="D1917" s="3">
        <v>108.03</v>
      </c>
      <c r="E1917" s="3">
        <v>1.3120000000000001</v>
      </c>
      <c r="F1917" s="3">
        <v>267.44</v>
      </c>
      <c r="G1917" s="3">
        <v>325.95999999999998</v>
      </c>
      <c r="H1917" s="3">
        <v>187.31</v>
      </c>
      <c r="I1917" s="3">
        <v>274.62</v>
      </c>
      <c r="J1917" s="3">
        <v>114.44</v>
      </c>
      <c r="K1917" s="3">
        <v>213.44</v>
      </c>
      <c r="L1917" s="3"/>
      <c r="N1917" s="4"/>
    </row>
    <row r="1918" spans="1:14" ht="17.5" thickBot="1" x14ac:dyDescent="0.45">
      <c r="A1918" s="4">
        <v>44775</v>
      </c>
      <c r="B1918" s="3">
        <v>127.79</v>
      </c>
      <c r="C1918" s="3">
        <v>285.06</v>
      </c>
      <c r="D1918" s="3">
        <v>107.94</v>
      </c>
      <c r="E1918" s="3">
        <v>1.3036000000000001</v>
      </c>
      <c r="F1918" s="3">
        <v>263.94</v>
      </c>
      <c r="G1918" s="3">
        <v>323.88</v>
      </c>
      <c r="H1918" s="3">
        <v>185.82</v>
      </c>
      <c r="I1918" s="3">
        <v>272.86</v>
      </c>
      <c r="J1918" s="3">
        <v>114.44</v>
      </c>
      <c r="K1918" s="3">
        <v>211.46</v>
      </c>
      <c r="L1918" s="3"/>
      <c r="N1918" s="4"/>
    </row>
    <row r="1919" spans="1:14" ht="17.5" thickBot="1" x14ac:dyDescent="0.45">
      <c r="A1919" s="4">
        <v>44776</v>
      </c>
      <c r="B1919" s="3">
        <v>128.29</v>
      </c>
      <c r="C1919" s="3">
        <v>284.26</v>
      </c>
      <c r="D1919" s="3">
        <v>107.49</v>
      </c>
      <c r="E1919" s="3">
        <v>1.3093999999999999</v>
      </c>
      <c r="F1919" s="3">
        <v>263.95999999999998</v>
      </c>
      <c r="G1919" s="3">
        <v>329.18</v>
      </c>
      <c r="H1919" s="3">
        <v>185.34</v>
      </c>
      <c r="I1919" s="3">
        <v>277.08</v>
      </c>
      <c r="J1919" s="3">
        <v>114.44</v>
      </c>
      <c r="K1919" s="3">
        <v>211.02</v>
      </c>
      <c r="L1919" s="3"/>
      <c r="N1919" s="4"/>
    </row>
    <row r="1920" spans="1:14" ht="17.5" thickBot="1" x14ac:dyDescent="0.45">
      <c r="A1920" s="4">
        <v>44777</v>
      </c>
      <c r="B1920" s="3">
        <v>130.85</v>
      </c>
      <c r="C1920" s="3">
        <v>285.02999999999997</v>
      </c>
      <c r="D1920" s="3">
        <v>107.58</v>
      </c>
      <c r="E1920" s="3">
        <v>1.3139000000000001</v>
      </c>
      <c r="F1920" s="3">
        <v>266.20999999999998</v>
      </c>
      <c r="G1920" s="3">
        <v>328.8</v>
      </c>
      <c r="H1920" s="3">
        <v>186.47</v>
      </c>
      <c r="I1920" s="3">
        <v>276.81</v>
      </c>
      <c r="J1920" s="3">
        <v>114.44</v>
      </c>
      <c r="K1920" s="3">
        <v>212.47</v>
      </c>
      <c r="L1920" s="3"/>
      <c r="N1920" s="4"/>
    </row>
    <row r="1921" spans="1:14" ht="17.5" thickBot="1" x14ac:dyDescent="0.45">
      <c r="A1921" s="4">
        <v>44778</v>
      </c>
      <c r="B1921" s="3">
        <v>131.04</v>
      </c>
      <c r="C1921" s="3">
        <v>286.77999999999997</v>
      </c>
      <c r="D1921" s="3">
        <v>107.67</v>
      </c>
      <c r="E1921" s="3">
        <v>1.3080000000000001</v>
      </c>
      <c r="F1921" s="3">
        <v>266.08</v>
      </c>
      <c r="G1921" s="3">
        <v>328.43</v>
      </c>
      <c r="H1921" s="3">
        <v>185.62</v>
      </c>
      <c r="I1921" s="3">
        <v>276.32</v>
      </c>
      <c r="J1921" s="3">
        <v>114.44</v>
      </c>
      <c r="K1921" s="3">
        <v>211.62</v>
      </c>
      <c r="L1921" s="3"/>
      <c r="N1921" s="4"/>
    </row>
    <row r="1922" spans="1:14" ht="17.5" thickBot="1" x14ac:dyDescent="0.45">
      <c r="A1922" s="4">
        <v>44779</v>
      </c>
      <c r="B1922" s="3">
        <v>131.04</v>
      </c>
      <c r="C1922" s="3">
        <v>286.77999999999997</v>
      </c>
      <c r="D1922" s="3">
        <v>107.67</v>
      </c>
      <c r="E1922" s="3">
        <v>1.3080000000000001</v>
      </c>
      <c r="F1922" s="3">
        <v>266.08</v>
      </c>
      <c r="G1922" s="3">
        <v>328.43</v>
      </c>
      <c r="H1922" s="3">
        <v>185.62</v>
      </c>
      <c r="I1922" s="3">
        <v>276.32</v>
      </c>
      <c r="J1922" s="3">
        <v>114.44</v>
      </c>
      <c r="K1922" s="3">
        <v>211.62</v>
      </c>
      <c r="L1922" s="3"/>
      <c r="N1922" s="4"/>
    </row>
    <row r="1923" spans="1:14" ht="17.5" thickBot="1" x14ac:dyDescent="0.45">
      <c r="A1923" s="4">
        <v>44780</v>
      </c>
      <c r="B1923" s="3">
        <v>131.04</v>
      </c>
      <c r="C1923" s="3">
        <v>286.77999999999997</v>
      </c>
      <c r="D1923" s="3">
        <v>107.67</v>
      </c>
      <c r="E1923" s="3">
        <v>1.3080000000000001</v>
      </c>
      <c r="F1923" s="3">
        <v>266.08</v>
      </c>
      <c r="G1923" s="3">
        <v>328.43</v>
      </c>
      <c r="H1923" s="3">
        <v>185.62</v>
      </c>
      <c r="I1923" s="3">
        <v>276.32</v>
      </c>
      <c r="J1923" s="3">
        <v>114.44</v>
      </c>
      <c r="K1923" s="3">
        <v>211.62</v>
      </c>
      <c r="L1923" s="3"/>
      <c r="N1923" s="4"/>
    </row>
    <row r="1924" spans="1:14" ht="17.5" thickBot="1" x14ac:dyDescent="0.45">
      <c r="A1924" s="4">
        <v>44781</v>
      </c>
      <c r="B1924" s="3">
        <v>130.13</v>
      </c>
      <c r="C1924" s="3">
        <v>288.27</v>
      </c>
      <c r="D1924" s="3">
        <v>107.57</v>
      </c>
      <c r="E1924" s="3">
        <v>1.3112999999999999</v>
      </c>
      <c r="F1924" s="3">
        <v>266.25</v>
      </c>
      <c r="G1924" s="3">
        <v>328.24</v>
      </c>
      <c r="H1924" s="3">
        <v>186.01</v>
      </c>
      <c r="I1924" s="3">
        <v>276.05</v>
      </c>
      <c r="J1924" s="3">
        <v>114.44</v>
      </c>
      <c r="K1924" s="3">
        <v>212.01</v>
      </c>
      <c r="L1924" s="3"/>
      <c r="N1924" s="4"/>
    </row>
    <row r="1925" spans="1:14" ht="17.5" thickBot="1" x14ac:dyDescent="0.45">
      <c r="A1925" s="4">
        <v>44782</v>
      </c>
      <c r="B1925" s="3">
        <v>129.76</v>
      </c>
      <c r="C1925" s="3">
        <v>287.85000000000002</v>
      </c>
      <c r="D1925" s="3">
        <v>107.66</v>
      </c>
      <c r="E1925" s="3">
        <v>1.3062</v>
      </c>
      <c r="F1925" s="3">
        <v>265.49</v>
      </c>
      <c r="G1925" s="3">
        <v>327.01</v>
      </c>
      <c r="H1925" s="3">
        <v>185.59</v>
      </c>
      <c r="I1925" s="3">
        <v>274.89</v>
      </c>
      <c r="J1925" s="3">
        <v>114.44</v>
      </c>
      <c r="K1925" s="3">
        <v>211.48</v>
      </c>
      <c r="L1925" s="3"/>
      <c r="N1925" s="4"/>
    </row>
    <row r="1926" spans="1:14" ht="17.5" thickBot="1" x14ac:dyDescent="0.45">
      <c r="A1926" s="4">
        <v>44783</v>
      </c>
      <c r="B1926" s="3">
        <v>127.4</v>
      </c>
      <c r="C1926" s="3">
        <v>287.82</v>
      </c>
      <c r="D1926" s="3">
        <v>107.92</v>
      </c>
      <c r="E1926" s="3">
        <v>1.3213999999999999</v>
      </c>
      <c r="F1926" s="3">
        <v>266.18</v>
      </c>
      <c r="G1926" s="3">
        <v>333.75</v>
      </c>
      <c r="H1926" s="3">
        <v>186.12</v>
      </c>
      <c r="I1926" s="3">
        <v>280.57</v>
      </c>
      <c r="J1926" s="3">
        <v>114.44</v>
      </c>
      <c r="K1926" s="3">
        <v>212.05</v>
      </c>
      <c r="L1926" s="3"/>
      <c r="N1926" s="4"/>
    </row>
    <row r="1927" spans="1:14" ht="17.5" thickBot="1" x14ac:dyDescent="0.45">
      <c r="A1927" s="4">
        <v>44784</v>
      </c>
      <c r="B1927" s="3">
        <v>130.22</v>
      </c>
      <c r="C1927" s="3">
        <v>291.32</v>
      </c>
      <c r="D1927" s="3">
        <v>108.19</v>
      </c>
      <c r="E1927" s="3">
        <v>1.3193999999999999</v>
      </c>
      <c r="F1927" s="3">
        <v>268.47000000000003</v>
      </c>
      <c r="G1927" s="3">
        <v>334.03</v>
      </c>
      <c r="H1927" s="3">
        <v>186.38</v>
      </c>
      <c r="I1927" s="3">
        <v>280.58999999999997</v>
      </c>
      <c r="J1927" s="3">
        <v>114.44</v>
      </c>
      <c r="K1927" s="3">
        <v>212.66</v>
      </c>
      <c r="L1927" s="3"/>
      <c r="N1927" s="4"/>
    </row>
    <row r="1928" spans="1:14" ht="17.5" thickBot="1" x14ac:dyDescent="0.45">
      <c r="A1928" s="4">
        <v>44785</v>
      </c>
      <c r="B1928" s="3">
        <v>131.05000000000001</v>
      </c>
      <c r="C1928" s="3">
        <v>291.63</v>
      </c>
      <c r="D1928" s="3">
        <v>108.01</v>
      </c>
      <c r="E1928" s="3">
        <v>1.3270999999999999</v>
      </c>
      <c r="F1928" s="3">
        <v>269.33</v>
      </c>
      <c r="G1928" s="3">
        <v>339.64</v>
      </c>
      <c r="H1928" s="3">
        <v>186.44</v>
      </c>
      <c r="I1928" s="3">
        <v>284.95</v>
      </c>
      <c r="J1928" s="3">
        <v>114.44</v>
      </c>
      <c r="K1928" s="3">
        <v>212.86</v>
      </c>
      <c r="L1928" s="3"/>
      <c r="N1928" s="4"/>
    </row>
    <row r="1929" spans="1:14" ht="17.5" thickBot="1" x14ac:dyDescent="0.45">
      <c r="A1929" s="4">
        <v>44786</v>
      </c>
      <c r="B1929" s="3">
        <v>131.05000000000001</v>
      </c>
      <c r="C1929" s="3">
        <v>291.63</v>
      </c>
      <c r="D1929" s="3">
        <v>108.01</v>
      </c>
      <c r="E1929" s="3">
        <v>1.3270999999999999</v>
      </c>
      <c r="F1929" s="3">
        <v>269.33</v>
      </c>
      <c r="G1929" s="3">
        <v>339.64</v>
      </c>
      <c r="H1929" s="3">
        <v>186.44</v>
      </c>
      <c r="I1929" s="3">
        <v>284.95</v>
      </c>
      <c r="J1929" s="3">
        <v>114.44</v>
      </c>
      <c r="K1929" s="3">
        <v>212.86</v>
      </c>
      <c r="L1929" s="3"/>
      <c r="N1929" s="4"/>
    </row>
    <row r="1930" spans="1:14" ht="17.5" thickBot="1" x14ac:dyDescent="0.45">
      <c r="A1930" s="4">
        <v>44787</v>
      </c>
      <c r="B1930" s="3">
        <v>131.05000000000001</v>
      </c>
      <c r="C1930" s="3">
        <v>291.63</v>
      </c>
      <c r="D1930" s="3">
        <v>108.01</v>
      </c>
      <c r="E1930" s="3">
        <v>1.3270999999999999</v>
      </c>
      <c r="F1930" s="3">
        <v>269.33</v>
      </c>
      <c r="G1930" s="3">
        <v>339.64</v>
      </c>
      <c r="H1930" s="3">
        <v>186.44</v>
      </c>
      <c r="I1930" s="3">
        <v>284.95</v>
      </c>
      <c r="J1930" s="3">
        <v>114.44</v>
      </c>
      <c r="K1930" s="3">
        <v>212.86</v>
      </c>
      <c r="L1930" s="3"/>
      <c r="N1930" s="4"/>
    </row>
    <row r="1931" spans="1:14" ht="17.5" thickBot="1" x14ac:dyDescent="0.45">
      <c r="A1931" s="4">
        <v>44788</v>
      </c>
      <c r="B1931" s="3">
        <v>130.22</v>
      </c>
      <c r="C1931" s="3">
        <v>292.17</v>
      </c>
      <c r="D1931" s="3">
        <v>107.65</v>
      </c>
      <c r="E1931" s="3">
        <v>1.331</v>
      </c>
      <c r="F1931" s="3">
        <v>269.33</v>
      </c>
      <c r="G1931" s="3">
        <v>340.57</v>
      </c>
      <c r="H1931" s="3">
        <v>186.72</v>
      </c>
      <c r="I1931" s="3">
        <v>286.17</v>
      </c>
      <c r="J1931" s="3">
        <v>114.44</v>
      </c>
      <c r="K1931" s="3">
        <v>213.11</v>
      </c>
      <c r="L1931" s="3"/>
      <c r="N1931" s="4"/>
    </row>
    <row r="1932" spans="1:14" ht="17.5" thickBot="1" x14ac:dyDescent="0.45">
      <c r="A1932" s="4">
        <v>44789</v>
      </c>
      <c r="B1932" s="3">
        <v>128.72</v>
      </c>
      <c r="C1932" s="3">
        <v>292.58999999999997</v>
      </c>
      <c r="D1932" s="3">
        <v>107.73</v>
      </c>
      <c r="E1932" s="3">
        <v>1.33</v>
      </c>
      <c r="F1932" s="3">
        <v>268.70999999999998</v>
      </c>
      <c r="G1932" s="3">
        <v>341.46</v>
      </c>
      <c r="H1932" s="3">
        <v>186.24</v>
      </c>
      <c r="I1932" s="3">
        <v>286.89999999999998</v>
      </c>
      <c r="J1932" s="3">
        <v>114.44</v>
      </c>
      <c r="K1932" s="3">
        <v>212.52</v>
      </c>
      <c r="L1932" s="3"/>
      <c r="N1932" s="4"/>
    </row>
    <row r="1933" spans="1:14" ht="17.5" thickBot="1" x14ac:dyDescent="0.45">
      <c r="A1933" s="4">
        <v>44790</v>
      </c>
      <c r="B1933" s="3">
        <v>129.24</v>
      </c>
      <c r="C1933" s="3">
        <v>292.22000000000003</v>
      </c>
      <c r="D1933" s="3">
        <v>107.37</v>
      </c>
      <c r="E1933" s="3">
        <v>1.3226</v>
      </c>
      <c r="F1933" s="3">
        <v>268.38</v>
      </c>
      <c r="G1933" s="3">
        <v>338.82</v>
      </c>
      <c r="H1933" s="3">
        <v>185.64</v>
      </c>
      <c r="I1933" s="3">
        <v>284.75</v>
      </c>
      <c r="J1933" s="3">
        <v>114.44</v>
      </c>
      <c r="K1933" s="3">
        <v>211.94</v>
      </c>
      <c r="L1933" s="3"/>
      <c r="N1933" s="4"/>
    </row>
    <row r="1934" spans="1:14" ht="17.5" thickBot="1" x14ac:dyDescent="0.45">
      <c r="A1934" s="4">
        <v>44791</v>
      </c>
      <c r="B1934" s="3">
        <v>128.30000000000001</v>
      </c>
      <c r="C1934" s="3">
        <v>291.61</v>
      </c>
      <c r="D1934" s="3">
        <v>107.19</v>
      </c>
      <c r="E1934" s="3">
        <v>1.3234999999999999</v>
      </c>
      <c r="F1934" s="3">
        <v>267.55</v>
      </c>
      <c r="G1934" s="3">
        <v>339.77</v>
      </c>
      <c r="H1934" s="3">
        <v>185.28</v>
      </c>
      <c r="I1934" s="3">
        <v>285.64</v>
      </c>
      <c r="J1934" s="3">
        <v>114.44</v>
      </c>
      <c r="K1934" s="3">
        <v>211.45</v>
      </c>
      <c r="L1934" s="3"/>
      <c r="N1934" s="4"/>
    </row>
    <row r="1935" spans="1:14" ht="17.5" thickBot="1" x14ac:dyDescent="0.45">
      <c r="A1935" s="4">
        <v>44792</v>
      </c>
      <c r="B1935" s="3">
        <v>128.56</v>
      </c>
      <c r="C1935" s="3">
        <v>289.85000000000002</v>
      </c>
      <c r="D1935" s="3">
        <v>106.56</v>
      </c>
      <c r="E1935" s="3">
        <v>1.3102</v>
      </c>
      <c r="F1935" s="3">
        <v>265.79000000000002</v>
      </c>
      <c r="G1935" s="3">
        <v>335.53</v>
      </c>
      <c r="H1935" s="3">
        <v>183.95</v>
      </c>
      <c r="I1935" s="3">
        <v>281.91000000000003</v>
      </c>
      <c r="J1935" s="3">
        <v>114.44</v>
      </c>
      <c r="K1935" s="3">
        <v>209.91</v>
      </c>
      <c r="L1935" s="3"/>
      <c r="N1935" s="4"/>
    </row>
    <row r="1936" spans="1:14" ht="17.5" thickBot="1" x14ac:dyDescent="0.45">
      <c r="A1936" s="4">
        <v>44793</v>
      </c>
      <c r="B1936" s="3">
        <v>128.56</v>
      </c>
      <c r="C1936" s="3">
        <v>289.85000000000002</v>
      </c>
      <c r="D1936" s="3">
        <v>106.56</v>
      </c>
      <c r="E1936" s="3">
        <v>1.3102</v>
      </c>
      <c r="F1936" s="3">
        <v>265.79000000000002</v>
      </c>
      <c r="G1936" s="3">
        <v>335.53</v>
      </c>
      <c r="H1936" s="3">
        <v>183.95</v>
      </c>
      <c r="I1936" s="3">
        <v>281.91000000000003</v>
      </c>
      <c r="J1936" s="3">
        <v>114.44</v>
      </c>
      <c r="K1936" s="3">
        <v>209.91</v>
      </c>
      <c r="L1936" s="3"/>
      <c r="N1936" s="4"/>
    </row>
    <row r="1937" spans="1:14" ht="17.5" thickBot="1" x14ac:dyDescent="0.45">
      <c r="A1937" s="4">
        <v>44794</v>
      </c>
      <c r="B1937" s="3">
        <v>128.56</v>
      </c>
      <c r="C1937" s="3">
        <v>289.85000000000002</v>
      </c>
      <c r="D1937" s="3">
        <v>106.56</v>
      </c>
      <c r="E1937" s="3">
        <v>1.3102</v>
      </c>
      <c r="F1937" s="3">
        <v>265.79000000000002</v>
      </c>
      <c r="G1937" s="3">
        <v>335.53</v>
      </c>
      <c r="H1937" s="3">
        <v>183.95</v>
      </c>
      <c r="I1937" s="3">
        <v>281.91000000000003</v>
      </c>
      <c r="J1937" s="3">
        <v>114.44</v>
      </c>
      <c r="K1937" s="3">
        <v>209.91</v>
      </c>
      <c r="L1937" s="3"/>
      <c r="N1937" s="4"/>
    </row>
    <row r="1938" spans="1:14" ht="17.5" thickBot="1" x14ac:dyDescent="0.45">
      <c r="A1938" s="4">
        <v>44795</v>
      </c>
      <c r="B1938" s="3">
        <v>128.24</v>
      </c>
      <c r="C1938" s="3">
        <v>286.89999999999998</v>
      </c>
      <c r="D1938" s="3">
        <v>106.02</v>
      </c>
      <c r="E1938" s="3">
        <v>1.2946</v>
      </c>
      <c r="F1938" s="3">
        <v>263.42</v>
      </c>
      <c r="G1938" s="3">
        <v>328.38</v>
      </c>
      <c r="H1938" s="3">
        <v>182.76</v>
      </c>
      <c r="I1938" s="3">
        <v>276.02</v>
      </c>
      <c r="J1938" s="3">
        <v>114.44</v>
      </c>
      <c r="K1938" s="3">
        <v>208.43</v>
      </c>
      <c r="L1938" s="3"/>
      <c r="N1938" s="4"/>
    </row>
    <row r="1939" spans="1:14" ht="17.5" thickBot="1" x14ac:dyDescent="0.45">
      <c r="A1939" s="4">
        <v>44796</v>
      </c>
      <c r="B1939" s="3">
        <v>126.76</v>
      </c>
      <c r="C1939" s="3">
        <v>285.36</v>
      </c>
      <c r="D1939" s="3">
        <v>105.93</v>
      </c>
      <c r="E1939" s="3">
        <v>1.2925</v>
      </c>
      <c r="F1939" s="3">
        <v>262.44</v>
      </c>
      <c r="G1939" s="3">
        <v>328.08</v>
      </c>
      <c r="H1939" s="3">
        <v>182.4</v>
      </c>
      <c r="I1939" s="3">
        <v>275.39</v>
      </c>
      <c r="J1939" s="3">
        <v>114.44</v>
      </c>
      <c r="K1939" s="3">
        <v>207.93</v>
      </c>
      <c r="L1939" s="3"/>
      <c r="N1939" s="4"/>
    </row>
    <row r="1940" spans="1:14" ht="17.5" thickBot="1" x14ac:dyDescent="0.45">
      <c r="A1940" s="4">
        <v>44797</v>
      </c>
      <c r="B1940" s="3">
        <v>125.25</v>
      </c>
      <c r="C1940" s="3">
        <v>285.26</v>
      </c>
      <c r="D1940" s="3">
        <v>105.84</v>
      </c>
      <c r="E1940" s="3">
        <v>1.2917000000000001</v>
      </c>
      <c r="F1940" s="3">
        <v>261.29000000000002</v>
      </c>
      <c r="G1940" s="3">
        <v>328.44</v>
      </c>
      <c r="H1940" s="3">
        <v>181.77</v>
      </c>
      <c r="I1940" s="3">
        <v>276.22000000000003</v>
      </c>
      <c r="J1940" s="3">
        <v>114.44</v>
      </c>
      <c r="K1940" s="3">
        <v>207.15</v>
      </c>
      <c r="L1940" s="3"/>
      <c r="N1940" s="4"/>
    </row>
    <row r="1941" spans="1:14" ht="17.5" thickBot="1" x14ac:dyDescent="0.45">
      <c r="A1941" s="4">
        <v>44798</v>
      </c>
      <c r="B1941" s="3">
        <v>129.68</v>
      </c>
      <c r="C1941" s="3">
        <v>287.70999999999998</v>
      </c>
      <c r="D1941" s="3">
        <v>105.93</v>
      </c>
      <c r="E1941" s="3">
        <v>1.3028999999999999</v>
      </c>
      <c r="F1941" s="3">
        <v>265.41000000000003</v>
      </c>
      <c r="G1941" s="3">
        <v>333.07</v>
      </c>
      <c r="H1941" s="3">
        <v>183.24</v>
      </c>
      <c r="I1941" s="3">
        <v>280.01</v>
      </c>
      <c r="J1941" s="3">
        <v>114.44</v>
      </c>
      <c r="K1941" s="3">
        <v>209.23</v>
      </c>
      <c r="L1941" s="3"/>
      <c r="N1941" s="4"/>
    </row>
    <row r="1942" spans="1:14" ht="17.5" thickBot="1" x14ac:dyDescent="0.45">
      <c r="A1942" s="4">
        <v>44799</v>
      </c>
      <c r="B1942" s="3">
        <v>130.97</v>
      </c>
      <c r="C1942" s="3">
        <v>288.37</v>
      </c>
      <c r="D1942" s="3">
        <v>105.83</v>
      </c>
      <c r="E1942" s="3">
        <v>1.2839</v>
      </c>
      <c r="F1942" s="3">
        <v>264.11</v>
      </c>
      <c r="G1942" s="3">
        <v>322.16000000000003</v>
      </c>
      <c r="H1942" s="3">
        <v>182.9</v>
      </c>
      <c r="I1942" s="3">
        <v>270.48</v>
      </c>
      <c r="J1942" s="3">
        <v>114.44</v>
      </c>
      <c r="K1942" s="3">
        <v>208.72</v>
      </c>
      <c r="L1942" s="3"/>
      <c r="N1942" s="4"/>
    </row>
    <row r="1943" spans="1:14" ht="17.5" thickBot="1" x14ac:dyDescent="0.45">
      <c r="A1943" s="4">
        <v>44800</v>
      </c>
      <c r="B1943" s="3">
        <v>130.97</v>
      </c>
      <c r="C1943" s="3">
        <v>288.37</v>
      </c>
      <c r="D1943" s="3">
        <v>105.83</v>
      </c>
      <c r="E1943" s="3">
        <v>1.2839</v>
      </c>
      <c r="F1943" s="3">
        <v>264.11</v>
      </c>
      <c r="G1943" s="3">
        <v>322.16000000000003</v>
      </c>
      <c r="H1943" s="3">
        <v>182.9</v>
      </c>
      <c r="I1943" s="3">
        <v>270.48</v>
      </c>
      <c r="J1943" s="3">
        <v>114.44</v>
      </c>
      <c r="K1943" s="3">
        <v>208.72</v>
      </c>
      <c r="L1943" s="3"/>
      <c r="N1943" s="4"/>
    </row>
    <row r="1944" spans="1:14" ht="17.5" thickBot="1" x14ac:dyDescent="0.45">
      <c r="A1944" s="4">
        <v>44801</v>
      </c>
      <c r="B1944" s="3">
        <v>130.97</v>
      </c>
      <c r="C1944" s="3">
        <v>288.37</v>
      </c>
      <c r="D1944" s="3">
        <v>105.83</v>
      </c>
      <c r="E1944" s="3">
        <v>1.2839</v>
      </c>
      <c r="F1944" s="3">
        <v>264.11</v>
      </c>
      <c r="G1944" s="3">
        <v>322.16000000000003</v>
      </c>
      <c r="H1944" s="3">
        <v>182.9</v>
      </c>
      <c r="I1944" s="3">
        <v>270.48</v>
      </c>
      <c r="J1944" s="3">
        <v>114.44</v>
      </c>
      <c r="K1944" s="3">
        <v>208.72</v>
      </c>
      <c r="L1944" s="3"/>
      <c r="N1944" s="4"/>
    </row>
    <row r="1945" spans="1:14" ht="17.5" thickBot="1" x14ac:dyDescent="0.45">
      <c r="A1945" s="4">
        <v>44802</v>
      </c>
      <c r="B1945" s="3">
        <v>129.83000000000001</v>
      </c>
      <c r="C1945" s="3">
        <v>281.07</v>
      </c>
      <c r="D1945" s="3">
        <v>105.02</v>
      </c>
      <c r="E1945" s="3">
        <v>1.2739</v>
      </c>
      <c r="F1945" s="3">
        <v>261.05</v>
      </c>
      <c r="G1945" s="3">
        <v>319.75</v>
      </c>
      <c r="H1945" s="3">
        <v>181.48</v>
      </c>
      <c r="I1945" s="3">
        <v>268.85000000000002</v>
      </c>
      <c r="J1945" s="3">
        <v>114.44</v>
      </c>
      <c r="K1945" s="3">
        <v>206.93</v>
      </c>
      <c r="L1945" s="3"/>
      <c r="N1945" s="4"/>
    </row>
    <row r="1946" spans="1:14" ht="17.5" thickBot="1" x14ac:dyDescent="0.45">
      <c r="A1946" s="4">
        <v>44803</v>
      </c>
      <c r="B1946" s="3">
        <v>129.61000000000001</v>
      </c>
      <c r="C1946" s="3">
        <v>283.83</v>
      </c>
      <c r="D1946" s="3">
        <v>105.02</v>
      </c>
      <c r="E1946" s="3">
        <v>1.2682</v>
      </c>
      <c r="F1946" s="3">
        <v>260.66000000000003</v>
      </c>
      <c r="G1946" s="3">
        <v>316.24</v>
      </c>
      <c r="H1946" s="3">
        <v>181.34</v>
      </c>
      <c r="I1946" s="3">
        <v>265.76</v>
      </c>
      <c r="J1946" s="3">
        <v>114.44</v>
      </c>
      <c r="K1946" s="3">
        <v>206.72</v>
      </c>
      <c r="L1946" s="3"/>
      <c r="N1946" s="4"/>
    </row>
    <row r="1947" spans="1:14" ht="17.5" thickBot="1" x14ac:dyDescent="0.45">
      <c r="A1947" s="4">
        <v>44804</v>
      </c>
      <c r="B1947" s="3">
        <v>129.62</v>
      </c>
      <c r="C1947" s="3">
        <v>284.77999999999997</v>
      </c>
      <c r="D1947" s="3">
        <v>105.11</v>
      </c>
      <c r="E1947" s="3">
        <v>1.2630999999999999</v>
      </c>
      <c r="F1947" s="3">
        <v>260.2</v>
      </c>
      <c r="G1947" s="3">
        <v>313.98</v>
      </c>
      <c r="H1947" s="3">
        <v>181.18</v>
      </c>
      <c r="I1947" s="3">
        <v>263.77</v>
      </c>
      <c r="J1947" s="3">
        <v>114.45</v>
      </c>
      <c r="K1947" s="3">
        <v>206.49</v>
      </c>
      <c r="L1947" s="3"/>
      <c r="N1947" s="4"/>
    </row>
    <row r="1948" spans="1:14" ht="17.5" thickBot="1" x14ac:dyDescent="0.45">
      <c r="A1948" s="4">
        <v>44805</v>
      </c>
      <c r="B1948" s="3">
        <v>127.71</v>
      </c>
      <c r="C1948" s="3">
        <v>278.45</v>
      </c>
      <c r="D1948" s="3">
        <v>104.48</v>
      </c>
      <c r="E1948" s="3">
        <v>1.2544999999999999</v>
      </c>
      <c r="F1948" s="3">
        <v>256.87</v>
      </c>
      <c r="G1948" s="3">
        <v>314.8</v>
      </c>
      <c r="H1948" s="3">
        <v>179.41</v>
      </c>
      <c r="I1948" s="3">
        <v>264.67</v>
      </c>
      <c r="J1948" s="3">
        <v>114.45</v>
      </c>
      <c r="K1948" s="3">
        <v>204.3</v>
      </c>
      <c r="L1948" s="3"/>
      <c r="N1948" s="4"/>
    </row>
    <row r="1949" spans="1:14" ht="17.5" thickBot="1" x14ac:dyDescent="0.45">
      <c r="A1949" s="4">
        <v>44806</v>
      </c>
      <c r="B1949" s="3">
        <v>126.72</v>
      </c>
      <c r="C1949" s="3">
        <v>277.94</v>
      </c>
      <c r="D1949" s="3">
        <v>104.39</v>
      </c>
      <c r="E1949" s="3">
        <v>1.2546999999999999</v>
      </c>
      <c r="F1949" s="3">
        <v>256.82</v>
      </c>
      <c r="G1949" s="3">
        <v>311.8</v>
      </c>
      <c r="H1949" s="3">
        <v>179.78</v>
      </c>
      <c r="I1949" s="3">
        <v>261.83999999999997</v>
      </c>
      <c r="J1949" s="3">
        <v>114.45</v>
      </c>
      <c r="K1949" s="3">
        <v>204.64</v>
      </c>
      <c r="L1949" s="3"/>
      <c r="N1949" s="4"/>
    </row>
    <row r="1950" spans="1:14" ht="17.5" thickBot="1" x14ac:dyDescent="0.45">
      <c r="A1950" s="4">
        <v>44807</v>
      </c>
      <c r="B1950" s="3">
        <v>126.72</v>
      </c>
      <c r="C1950" s="3">
        <v>277.94</v>
      </c>
      <c r="D1950" s="3">
        <v>104.39</v>
      </c>
      <c r="E1950" s="3">
        <v>1.2546999999999999</v>
      </c>
      <c r="F1950" s="3">
        <v>256.82</v>
      </c>
      <c r="G1950" s="3">
        <v>311.8</v>
      </c>
      <c r="H1950" s="3">
        <v>179.78</v>
      </c>
      <c r="I1950" s="3">
        <v>261.83999999999997</v>
      </c>
      <c r="J1950" s="3">
        <v>114.45</v>
      </c>
      <c r="K1950" s="3">
        <v>204.64</v>
      </c>
      <c r="L1950" s="3"/>
      <c r="N1950" s="4"/>
    </row>
    <row r="1951" spans="1:14" ht="17.5" thickBot="1" x14ac:dyDescent="0.45">
      <c r="A1951" s="4">
        <v>44808</v>
      </c>
      <c r="B1951" s="3">
        <v>126.72</v>
      </c>
      <c r="C1951" s="3">
        <v>277.94</v>
      </c>
      <c r="D1951" s="3">
        <v>104.39</v>
      </c>
      <c r="E1951" s="3">
        <v>1.2546999999999999</v>
      </c>
      <c r="F1951" s="3">
        <v>256.82</v>
      </c>
      <c r="G1951" s="3">
        <v>311.8</v>
      </c>
      <c r="H1951" s="3">
        <v>179.78</v>
      </c>
      <c r="I1951" s="3">
        <v>261.83999999999997</v>
      </c>
      <c r="J1951" s="3">
        <v>114.45</v>
      </c>
      <c r="K1951" s="3">
        <v>204.64</v>
      </c>
      <c r="L1951" s="3"/>
      <c r="N1951" s="4"/>
    </row>
    <row r="1952" spans="1:14" ht="17.5" thickBot="1" x14ac:dyDescent="0.45">
      <c r="A1952" s="4">
        <v>44809</v>
      </c>
      <c r="B1952" s="3">
        <v>125.2</v>
      </c>
      <c r="C1952" s="3">
        <v>278</v>
      </c>
      <c r="D1952" s="3">
        <v>104.29</v>
      </c>
      <c r="E1952" s="3">
        <v>1.2511000000000001</v>
      </c>
      <c r="F1952" s="3">
        <v>255.12</v>
      </c>
      <c r="G1952" s="3">
        <v>311.79000000000002</v>
      </c>
      <c r="H1952" s="3">
        <v>178.91</v>
      </c>
      <c r="I1952" s="3">
        <v>261.85000000000002</v>
      </c>
      <c r="J1952" s="3">
        <v>114.45</v>
      </c>
      <c r="K1952" s="3">
        <v>203.5</v>
      </c>
      <c r="L1952" s="3"/>
      <c r="N1952" s="4"/>
    </row>
    <row r="1953" spans="1:14" ht="17.5" thickBot="1" x14ac:dyDescent="0.45">
      <c r="A1953" s="4">
        <v>44810</v>
      </c>
      <c r="B1953" s="3">
        <v>125.33</v>
      </c>
      <c r="C1953" s="3">
        <v>276.74</v>
      </c>
      <c r="D1953" s="3">
        <v>104.11</v>
      </c>
      <c r="E1953" s="3">
        <v>1.246</v>
      </c>
      <c r="F1953" s="3">
        <v>254.45</v>
      </c>
      <c r="G1953" s="3">
        <v>310.18</v>
      </c>
      <c r="H1953" s="3">
        <v>178.3</v>
      </c>
      <c r="I1953" s="3">
        <v>260.8</v>
      </c>
      <c r="J1953" s="3">
        <v>114.45</v>
      </c>
      <c r="K1953" s="3">
        <v>202.85</v>
      </c>
      <c r="L1953" s="3"/>
      <c r="N1953" s="4"/>
    </row>
    <row r="1954" spans="1:14" ht="17.5" thickBot="1" x14ac:dyDescent="0.45">
      <c r="A1954" s="4">
        <v>44811</v>
      </c>
      <c r="B1954" s="3">
        <v>124.36</v>
      </c>
      <c r="C1954" s="3">
        <v>272.22000000000003</v>
      </c>
      <c r="D1954" s="3">
        <v>103.75</v>
      </c>
      <c r="E1954" s="3">
        <v>1.254</v>
      </c>
      <c r="F1954" s="3">
        <v>253.67</v>
      </c>
      <c r="G1954" s="3">
        <v>315.39</v>
      </c>
      <c r="H1954" s="3">
        <v>178.23</v>
      </c>
      <c r="I1954" s="3">
        <v>265.54000000000002</v>
      </c>
      <c r="J1954" s="3">
        <v>114.45</v>
      </c>
      <c r="K1954" s="3">
        <v>202.69</v>
      </c>
      <c r="L1954" s="3"/>
      <c r="N1954" s="4"/>
    </row>
    <row r="1955" spans="1:14" ht="17.5" thickBot="1" x14ac:dyDescent="0.45">
      <c r="A1955" s="4">
        <v>44812</v>
      </c>
      <c r="B1955" s="3">
        <v>123.2</v>
      </c>
      <c r="C1955" s="3">
        <v>275.67</v>
      </c>
      <c r="D1955" s="3">
        <v>104.11</v>
      </c>
      <c r="E1955" s="3">
        <v>1.2579</v>
      </c>
      <c r="F1955" s="3">
        <v>254.54</v>
      </c>
      <c r="G1955" s="3">
        <v>317.66000000000003</v>
      </c>
      <c r="H1955" s="3">
        <v>178.32</v>
      </c>
      <c r="I1955" s="3">
        <v>267.23</v>
      </c>
      <c r="J1955" s="3">
        <v>114.45</v>
      </c>
      <c r="K1955" s="3">
        <v>202.86</v>
      </c>
      <c r="L1955" s="3"/>
      <c r="N1955" s="4"/>
    </row>
    <row r="1956" spans="1:14" ht="17.5" thickBot="1" x14ac:dyDescent="0.45">
      <c r="A1956" s="4">
        <v>44813</v>
      </c>
      <c r="B1956" s="3">
        <v>126.52</v>
      </c>
      <c r="C1956" s="3">
        <v>278.10000000000002</v>
      </c>
      <c r="D1956" s="3">
        <v>104.37</v>
      </c>
      <c r="E1956" s="3">
        <v>1.2701</v>
      </c>
      <c r="F1956" s="3">
        <v>258.83</v>
      </c>
      <c r="G1956" s="3">
        <v>322.94</v>
      </c>
      <c r="H1956" s="3">
        <v>179.67</v>
      </c>
      <c r="I1956" s="3">
        <v>271.39999999999998</v>
      </c>
      <c r="J1956" s="3">
        <v>114.45</v>
      </c>
      <c r="K1956" s="3">
        <v>204.82</v>
      </c>
      <c r="L1956" s="3"/>
      <c r="N1956" s="4"/>
    </row>
    <row r="1957" spans="1:14" ht="17.5" thickBot="1" x14ac:dyDescent="0.45">
      <c r="A1957" s="4">
        <v>44814</v>
      </c>
      <c r="B1957" s="3">
        <v>126.52</v>
      </c>
      <c r="C1957" s="3">
        <v>278.10000000000002</v>
      </c>
      <c r="D1957" s="3">
        <v>104.37</v>
      </c>
      <c r="E1957" s="3">
        <v>1.2701</v>
      </c>
      <c r="F1957" s="3">
        <v>258.83</v>
      </c>
      <c r="G1957" s="3">
        <v>322.94</v>
      </c>
      <c r="H1957" s="3">
        <v>179.67</v>
      </c>
      <c r="I1957" s="3">
        <v>271.39999999999998</v>
      </c>
      <c r="J1957" s="3">
        <v>114.45</v>
      </c>
      <c r="K1957" s="3">
        <v>204.82</v>
      </c>
      <c r="L1957" s="3"/>
      <c r="N1957" s="4"/>
    </row>
    <row r="1958" spans="1:14" ht="17.5" thickBot="1" x14ac:dyDescent="0.45">
      <c r="A1958" s="4">
        <v>44815</v>
      </c>
      <c r="B1958" s="3">
        <v>126.52</v>
      </c>
      <c r="C1958" s="3">
        <v>278.10000000000002</v>
      </c>
      <c r="D1958" s="3">
        <v>104.37</v>
      </c>
      <c r="E1958" s="3">
        <v>1.2701</v>
      </c>
      <c r="F1958" s="3">
        <v>258.83</v>
      </c>
      <c r="G1958" s="3">
        <v>322.94</v>
      </c>
      <c r="H1958" s="3">
        <v>179.67</v>
      </c>
      <c r="I1958" s="3">
        <v>271.39999999999998</v>
      </c>
      <c r="J1958" s="3">
        <v>114.45</v>
      </c>
      <c r="K1958" s="3">
        <v>204.82</v>
      </c>
      <c r="L1958" s="3"/>
      <c r="N1958" s="4"/>
    </row>
    <row r="1959" spans="1:14" ht="17.5" thickBot="1" x14ac:dyDescent="0.45">
      <c r="A1959" s="4">
        <v>44816</v>
      </c>
      <c r="B1959" s="3">
        <v>126.52</v>
      </c>
      <c r="C1959" s="3">
        <v>278.10000000000002</v>
      </c>
      <c r="D1959" s="3">
        <v>104.37</v>
      </c>
      <c r="E1959" s="3">
        <v>1.2701</v>
      </c>
      <c r="F1959" s="3">
        <v>258.83</v>
      </c>
      <c r="G1959" s="3">
        <v>322.94</v>
      </c>
      <c r="H1959" s="3">
        <v>179.67</v>
      </c>
      <c r="I1959" s="3">
        <v>271.39999999999998</v>
      </c>
      <c r="J1959" s="3">
        <v>114.45</v>
      </c>
      <c r="K1959" s="3">
        <v>204.82</v>
      </c>
      <c r="L1959" s="3"/>
      <c r="N1959" s="4"/>
    </row>
    <row r="1960" spans="1:14" ht="17.5" thickBot="1" x14ac:dyDescent="0.45">
      <c r="A1960" s="4">
        <v>44817</v>
      </c>
      <c r="B1960" s="3">
        <v>126.29</v>
      </c>
      <c r="C1960" s="3">
        <v>275.62</v>
      </c>
      <c r="D1960" s="3">
        <v>104.19</v>
      </c>
      <c r="E1960" s="3">
        <v>1.2533000000000001</v>
      </c>
      <c r="F1960" s="3">
        <v>256.06</v>
      </c>
      <c r="G1960" s="3">
        <v>312.43</v>
      </c>
      <c r="H1960" s="3">
        <v>178.64</v>
      </c>
      <c r="I1960" s="3">
        <v>262.39</v>
      </c>
      <c r="J1960" s="3">
        <v>114.45</v>
      </c>
      <c r="K1960" s="3">
        <v>203.42</v>
      </c>
      <c r="L1960" s="3"/>
      <c r="N1960" s="4"/>
    </row>
    <row r="1961" spans="1:14" ht="17.5" thickBot="1" x14ac:dyDescent="0.45">
      <c r="A1961" s="4">
        <v>44818</v>
      </c>
      <c r="B1961" s="3">
        <v>123.33</v>
      </c>
      <c r="C1961" s="3">
        <v>276.3</v>
      </c>
      <c r="D1961" s="3">
        <v>103.56</v>
      </c>
      <c r="E1961" s="3">
        <v>1.2519</v>
      </c>
      <c r="F1961" s="3">
        <v>254.68</v>
      </c>
      <c r="G1961" s="3">
        <v>313.51</v>
      </c>
      <c r="H1961" s="3">
        <v>178.21</v>
      </c>
      <c r="I1961" s="3">
        <v>263.43</v>
      </c>
      <c r="J1961" s="3">
        <v>114.45</v>
      </c>
      <c r="K1961" s="3">
        <v>202.81</v>
      </c>
      <c r="L1961" s="3"/>
      <c r="N1961" s="4"/>
    </row>
    <row r="1962" spans="1:14" ht="17.5" thickBot="1" x14ac:dyDescent="0.45">
      <c r="A1962" s="4">
        <v>44819</v>
      </c>
      <c r="B1962" s="3">
        <v>123.72</v>
      </c>
      <c r="C1962" s="3">
        <v>275.49</v>
      </c>
      <c r="D1962" s="3">
        <v>103.11</v>
      </c>
      <c r="E1962" s="3">
        <v>1.244</v>
      </c>
      <c r="F1962" s="3">
        <v>253.92</v>
      </c>
      <c r="G1962" s="3">
        <v>310.19</v>
      </c>
      <c r="H1962" s="3">
        <v>177.76</v>
      </c>
      <c r="I1962" s="3">
        <v>260.36</v>
      </c>
      <c r="J1962" s="3">
        <v>114.45</v>
      </c>
      <c r="K1962" s="3">
        <v>202.27</v>
      </c>
      <c r="L1962" s="3"/>
      <c r="N1962" s="4"/>
    </row>
    <row r="1963" spans="1:14" ht="17.5" thickBot="1" x14ac:dyDescent="0.45">
      <c r="A1963" s="4">
        <v>44820</v>
      </c>
      <c r="B1963" s="3">
        <v>122.73</v>
      </c>
      <c r="C1963" s="3">
        <v>272.07</v>
      </c>
      <c r="D1963" s="3">
        <v>102.84</v>
      </c>
      <c r="E1963" s="3">
        <v>1.2366999999999999</v>
      </c>
      <c r="F1963" s="3">
        <v>251.6</v>
      </c>
      <c r="G1963" s="3">
        <v>307.7</v>
      </c>
      <c r="H1963" s="3">
        <v>176.96</v>
      </c>
      <c r="I1963" s="3">
        <v>258.35000000000002</v>
      </c>
      <c r="J1963" s="3">
        <v>114.45</v>
      </c>
      <c r="K1963" s="3">
        <v>201.16</v>
      </c>
      <c r="L1963" s="3"/>
      <c r="N1963" s="4"/>
    </row>
    <row r="1964" spans="1:14" ht="17.5" thickBot="1" x14ac:dyDescent="0.45">
      <c r="A1964" s="4">
        <v>44821</v>
      </c>
      <c r="B1964" s="3">
        <v>122.73</v>
      </c>
      <c r="C1964" s="3">
        <v>272.07</v>
      </c>
      <c r="D1964" s="3">
        <v>102.84</v>
      </c>
      <c r="E1964" s="3">
        <v>1.2366999999999999</v>
      </c>
      <c r="F1964" s="3">
        <v>251.6</v>
      </c>
      <c r="G1964" s="3">
        <v>307.7</v>
      </c>
      <c r="H1964" s="3">
        <v>176.96</v>
      </c>
      <c r="I1964" s="3">
        <v>258.35000000000002</v>
      </c>
      <c r="J1964" s="3">
        <v>114.45</v>
      </c>
      <c r="K1964" s="3">
        <v>201.16</v>
      </c>
      <c r="L1964" s="3"/>
      <c r="N1964" s="4"/>
    </row>
    <row r="1965" spans="1:14" ht="17.5" thickBot="1" x14ac:dyDescent="0.45">
      <c r="A1965" s="4">
        <v>44822</v>
      </c>
      <c r="B1965" s="3">
        <v>122.73</v>
      </c>
      <c r="C1965" s="3">
        <v>272.07</v>
      </c>
      <c r="D1965" s="3">
        <v>102.84</v>
      </c>
      <c r="E1965" s="3">
        <v>1.2366999999999999</v>
      </c>
      <c r="F1965" s="3">
        <v>251.6</v>
      </c>
      <c r="G1965" s="3">
        <v>307.7</v>
      </c>
      <c r="H1965" s="3">
        <v>176.96</v>
      </c>
      <c r="I1965" s="3">
        <v>258.35000000000002</v>
      </c>
      <c r="J1965" s="3">
        <v>114.45</v>
      </c>
      <c r="K1965" s="3">
        <v>201.16</v>
      </c>
      <c r="L1965" s="3"/>
      <c r="N1965" s="4"/>
    </row>
    <row r="1966" spans="1:14" ht="17.5" thickBot="1" x14ac:dyDescent="0.45">
      <c r="A1966" s="4">
        <v>44823</v>
      </c>
      <c r="B1966" s="3">
        <v>121.38</v>
      </c>
      <c r="C1966" s="3">
        <v>271.58999999999997</v>
      </c>
      <c r="D1966" s="3">
        <v>102.75</v>
      </c>
      <c r="E1966" s="3">
        <v>1.2386999999999999</v>
      </c>
      <c r="F1966" s="3">
        <v>250.62</v>
      </c>
      <c r="G1966" s="3">
        <v>309.82</v>
      </c>
      <c r="H1966" s="3">
        <v>176.52</v>
      </c>
      <c r="I1966" s="3">
        <v>260.32</v>
      </c>
      <c r="J1966" s="3">
        <v>114.45</v>
      </c>
      <c r="K1966" s="3">
        <v>200.56</v>
      </c>
      <c r="L1966" s="3"/>
      <c r="N1966" s="4"/>
    </row>
    <row r="1967" spans="1:14" ht="17.5" thickBot="1" x14ac:dyDescent="0.45">
      <c r="A1967" s="4">
        <v>44824</v>
      </c>
      <c r="B1967" s="3">
        <v>122.95</v>
      </c>
      <c r="C1967" s="3">
        <v>273.2</v>
      </c>
      <c r="D1967" s="3">
        <v>102.66</v>
      </c>
      <c r="E1967" s="3">
        <v>1.2299</v>
      </c>
      <c r="F1967" s="3">
        <v>250.57</v>
      </c>
      <c r="G1967" s="3">
        <v>306.56</v>
      </c>
      <c r="H1967" s="3">
        <v>176.09</v>
      </c>
      <c r="I1967" s="3">
        <v>257.27</v>
      </c>
      <c r="J1967" s="3">
        <v>114.45</v>
      </c>
      <c r="K1967" s="3">
        <v>200.17</v>
      </c>
      <c r="L1967" s="3"/>
      <c r="N1967" s="4"/>
    </row>
    <row r="1968" spans="1:14" ht="17.5" thickBot="1" x14ac:dyDescent="0.45">
      <c r="A1968" s="4">
        <v>44825</v>
      </c>
      <c r="B1968" s="3">
        <v>120.85</v>
      </c>
      <c r="C1968" s="3">
        <v>269.93</v>
      </c>
      <c r="D1968" s="3">
        <v>102.3</v>
      </c>
      <c r="E1968" s="3">
        <v>1.2208000000000001</v>
      </c>
      <c r="F1968" s="3">
        <v>247.51</v>
      </c>
      <c r="G1968" s="3">
        <v>301.12</v>
      </c>
      <c r="H1968" s="3">
        <v>175.15</v>
      </c>
      <c r="I1968" s="3">
        <v>252.86</v>
      </c>
      <c r="J1968" s="3">
        <v>114.45</v>
      </c>
      <c r="K1968" s="3">
        <v>198.8</v>
      </c>
      <c r="L1968" s="3"/>
      <c r="N1968" s="4"/>
    </row>
    <row r="1969" spans="1:14" ht="17.5" thickBot="1" x14ac:dyDescent="0.45">
      <c r="A1969" s="4">
        <v>44826</v>
      </c>
      <c r="B1969" s="3">
        <v>118.91</v>
      </c>
      <c r="C1969" s="3">
        <v>267.81</v>
      </c>
      <c r="D1969" s="3">
        <v>101.76</v>
      </c>
      <c r="E1969" s="3">
        <v>1.2097</v>
      </c>
      <c r="F1969" s="3">
        <v>245.24</v>
      </c>
      <c r="G1969" s="3">
        <v>298.58999999999997</v>
      </c>
      <c r="H1969" s="3">
        <v>173.86</v>
      </c>
      <c r="I1969" s="3">
        <v>250.74</v>
      </c>
      <c r="J1969" s="3">
        <v>114.45</v>
      </c>
      <c r="K1969" s="3">
        <v>197.22</v>
      </c>
      <c r="L1969" s="3"/>
      <c r="N1969" s="4"/>
    </row>
    <row r="1970" spans="1:14" ht="17.5" thickBot="1" x14ac:dyDescent="0.45">
      <c r="A1970" s="4">
        <v>44827</v>
      </c>
      <c r="B1970" s="3">
        <v>117.52</v>
      </c>
      <c r="C1970" s="3">
        <v>263.51</v>
      </c>
      <c r="D1970" s="3">
        <v>100.86</v>
      </c>
      <c r="E1970" s="3">
        <v>1.1942999999999999</v>
      </c>
      <c r="F1970" s="3">
        <v>241.52</v>
      </c>
      <c r="G1970" s="3">
        <v>293.32</v>
      </c>
      <c r="H1970" s="3">
        <v>172.29</v>
      </c>
      <c r="I1970" s="3">
        <v>246.57</v>
      </c>
      <c r="J1970" s="3">
        <v>114.45</v>
      </c>
      <c r="K1970" s="3">
        <v>195.17</v>
      </c>
      <c r="L1970" s="3"/>
      <c r="N1970" s="4"/>
    </row>
    <row r="1971" spans="1:14" ht="17.5" thickBot="1" x14ac:dyDescent="0.45">
      <c r="A1971" s="4">
        <v>44828</v>
      </c>
      <c r="B1971" s="3">
        <v>117.52</v>
      </c>
      <c r="C1971" s="3">
        <v>263.51</v>
      </c>
      <c r="D1971" s="3">
        <v>100.86</v>
      </c>
      <c r="E1971" s="3">
        <v>1.1942999999999999</v>
      </c>
      <c r="F1971" s="3">
        <v>241.52</v>
      </c>
      <c r="G1971" s="3">
        <v>293.32</v>
      </c>
      <c r="H1971" s="3">
        <v>172.29</v>
      </c>
      <c r="I1971" s="3">
        <v>246.57</v>
      </c>
      <c r="J1971" s="3">
        <v>114.45</v>
      </c>
      <c r="K1971" s="3">
        <v>195.17</v>
      </c>
      <c r="L1971" s="3"/>
      <c r="N1971" s="4"/>
    </row>
    <row r="1972" spans="1:14" ht="17.5" thickBot="1" x14ac:dyDescent="0.45">
      <c r="A1972" s="4">
        <v>44829</v>
      </c>
      <c r="B1972" s="3">
        <v>117.52</v>
      </c>
      <c r="C1972" s="3">
        <v>263.51</v>
      </c>
      <c r="D1972" s="3">
        <v>100.86</v>
      </c>
      <c r="E1972" s="3">
        <v>1.1942999999999999</v>
      </c>
      <c r="F1972" s="3">
        <v>241.52</v>
      </c>
      <c r="G1972" s="3">
        <v>293.32</v>
      </c>
      <c r="H1972" s="3">
        <v>172.29</v>
      </c>
      <c r="I1972" s="3">
        <v>246.57</v>
      </c>
      <c r="J1972" s="3">
        <v>114.45</v>
      </c>
      <c r="K1972" s="3">
        <v>195.17</v>
      </c>
      <c r="L1972" s="3"/>
      <c r="N1972" s="4"/>
    </row>
    <row r="1973" spans="1:14" ht="17.5" thickBot="1" x14ac:dyDescent="0.45">
      <c r="A1973" s="4">
        <v>44830</v>
      </c>
      <c r="B1973" s="3">
        <v>117.05</v>
      </c>
      <c r="C1973" s="3">
        <v>256.02</v>
      </c>
      <c r="D1973" s="3">
        <v>99.87</v>
      </c>
      <c r="E1973" s="3">
        <v>1.1819</v>
      </c>
      <c r="F1973" s="3">
        <v>238.11</v>
      </c>
      <c r="G1973" s="3">
        <v>290.10000000000002</v>
      </c>
      <c r="H1973" s="3">
        <v>170.52</v>
      </c>
      <c r="I1973" s="3">
        <v>243.84</v>
      </c>
      <c r="J1973" s="3">
        <v>114.45</v>
      </c>
      <c r="K1973" s="3">
        <v>193.06</v>
      </c>
      <c r="L1973" s="3"/>
      <c r="N1973" s="4"/>
    </row>
    <row r="1974" spans="1:14" ht="17.5" thickBot="1" x14ac:dyDescent="0.45">
      <c r="A1974" s="4">
        <v>44831</v>
      </c>
      <c r="B1974" s="3">
        <v>117.11</v>
      </c>
      <c r="C1974" s="3">
        <v>256.3</v>
      </c>
      <c r="D1974" s="3">
        <v>99.6</v>
      </c>
      <c r="E1974" s="3">
        <v>1.1775</v>
      </c>
      <c r="F1974" s="3">
        <v>238.2</v>
      </c>
      <c r="G1974" s="3">
        <v>289.95999999999998</v>
      </c>
      <c r="H1974" s="3">
        <v>170.03</v>
      </c>
      <c r="I1974" s="3">
        <v>243.21</v>
      </c>
      <c r="J1974" s="3">
        <v>114.45</v>
      </c>
      <c r="K1974" s="3">
        <v>192.63</v>
      </c>
      <c r="L1974" s="3"/>
      <c r="N1974" s="4"/>
    </row>
    <row r="1975" spans="1:14" ht="17.5" thickBot="1" x14ac:dyDescent="0.45">
      <c r="A1975" s="4">
        <v>44832</v>
      </c>
      <c r="B1975" s="3">
        <v>113.2</v>
      </c>
      <c r="C1975" s="3">
        <v>252.44</v>
      </c>
      <c r="D1975" s="3">
        <v>99.15</v>
      </c>
      <c r="E1975" s="3">
        <v>1.1896</v>
      </c>
      <c r="F1975" s="3">
        <v>236.57</v>
      </c>
      <c r="G1975" s="3">
        <v>295.48</v>
      </c>
      <c r="H1975" s="3">
        <v>169.89</v>
      </c>
      <c r="I1975" s="3">
        <v>247.91</v>
      </c>
      <c r="J1975" s="3">
        <v>114.45</v>
      </c>
      <c r="K1975" s="3">
        <v>192.22</v>
      </c>
      <c r="L1975" s="3"/>
      <c r="N1975" s="4"/>
    </row>
    <row r="1976" spans="1:14" ht="17.5" thickBot="1" x14ac:dyDescent="0.45">
      <c r="A1976" s="4">
        <v>44833</v>
      </c>
      <c r="B1976" s="3">
        <v>112.52</v>
      </c>
      <c r="C1976" s="3">
        <v>253.78</v>
      </c>
      <c r="D1976" s="3">
        <v>99.42</v>
      </c>
      <c r="E1976" s="3">
        <v>1.1794</v>
      </c>
      <c r="F1976" s="3">
        <v>235.13</v>
      </c>
      <c r="G1976" s="3">
        <v>289.67</v>
      </c>
      <c r="H1976" s="3">
        <v>169.51</v>
      </c>
      <c r="I1976" s="3">
        <v>242.79</v>
      </c>
      <c r="J1976" s="3">
        <v>114.45</v>
      </c>
      <c r="K1976" s="3">
        <v>191.6</v>
      </c>
      <c r="L1976" s="3"/>
      <c r="N1976" s="4"/>
    </row>
    <row r="1977" spans="1:14" ht="17.5" thickBot="1" x14ac:dyDescent="0.45">
      <c r="A1977" s="4">
        <v>44834</v>
      </c>
      <c r="B1977" s="3">
        <v>113.11</v>
      </c>
      <c r="C1977" s="3">
        <v>252.83</v>
      </c>
      <c r="D1977" s="3">
        <v>99.77</v>
      </c>
      <c r="E1977" s="3">
        <v>1.1738</v>
      </c>
      <c r="F1977" s="3">
        <v>234.6</v>
      </c>
      <c r="G1977" s="3">
        <v>285.70999999999998</v>
      </c>
      <c r="H1977" s="3">
        <v>169.46</v>
      </c>
      <c r="I1977" s="3">
        <v>239</v>
      </c>
      <c r="J1977" s="3">
        <v>114.5</v>
      </c>
      <c r="K1977" s="3">
        <v>191.47</v>
      </c>
      <c r="L1977" s="3"/>
      <c r="N1977" s="4"/>
    </row>
    <row r="1978" spans="1:14" ht="17.5" thickBot="1" x14ac:dyDescent="0.45">
      <c r="A1978" s="4">
        <v>44835</v>
      </c>
      <c r="B1978" s="3">
        <v>113.11</v>
      </c>
      <c r="C1978" s="3">
        <v>252.83</v>
      </c>
      <c r="D1978" s="3">
        <v>99.77</v>
      </c>
      <c r="E1978" s="3">
        <v>1.1738</v>
      </c>
      <c r="F1978" s="3">
        <v>234.6</v>
      </c>
      <c r="G1978" s="3">
        <v>285.70999999999998</v>
      </c>
      <c r="H1978" s="3">
        <v>169.46</v>
      </c>
      <c r="I1978" s="3">
        <v>239</v>
      </c>
      <c r="J1978" s="3">
        <v>114.5</v>
      </c>
      <c r="K1978" s="3">
        <v>191.47</v>
      </c>
      <c r="L1978" s="3"/>
      <c r="N1978" s="4"/>
    </row>
    <row r="1979" spans="1:14" ht="17.5" thickBot="1" x14ac:dyDescent="0.45">
      <c r="A1979" s="4">
        <v>44836</v>
      </c>
      <c r="B1979" s="3">
        <v>113.11</v>
      </c>
      <c r="C1979" s="3">
        <v>252.83</v>
      </c>
      <c r="D1979" s="3">
        <v>99.77</v>
      </c>
      <c r="E1979" s="3">
        <v>1.1738</v>
      </c>
      <c r="F1979" s="3">
        <v>234.6</v>
      </c>
      <c r="G1979" s="3">
        <v>285.70999999999998</v>
      </c>
      <c r="H1979" s="3">
        <v>169.46</v>
      </c>
      <c r="I1979" s="3">
        <v>239</v>
      </c>
      <c r="J1979" s="3">
        <v>114.5</v>
      </c>
      <c r="K1979" s="3">
        <v>191.47</v>
      </c>
      <c r="L1979" s="3"/>
      <c r="N1979" s="4"/>
    </row>
    <row r="1980" spans="1:14" ht="17.5" thickBot="1" x14ac:dyDescent="0.45">
      <c r="A1980" s="4">
        <v>44837</v>
      </c>
      <c r="B1980" s="3">
        <v>111.98</v>
      </c>
      <c r="C1980" s="3">
        <v>252.31</v>
      </c>
      <c r="D1980" s="3">
        <v>99.77</v>
      </c>
      <c r="E1980" s="3">
        <v>1.1906000000000001</v>
      </c>
      <c r="F1980" s="3">
        <v>235.75</v>
      </c>
      <c r="G1980" s="3">
        <v>292.94</v>
      </c>
      <c r="H1980" s="3">
        <v>170.34</v>
      </c>
      <c r="I1980" s="3">
        <v>245.26</v>
      </c>
      <c r="J1980" s="3">
        <v>114.5</v>
      </c>
      <c r="K1980" s="3">
        <v>192.46</v>
      </c>
      <c r="L1980" s="3"/>
      <c r="N1980" s="4"/>
    </row>
    <row r="1981" spans="1:14" ht="17.5" thickBot="1" x14ac:dyDescent="0.45">
      <c r="A1981" s="4">
        <v>44838</v>
      </c>
      <c r="B1981" s="3">
        <v>111.98</v>
      </c>
      <c r="C1981" s="3">
        <v>252.31</v>
      </c>
      <c r="D1981" s="3">
        <v>99.77</v>
      </c>
      <c r="E1981" s="3">
        <v>1.1906000000000001</v>
      </c>
      <c r="F1981" s="3">
        <v>235.75</v>
      </c>
      <c r="G1981" s="3">
        <v>292.94</v>
      </c>
      <c r="H1981" s="3">
        <v>170.34</v>
      </c>
      <c r="I1981" s="3">
        <v>245.26</v>
      </c>
      <c r="J1981" s="3">
        <v>114.5</v>
      </c>
      <c r="K1981" s="3">
        <v>192.46</v>
      </c>
      <c r="L1981" s="3"/>
      <c r="N1981" s="4"/>
    </row>
    <row r="1982" spans="1:14" ht="17.5" thickBot="1" x14ac:dyDescent="0.45">
      <c r="A1982" s="4">
        <v>44839</v>
      </c>
      <c r="B1982" s="3">
        <v>118.45</v>
      </c>
      <c r="C1982" s="3">
        <v>262.31</v>
      </c>
      <c r="D1982" s="3">
        <v>100.48</v>
      </c>
      <c r="E1982" s="3">
        <v>1.2092000000000001</v>
      </c>
      <c r="F1982" s="3">
        <v>243.96</v>
      </c>
      <c r="G1982" s="3">
        <v>301.35000000000002</v>
      </c>
      <c r="H1982" s="3">
        <v>172.49</v>
      </c>
      <c r="I1982" s="3">
        <v>252.16</v>
      </c>
      <c r="J1982" s="3">
        <v>114.5</v>
      </c>
      <c r="K1982" s="3">
        <v>195.75</v>
      </c>
      <c r="L1982" s="3"/>
      <c r="N1982" s="4"/>
    </row>
    <row r="1983" spans="1:14" ht="17.5" thickBot="1" x14ac:dyDescent="0.45">
      <c r="A1983" s="4">
        <v>44840</v>
      </c>
      <c r="B1983" s="3">
        <v>118.02</v>
      </c>
      <c r="C1983" s="3">
        <v>263.26</v>
      </c>
      <c r="D1983" s="3">
        <v>100.3</v>
      </c>
      <c r="E1983" s="3">
        <v>1.2022999999999999</v>
      </c>
      <c r="F1983" s="3">
        <v>242.96</v>
      </c>
      <c r="G1983" s="3">
        <v>298.93</v>
      </c>
      <c r="H1983" s="3">
        <v>171.97</v>
      </c>
      <c r="I1983" s="3">
        <v>249.65</v>
      </c>
      <c r="J1983" s="3">
        <v>114.5</v>
      </c>
      <c r="K1983" s="3">
        <v>195.1</v>
      </c>
      <c r="L1983" s="3"/>
      <c r="N1983" s="4"/>
    </row>
    <row r="1984" spans="1:14" ht="17.5" thickBot="1" x14ac:dyDescent="0.45">
      <c r="A1984" s="4">
        <v>44841</v>
      </c>
      <c r="B1984" s="3">
        <v>116.23</v>
      </c>
      <c r="C1984" s="3">
        <v>260.32</v>
      </c>
      <c r="D1984" s="3">
        <v>99.85</v>
      </c>
      <c r="E1984" s="3">
        <v>1.1829000000000001</v>
      </c>
      <c r="F1984" s="3">
        <v>239.22</v>
      </c>
      <c r="G1984" s="3">
        <v>290.79000000000002</v>
      </c>
      <c r="H1984" s="3">
        <v>170.5</v>
      </c>
      <c r="I1984" s="3">
        <v>242.71</v>
      </c>
      <c r="J1984" s="3">
        <v>114.5</v>
      </c>
      <c r="K1984" s="3">
        <v>193.16</v>
      </c>
      <c r="L1984" s="3"/>
      <c r="N1984" s="4"/>
    </row>
    <row r="1985" spans="1:14" ht="17.5" thickBot="1" x14ac:dyDescent="0.45">
      <c r="A1985" s="4">
        <v>44842</v>
      </c>
      <c r="B1985" s="3">
        <v>116.23</v>
      </c>
      <c r="C1985" s="3">
        <v>260.32</v>
      </c>
      <c r="D1985" s="3">
        <v>99.85</v>
      </c>
      <c r="E1985" s="3">
        <v>1.1829000000000001</v>
      </c>
      <c r="F1985" s="3">
        <v>239.22</v>
      </c>
      <c r="G1985" s="3">
        <v>290.79000000000002</v>
      </c>
      <c r="H1985" s="3">
        <v>170.5</v>
      </c>
      <c r="I1985" s="3">
        <v>242.71</v>
      </c>
      <c r="J1985" s="3">
        <v>114.5</v>
      </c>
      <c r="K1985" s="3">
        <v>193.16</v>
      </c>
      <c r="L1985" s="3"/>
      <c r="N1985" s="4"/>
    </row>
    <row r="1986" spans="1:14" ht="17.5" thickBot="1" x14ac:dyDescent="0.45">
      <c r="A1986" s="4">
        <v>44843</v>
      </c>
      <c r="B1986" s="3">
        <v>116.23</v>
      </c>
      <c r="C1986" s="3">
        <v>260.32</v>
      </c>
      <c r="D1986" s="3">
        <v>99.85</v>
      </c>
      <c r="E1986" s="3">
        <v>1.1829000000000001</v>
      </c>
      <c r="F1986" s="3">
        <v>239.22</v>
      </c>
      <c r="G1986" s="3">
        <v>290.79000000000002</v>
      </c>
      <c r="H1986" s="3">
        <v>170.5</v>
      </c>
      <c r="I1986" s="3">
        <v>242.71</v>
      </c>
      <c r="J1986" s="3">
        <v>114.5</v>
      </c>
      <c r="K1986" s="3">
        <v>193.16</v>
      </c>
      <c r="L1986" s="3"/>
      <c r="N1986" s="4"/>
    </row>
    <row r="1987" spans="1:14" ht="17.5" thickBot="1" x14ac:dyDescent="0.45">
      <c r="A1987" s="4">
        <v>44844</v>
      </c>
      <c r="B1987" s="3">
        <v>112.84</v>
      </c>
      <c r="C1987" s="3">
        <v>257.91000000000003</v>
      </c>
      <c r="D1987" s="3">
        <v>99.31</v>
      </c>
      <c r="E1987" s="3">
        <v>1.1828000000000001</v>
      </c>
      <c r="F1987" s="3">
        <v>236.06</v>
      </c>
      <c r="G1987" s="3">
        <v>288.72000000000003</v>
      </c>
      <c r="H1987" s="3">
        <v>169.03</v>
      </c>
      <c r="I1987" s="3">
        <v>240.91</v>
      </c>
      <c r="J1987" s="3">
        <v>114.5</v>
      </c>
      <c r="K1987" s="3">
        <v>191.24</v>
      </c>
      <c r="L1987" s="3"/>
      <c r="N1987" s="4"/>
    </row>
    <row r="1988" spans="1:14" ht="17.5" thickBot="1" x14ac:dyDescent="0.45">
      <c r="A1988" s="4">
        <v>44845</v>
      </c>
      <c r="B1988" s="3">
        <v>110.31</v>
      </c>
      <c r="C1988" s="3">
        <v>252.11</v>
      </c>
      <c r="D1988" s="3">
        <v>98.77</v>
      </c>
      <c r="E1988" s="3">
        <v>1.1668000000000001</v>
      </c>
      <c r="F1988" s="3">
        <v>232.81</v>
      </c>
      <c r="G1988" s="3">
        <v>287</v>
      </c>
      <c r="H1988" s="3">
        <v>167.93</v>
      </c>
      <c r="I1988" s="3">
        <v>239.27</v>
      </c>
      <c r="J1988" s="3">
        <v>114.5</v>
      </c>
      <c r="K1988" s="3">
        <v>189.72</v>
      </c>
      <c r="L1988" s="3"/>
      <c r="N1988" s="4"/>
    </row>
    <row r="1989" spans="1:14" ht="17.5" thickBot="1" x14ac:dyDescent="0.45">
      <c r="A1989" s="4">
        <v>44846</v>
      </c>
      <c r="B1989" s="3">
        <v>109.63</v>
      </c>
      <c r="C1989" s="3">
        <v>251.9</v>
      </c>
      <c r="D1989" s="3">
        <v>98.94</v>
      </c>
      <c r="E1989" s="3">
        <v>1.1640999999999999</v>
      </c>
      <c r="F1989" s="3">
        <v>231.79</v>
      </c>
      <c r="G1989" s="3">
        <v>286.26</v>
      </c>
      <c r="H1989" s="3">
        <v>167.61</v>
      </c>
      <c r="I1989" s="3">
        <v>238.49</v>
      </c>
      <c r="J1989" s="3">
        <v>114.5</v>
      </c>
      <c r="K1989" s="3">
        <v>189.28</v>
      </c>
      <c r="L1989" s="3"/>
      <c r="N1989" s="4"/>
    </row>
    <row r="1990" spans="1:14" ht="17.5" thickBot="1" x14ac:dyDescent="0.45">
      <c r="A1990" s="4">
        <v>44847</v>
      </c>
      <c r="B1990" s="3">
        <v>107.83</v>
      </c>
      <c r="C1990" s="3">
        <v>249.14</v>
      </c>
      <c r="D1990" s="3">
        <v>98.68</v>
      </c>
      <c r="E1990" s="3">
        <v>1.1744000000000001</v>
      </c>
      <c r="F1990" s="3">
        <v>231.46</v>
      </c>
      <c r="G1990" s="3">
        <v>293.99</v>
      </c>
      <c r="H1990" s="3">
        <v>167.28</v>
      </c>
      <c r="I1990" s="3">
        <v>244.77</v>
      </c>
      <c r="J1990" s="3">
        <v>114.5</v>
      </c>
      <c r="K1990" s="3">
        <v>188.9</v>
      </c>
      <c r="L1990" s="3"/>
      <c r="N1990" s="4"/>
    </row>
    <row r="1991" spans="1:14" ht="17.5" thickBot="1" x14ac:dyDescent="0.45">
      <c r="A1991" s="4">
        <v>44848</v>
      </c>
      <c r="B1991" s="3">
        <v>108.92</v>
      </c>
      <c r="C1991" s="3">
        <v>253.5</v>
      </c>
      <c r="D1991" s="3">
        <v>98.76</v>
      </c>
      <c r="E1991" s="3">
        <v>1.165</v>
      </c>
      <c r="F1991" s="3">
        <v>232.64</v>
      </c>
      <c r="G1991" s="3">
        <v>287.38</v>
      </c>
      <c r="H1991" s="3">
        <v>167.54</v>
      </c>
      <c r="I1991" s="3">
        <v>239.2</v>
      </c>
      <c r="J1991" s="3">
        <v>114.5</v>
      </c>
      <c r="K1991" s="3">
        <v>189.34</v>
      </c>
      <c r="L1991" s="3"/>
      <c r="N1991" s="4"/>
    </row>
    <row r="1992" spans="1:14" ht="17.5" thickBot="1" x14ac:dyDescent="0.45">
      <c r="A1992" s="4">
        <v>44849</v>
      </c>
      <c r="B1992" s="3">
        <v>108.92</v>
      </c>
      <c r="C1992" s="3">
        <v>253.5</v>
      </c>
      <c r="D1992" s="3">
        <v>98.76</v>
      </c>
      <c r="E1992" s="3">
        <v>1.165</v>
      </c>
      <c r="F1992" s="3">
        <v>232.64</v>
      </c>
      <c r="G1992" s="3">
        <v>287.38</v>
      </c>
      <c r="H1992" s="3">
        <v>167.54</v>
      </c>
      <c r="I1992" s="3">
        <v>239.2</v>
      </c>
      <c r="J1992" s="3">
        <v>114.5</v>
      </c>
      <c r="K1992" s="3">
        <v>189.34</v>
      </c>
      <c r="L1992" s="3"/>
      <c r="N1992" s="4"/>
    </row>
    <row r="1993" spans="1:14" ht="17.5" thickBot="1" x14ac:dyDescent="0.45">
      <c r="A1993" s="4">
        <v>44850</v>
      </c>
      <c r="B1993" s="3">
        <v>108.92</v>
      </c>
      <c r="C1993" s="3">
        <v>253.5</v>
      </c>
      <c r="D1993" s="3">
        <v>98.76</v>
      </c>
      <c r="E1993" s="3">
        <v>1.165</v>
      </c>
      <c r="F1993" s="3">
        <v>232.64</v>
      </c>
      <c r="G1993" s="3">
        <v>287.38</v>
      </c>
      <c r="H1993" s="3">
        <v>167.54</v>
      </c>
      <c r="I1993" s="3">
        <v>239.2</v>
      </c>
      <c r="J1993" s="3">
        <v>114.5</v>
      </c>
      <c r="K1993" s="3">
        <v>189.34</v>
      </c>
      <c r="L1993" s="3"/>
      <c r="N1993" s="4"/>
    </row>
    <row r="1994" spans="1:14" ht="17.5" thickBot="1" x14ac:dyDescent="0.45">
      <c r="A1994" s="4">
        <v>44851</v>
      </c>
      <c r="B1994" s="3">
        <v>109</v>
      </c>
      <c r="C1994" s="3">
        <v>251.36</v>
      </c>
      <c r="D1994" s="3">
        <v>98.76</v>
      </c>
      <c r="E1994" s="3">
        <v>1.1807000000000001</v>
      </c>
      <c r="F1994" s="3">
        <v>234.01</v>
      </c>
      <c r="G1994" s="3">
        <v>294.62</v>
      </c>
      <c r="H1994" s="3">
        <v>168.07</v>
      </c>
      <c r="I1994" s="3">
        <v>245.3</v>
      </c>
      <c r="J1994" s="3">
        <v>114.5</v>
      </c>
      <c r="K1994" s="3">
        <v>190.07</v>
      </c>
      <c r="L1994" s="3"/>
      <c r="N1994" s="4"/>
    </row>
    <row r="1995" spans="1:14" ht="17.5" thickBot="1" x14ac:dyDescent="0.45">
      <c r="A1995" s="4">
        <v>44852</v>
      </c>
      <c r="B1995" s="3">
        <v>110.98</v>
      </c>
      <c r="C1995" s="3">
        <v>254.34</v>
      </c>
      <c r="D1995" s="3">
        <v>98.84</v>
      </c>
      <c r="E1995" s="3">
        <v>1.1891</v>
      </c>
      <c r="F1995" s="3">
        <v>236.58</v>
      </c>
      <c r="G1995" s="3">
        <v>297.79000000000002</v>
      </c>
      <c r="H1995" s="3">
        <v>168.94</v>
      </c>
      <c r="I1995" s="3">
        <v>248.1</v>
      </c>
      <c r="J1995" s="3">
        <v>114.5</v>
      </c>
      <c r="K1995" s="3">
        <v>191.3</v>
      </c>
      <c r="L1995" s="3"/>
      <c r="N1995" s="4"/>
    </row>
    <row r="1996" spans="1:14" ht="17.5" thickBot="1" x14ac:dyDescent="0.45">
      <c r="A1996" s="4">
        <v>44853</v>
      </c>
      <c r="B1996" s="3">
        <v>108.53</v>
      </c>
      <c r="C1996" s="3">
        <v>253.06</v>
      </c>
      <c r="D1996" s="3">
        <v>98.66</v>
      </c>
      <c r="E1996" s="3">
        <v>1.1812</v>
      </c>
      <c r="F1996" s="3">
        <v>234.17</v>
      </c>
      <c r="G1996" s="3">
        <v>295.70999999999998</v>
      </c>
      <c r="H1996" s="3">
        <v>167.75</v>
      </c>
      <c r="I1996" s="3">
        <v>246.45</v>
      </c>
      <c r="J1996" s="3">
        <v>114.5</v>
      </c>
      <c r="K1996" s="3">
        <v>189.78</v>
      </c>
      <c r="L1996" s="3"/>
      <c r="N1996" s="4"/>
    </row>
    <row r="1997" spans="1:14" ht="17.5" thickBot="1" x14ac:dyDescent="0.45">
      <c r="A1997" s="4">
        <v>44854</v>
      </c>
      <c r="B1997" s="3">
        <v>106.94</v>
      </c>
      <c r="C1997" s="3">
        <v>253.09</v>
      </c>
      <c r="D1997" s="3">
        <v>98.57</v>
      </c>
      <c r="E1997" s="3">
        <v>1.1767000000000001</v>
      </c>
      <c r="F1997" s="3">
        <v>232.81</v>
      </c>
      <c r="G1997" s="3">
        <v>293.10000000000002</v>
      </c>
      <c r="H1997" s="3">
        <v>167.03</v>
      </c>
      <c r="I1997" s="3">
        <v>244.36</v>
      </c>
      <c r="J1997" s="3">
        <v>114.5</v>
      </c>
      <c r="K1997" s="3">
        <v>188.9</v>
      </c>
      <c r="L1997" s="3"/>
      <c r="N1997" s="4"/>
    </row>
    <row r="1998" spans="1:14" ht="17.5" thickBot="1" x14ac:dyDescent="0.45">
      <c r="A1998" s="4">
        <v>44855</v>
      </c>
      <c r="B1998" s="3">
        <v>106.63</v>
      </c>
      <c r="C1998" s="3">
        <v>250.72</v>
      </c>
      <c r="D1998" s="3">
        <v>97.86</v>
      </c>
      <c r="E1998" s="3">
        <v>1.1846000000000001</v>
      </c>
      <c r="F1998" s="3">
        <v>232.75</v>
      </c>
      <c r="G1998" s="3">
        <v>299.77999999999997</v>
      </c>
      <c r="H1998" s="3">
        <v>166.7</v>
      </c>
      <c r="I1998" s="3">
        <v>250.22</v>
      </c>
      <c r="J1998" s="3">
        <v>114.5</v>
      </c>
      <c r="K1998" s="3">
        <v>188.59</v>
      </c>
      <c r="L1998" s="3"/>
      <c r="N1998" s="4"/>
    </row>
    <row r="1999" spans="1:14" ht="17.5" thickBot="1" x14ac:dyDescent="0.45">
      <c r="A1999" s="4">
        <v>44856</v>
      </c>
      <c r="B1999" s="3">
        <v>106.63</v>
      </c>
      <c r="C1999" s="3">
        <v>250.72</v>
      </c>
      <c r="D1999" s="3">
        <v>97.86</v>
      </c>
      <c r="E1999" s="3">
        <v>1.1846000000000001</v>
      </c>
      <c r="F1999" s="3">
        <v>232.75</v>
      </c>
      <c r="G1999" s="3">
        <v>299.77999999999997</v>
      </c>
      <c r="H1999" s="3">
        <v>166.7</v>
      </c>
      <c r="I1999" s="3">
        <v>250.22</v>
      </c>
      <c r="J1999" s="3">
        <v>114.5</v>
      </c>
      <c r="K1999" s="3">
        <v>188.59</v>
      </c>
      <c r="L1999" s="3"/>
      <c r="N1999" s="4"/>
    </row>
    <row r="2000" spans="1:14" ht="17.5" thickBot="1" x14ac:dyDescent="0.45">
      <c r="A2000" s="4">
        <v>44857</v>
      </c>
      <c r="B2000" s="3">
        <v>106.63</v>
      </c>
      <c r="C2000" s="3">
        <v>250.72</v>
      </c>
      <c r="D2000" s="3">
        <v>97.86</v>
      </c>
      <c r="E2000" s="3">
        <v>1.1846000000000001</v>
      </c>
      <c r="F2000" s="3">
        <v>232.75</v>
      </c>
      <c r="G2000" s="3">
        <v>299.77999999999997</v>
      </c>
      <c r="H2000" s="3">
        <v>166.7</v>
      </c>
      <c r="I2000" s="3">
        <v>250.22</v>
      </c>
      <c r="J2000" s="3">
        <v>114.51</v>
      </c>
      <c r="K2000" s="3">
        <v>188.59</v>
      </c>
      <c r="L2000" s="3"/>
      <c r="N2000" s="4"/>
    </row>
    <row r="2001" spans="1:14" ht="17.5" thickBot="1" x14ac:dyDescent="0.45">
      <c r="A2001" s="4">
        <v>44858</v>
      </c>
      <c r="B2001" s="3">
        <v>100</v>
      </c>
      <c r="C2001" s="3">
        <v>252.11</v>
      </c>
      <c r="D2001" s="3">
        <v>97.94</v>
      </c>
      <c r="E2001" s="3">
        <v>1.1921999999999999</v>
      </c>
      <c r="F2001" s="3">
        <v>230.15</v>
      </c>
      <c r="G2001" s="3">
        <v>303.07</v>
      </c>
      <c r="H2001" s="3">
        <v>166.19</v>
      </c>
      <c r="I2001" s="3">
        <v>253.25</v>
      </c>
      <c r="J2001" s="3">
        <v>114.51</v>
      </c>
      <c r="K2001" s="3">
        <v>187.59</v>
      </c>
      <c r="L2001" s="3"/>
      <c r="N2001" s="4"/>
    </row>
    <row r="2002" spans="1:14" ht="17.5" thickBot="1" x14ac:dyDescent="0.45">
      <c r="A2002" s="4">
        <v>44859</v>
      </c>
      <c r="B2002" s="3">
        <v>100.01</v>
      </c>
      <c r="C2002" s="3">
        <v>252.92</v>
      </c>
      <c r="D2002" s="3">
        <v>98.39</v>
      </c>
      <c r="E2002" s="3">
        <v>1.2071000000000001</v>
      </c>
      <c r="F2002" s="3">
        <v>232.45</v>
      </c>
      <c r="G2002" s="3">
        <v>307.79000000000002</v>
      </c>
      <c r="H2002" s="3">
        <v>167.45</v>
      </c>
      <c r="I2002" s="3">
        <v>257.3</v>
      </c>
      <c r="J2002" s="3">
        <v>114.51</v>
      </c>
      <c r="K2002" s="3">
        <v>189.1</v>
      </c>
      <c r="L2002" s="3"/>
      <c r="N2002" s="4"/>
    </row>
    <row r="2003" spans="1:14" ht="17.5" thickBot="1" x14ac:dyDescent="0.45">
      <c r="A2003" s="4">
        <v>44860</v>
      </c>
      <c r="B2003" s="3">
        <v>100.92</v>
      </c>
      <c r="C2003" s="3">
        <v>254.89</v>
      </c>
      <c r="D2003" s="3">
        <v>99.28</v>
      </c>
      <c r="E2003" s="3">
        <v>1.2093</v>
      </c>
      <c r="F2003" s="3">
        <v>233.97</v>
      </c>
      <c r="G2003" s="3">
        <v>305.51</v>
      </c>
      <c r="H2003" s="3">
        <v>168.5</v>
      </c>
      <c r="I2003" s="3">
        <v>255.35</v>
      </c>
      <c r="J2003" s="3">
        <v>114.53</v>
      </c>
      <c r="K2003" s="3">
        <v>190.31</v>
      </c>
      <c r="L2003" s="3"/>
      <c r="N2003" s="4"/>
    </row>
    <row r="2004" spans="1:14" ht="17.5" thickBot="1" x14ac:dyDescent="0.45">
      <c r="A2004" s="4">
        <v>44861</v>
      </c>
      <c r="B2004" s="3">
        <v>101.57</v>
      </c>
      <c r="C2004" s="3">
        <v>257.45</v>
      </c>
      <c r="D2004" s="3">
        <v>99.55</v>
      </c>
      <c r="E2004" s="3">
        <v>1.2097</v>
      </c>
      <c r="F2004" s="3">
        <v>234.31</v>
      </c>
      <c r="G2004" s="3">
        <v>303.52999999999997</v>
      </c>
      <c r="H2004" s="3">
        <v>169.07</v>
      </c>
      <c r="I2004" s="3">
        <v>253.99</v>
      </c>
      <c r="J2004" s="3">
        <v>114.53</v>
      </c>
      <c r="K2004" s="3">
        <v>190.91</v>
      </c>
      <c r="L2004" s="3"/>
      <c r="N2004" s="4"/>
    </row>
    <row r="2005" spans="1:14" ht="17.5" thickBot="1" x14ac:dyDescent="0.45">
      <c r="A2005" s="4">
        <v>44862</v>
      </c>
      <c r="B2005" s="3">
        <v>97.96</v>
      </c>
      <c r="C2005" s="3">
        <v>255.57</v>
      </c>
      <c r="D2005" s="3">
        <v>99.54</v>
      </c>
      <c r="E2005" s="3">
        <v>1.2164999999999999</v>
      </c>
      <c r="F2005" s="3">
        <v>232.15</v>
      </c>
      <c r="G2005" s="3">
        <v>311.22000000000003</v>
      </c>
      <c r="H2005" s="3">
        <v>168.1</v>
      </c>
      <c r="I2005" s="3">
        <v>259.89</v>
      </c>
      <c r="J2005" s="3">
        <v>114.53</v>
      </c>
      <c r="K2005" s="3">
        <v>189.6</v>
      </c>
      <c r="L2005" s="3"/>
      <c r="N2005" s="4"/>
    </row>
    <row r="2006" spans="1:14" ht="17.5" thickBot="1" x14ac:dyDescent="0.45">
      <c r="A2006" s="4">
        <v>44863</v>
      </c>
      <c r="B2006" s="3">
        <v>97.96</v>
      </c>
      <c r="C2006" s="3">
        <v>255.57</v>
      </c>
      <c r="D2006" s="3">
        <v>99.54</v>
      </c>
      <c r="E2006" s="3">
        <v>1.2164999999999999</v>
      </c>
      <c r="F2006" s="3">
        <v>232.15</v>
      </c>
      <c r="G2006" s="3">
        <v>311.22000000000003</v>
      </c>
      <c r="H2006" s="3">
        <v>168.1</v>
      </c>
      <c r="I2006" s="3">
        <v>259.89</v>
      </c>
      <c r="J2006" s="3">
        <v>114.53</v>
      </c>
      <c r="K2006" s="3">
        <v>189.6</v>
      </c>
      <c r="L2006" s="3"/>
      <c r="N2006" s="4"/>
    </row>
    <row r="2007" spans="1:14" ht="17.5" thickBot="1" x14ac:dyDescent="0.45">
      <c r="A2007" s="4">
        <v>44864</v>
      </c>
      <c r="B2007" s="3">
        <v>97.96</v>
      </c>
      <c r="C2007" s="3">
        <v>255.57</v>
      </c>
      <c r="D2007" s="3">
        <v>99.54</v>
      </c>
      <c r="E2007" s="3">
        <v>1.2164999999999999</v>
      </c>
      <c r="F2007" s="3">
        <v>232.15</v>
      </c>
      <c r="G2007" s="3">
        <v>311.22000000000003</v>
      </c>
      <c r="H2007" s="3">
        <v>168.1</v>
      </c>
      <c r="I2007" s="3">
        <v>259.89</v>
      </c>
      <c r="J2007" s="3">
        <v>114.53</v>
      </c>
      <c r="K2007" s="3">
        <v>189.6</v>
      </c>
      <c r="L2007" s="3"/>
      <c r="N2007" s="4"/>
    </row>
    <row r="2008" spans="1:14" ht="17.5" thickBot="1" x14ac:dyDescent="0.45">
      <c r="A2008" s="4">
        <v>44865</v>
      </c>
      <c r="B2008" s="3">
        <v>97.16</v>
      </c>
      <c r="C2008" s="3">
        <v>258.08</v>
      </c>
      <c r="D2008" s="3">
        <v>99.45</v>
      </c>
      <c r="E2008" s="3">
        <v>1.2117</v>
      </c>
      <c r="F2008" s="3">
        <v>231.22</v>
      </c>
      <c r="G2008" s="3">
        <v>309.04000000000002</v>
      </c>
      <c r="H2008" s="3">
        <v>167.48</v>
      </c>
      <c r="I2008" s="3">
        <v>258.07</v>
      </c>
      <c r="J2008" s="3">
        <v>114.63</v>
      </c>
      <c r="K2008" s="3">
        <v>188.85</v>
      </c>
      <c r="L2008" s="3"/>
      <c r="N2008" s="4"/>
    </row>
    <row r="2009" spans="1:14" ht="17.5" thickBot="1" x14ac:dyDescent="0.45">
      <c r="A2009" s="4">
        <v>44866</v>
      </c>
      <c r="B2009" s="3">
        <v>101.76</v>
      </c>
      <c r="C2009" s="3">
        <v>261.06</v>
      </c>
      <c r="D2009" s="3">
        <v>99.63</v>
      </c>
      <c r="E2009" s="3">
        <v>1.214</v>
      </c>
      <c r="F2009" s="3">
        <v>235.01</v>
      </c>
      <c r="G2009" s="3">
        <v>308.52</v>
      </c>
      <c r="H2009" s="3">
        <v>168.72</v>
      </c>
      <c r="I2009" s="3">
        <v>257.01</v>
      </c>
      <c r="J2009" s="3">
        <v>114.63</v>
      </c>
      <c r="K2009" s="3">
        <v>190.67</v>
      </c>
      <c r="L2009" s="3"/>
      <c r="N2009" s="4"/>
    </row>
    <row r="2010" spans="1:14" ht="17.5" thickBot="1" x14ac:dyDescent="0.45">
      <c r="A2010" s="4">
        <v>44867</v>
      </c>
      <c r="B2010" s="3">
        <v>104.09</v>
      </c>
      <c r="C2010" s="3">
        <v>261.42</v>
      </c>
      <c r="D2010" s="3">
        <v>99.62</v>
      </c>
      <c r="E2010" s="3">
        <v>1.2022999999999999</v>
      </c>
      <c r="F2010" s="3">
        <v>234.87</v>
      </c>
      <c r="G2010" s="3">
        <v>300.72000000000003</v>
      </c>
      <c r="H2010" s="3">
        <v>168.77</v>
      </c>
      <c r="I2010" s="3">
        <v>250.48</v>
      </c>
      <c r="J2010" s="3">
        <v>114.63</v>
      </c>
      <c r="K2010" s="3">
        <v>190.71</v>
      </c>
      <c r="L2010" s="3"/>
      <c r="N2010" s="4"/>
    </row>
    <row r="2011" spans="1:14" ht="17.5" thickBot="1" x14ac:dyDescent="0.45">
      <c r="A2011" s="4">
        <v>44868</v>
      </c>
      <c r="B2011" s="3">
        <v>100.98</v>
      </c>
      <c r="C2011" s="3">
        <v>257.86</v>
      </c>
      <c r="D2011" s="3">
        <v>98.91</v>
      </c>
      <c r="E2011" s="3">
        <v>1.1909000000000001</v>
      </c>
      <c r="F2011" s="3">
        <v>231.84</v>
      </c>
      <c r="G2011" s="3">
        <v>297.16000000000003</v>
      </c>
      <c r="H2011" s="3">
        <v>167.3</v>
      </c>
      <c r="I2011" s="3">
        <v>247.96</v>
      </c>
      <c r="J2011" s="3">
        <v>114.63</v>
      </c>
      <c r="K2011" s="3">
        <v>188.89</v>
      </c>
      <c r="L2011" s="3"/>
      <c r="N2011" s="4"/>
    </row>
    <row r="2012" spans="1:14" ht="17.5" thickBot="1" x14ac:dyDescent="0.45">
      <c r="A2012" s="4">
        <v>44869</v>
      </c>
      <c r="B2012" s="3">
        <v>106.11</v>
      </c>
      <c r="C2012" s="3">
        <v>260.22000000000003</v>
      </c>
      <c r="D2012" s="3">
        <v>99.62</v>
      </c>
      <c r="E2012" s="3">
        <v>1.202</v>
      </c>
      <c r="F2012" s="3">
        <v>237.03</v>
      </c>
      <c r="G2012" s="3">
        <v>301.12</v>
      </c>
      <c r="H2012" s="3">
        <v>168.94</v>
      </c>
      <c r="I2012" s="3">
        <v>251.47</v>
      </c>
      <c r="J2012" s="3">
        <v>114.63</v>
      </c>
      <c r="K2012" s="3">
        <v>191.31</v>
      </c>
      <c r="L2012" s="3"/>
      <c r="N2012" s="4"/>
    </row>
    <row r="2013" spans="1:14" ht="17.5" thickBot="1" x14ac:dyDescent="0.45">
      <c r="A2013" s="4">
        <v>44870</v>
      </c>
      <c r="B2013" s="3">
        <v>106.11</v>
      </c>
      <c r="C2013" s="3">
        <v>260.22000000000003</v>
      </c>
      <c r="D2013" s="3">
        <v>99.62</v>
      </c>
      <c r="E2013" s="3">
        <v>1.202</v>
      </c>
      <c r="F2013" s="3">
        <v>237.03</v>
      </c>
      <c r="G2013" s="3">
        <v>301.12</v>
      </c>
      <c r="H2013" s="3">
        <v>168.94</v>
      </c>
      <c r="I2013" s="3">
        <v>251.47</v>
      </c>
      <c r="J2013" s="3">
        <v>114.63</v>
      </c>
      <c r="K2013" s="3">
        <v>191.31</v>
      </c>
      <c r="L2013" s="3"/>
      <c r="N2013" s="4"/>
    </row>
    <row r="2014" spans="1:14" ht="17.5" thickBot="1" x14ac:dyDescent="0.45">
      <c r="A2014" s="4">
        <v>44871</v>
      </c>
      <c r="B2014" s="3">
        <v>106.11</v>
      </c>
      <c r="C2014" s="3">
        <v>260.22000000000003</v>
      </c>
      <c r="D2014" s="3">
        <v>99.62</v>
      </c>
      <c r="E2014" s="3">
        <v>1.202</v>
      </c>
      <c r="F2014" s="3">
        <v>237.03</v>
      </c>
      <c r="G2014" s="3">
        <v>301.12</v>
      </c>
      <c r="H2014" s="3">
        <v>168.94</v>
      </c>
      <c r="I2014" s="3">
        <v>251.47</v>
      </c>
      <c r="J2014" s="3">
        <v>114.63</v>
      </c>
      <c r="K2014" s="3">
        <v>191.31</v>
      </c>
      <c r="L2014" s="3"/>
      <c r="N2014" s="4"/>
    </row>
    <row r="2015" spans="1:14" ht="17.5" thickBot="1" x14ac:dyDescent="0.45">
      <c r="A2015" s="4">
        <v>44872</v>
      </c>
      <c r="B2015" s="3">
        <v>108.96</v>
      </c>
      <c r="C2015" s="3">
        <v>264.63</v>
      </c>
      <c r="D2015" s="3">
        <v>99.79</v>
      </c>
      <c r="E2015" s="3">
        <v>1.2089000000000001</v>
      </c>
      <c r="F2015" s="3">
        <v>240.44</v>
      </c>
      <c r="G2015" s="3">
        <v>303.77</v>
      </c>
      <c r="H2015" s="3">
        <v>170</v>
      </c>
      <c r="I2015" s="3">
        <v>253.89</v>
      </c>
      <c r="J2015" s="3">
        <v>114.63</v>
      </c>
      <c r="K2015" s="3">
        <v>192.82</v>
      </c>
      <c r="L2015" s="3"/>
      <c r="N2015" s="4"/>
    </row>
    <row r="2016" spans="1:14" ht="17.5" thickBot="1" x14ac:dyDescent="0.45">
      <c r="A2016" s="4">
        <v>44873</v>
      </c>
      <c r="B2016" s="3">
        <v>108.9</v>
      </c>
      <c r="C2016" s="3">
        <v>267.52</v>
      </c>
      <c r="D2016" s="3">
        <v>100.06</v>
      </c>
      <c r="E2016" s="3">
        <v>1.2164999999999999</v>
      </c>
      <c r="F2016" s="3">
        <v>241.72</v>
      </c>
      <c r="G2016" s="3">
        <v>305.60000000000002</v>
      </c>
      <c r="H2016" s="3">
        <v>170.72</v>
      </c>
      <c r="I2016" s="3">
        <v>255.27</v>
      </c>
      <c r="J2016" s="3">
        <v>114.63</v>
      </c>
      <c r="K2016" s="3">
        <v>193.66</v>
      </c>
      <c r="L2016" s="3"/>
      <c r="N2016" s="4"/>
    </row>
    <row r="2017" spans="1:14" ht="17.5" thickBot="1" x14ac:dyDescent="0.45">
      <c r="A2017" s="4">
        <v>44874</v>
      </c>
      <c r="B2017" s="3">
        <v>107.53</v>
      </c>
      <c r="C2017" s="3">
        <v>269.23</v>
      </c>
      <c r="D2017" s="3">
        <v>100.24</v>
      </c>
      <c r="E2017" s="3">
        <v>1.2064999999999999</v>
      </c>
      <c r="F2017" s="3">
        <v>239.87</v>
      </c>
      <c r="G2017" s="3">
        <v>299.37</v>
      </c>
      <c r="H2017" s="3">
        <v>170.38</v>
      </c>
      <c r="I2017" s="3">
        <v>250.04</v>
      </c>
      <c r="J2017" s="3">
        <v>114.63</v>
      </c>
      <c r="K2017" s="3">
        <v>193.03</v>
      </c>
      <c r="L2017" s="3"/>
      <c r="N2017" s="4"/>
    </row>
    <row r="2018" spans="1:14" ht="17.5" thickBot="1" x14ac:dyDescent="0.45">
      <c r="A2018" s="4">
        <v>44875</v>
      </c>
      <c r="B2018" s="3">
        <v>105.89</v>
      </c>
      <c r="C2018" s="3">
        <v>275.36</v>
      </c>
      <c r="D2018" s="3">
        <v>100.95</v>
      </c>
      <c r="E2018" s="3">
        <v>1.2444</v>
      </c>
      <c r="F2018" s="3">
        <v>244.78</v>
      </c>
      <c r="G2018" s="3">
        <v>315.66000000000003</v>
      </c>
      <c r="H2018" s="3">
        <v>173.15</v>
      </c>
      <c r="I2018" s="3">
        <v>263.69</v>
      </c>
      <c r="J2018" s="3">
        <v>114.63</v>
      </c>
      <c r="K2018" s="3">
        <v>196.33</v>
      </c>
      <c r="L2018" s="3"/>
      <c r="N2018" s="4"/>
    </row>
    <row r="2019" spans="1:14" ht="17.5" thickBot="1" x14ac:dyDescent="0.45">
      <c r="A2019" s="4">
        <v>44876</v>
      </c>
      <c r="B2019" s="3">
        <v>113.65</v>
      </c>
      <c r="C2019" s="3">
        <v>282.08999999999997</v>
      </c>
      <c r="D2019" s="3">
        <v>103</v>
      </c>
      <c r="E2019" s="3">
        <v>1.2554000000000001</v>
      </c>
      <c r="F2019" s="3">
        <v>251.9</v>
      </c>
      <c r="G2019" s="3">
        <v>318.49</v>
      </c>
      <c r="H2019" s="3">
        <v>175.53</v>
      </c>
      <c r="I2019" s="3">
        <v>265.95999999999998</v>
      </c>
      <c r="J2019" s="3">
        <v>114.63</v>
      </c>
      <c r="K2019" s="3">
        <v>199.62</v>
      </c>
      <c r="L2019" s="3"/>
      <c r="N2019" s="4"/>
    </row>
    <row r="2020" spans="1:14" ht="17.5" thickBot="1" x14ac:dyDescent="0.45">
      <c r="A2020" s="4">
        <v>44877</v>
      </c>
      <c r="B2020" s="3">
        <v>113.65</v>
      </c>
      <c r="C2020" s="3">
        <v>282.08999999999997</v>
      </c>
      <c r="D2020" s="3">
        <v>103</v>
      </c>
      <c r="E2020" s="3">
        <v>1.2554000000000001</v>
      </c>
      <c r="F2020" s="3">
        <v>251.9</v>
      </c>
      <c r="G2020" s="3">
        <v>318.49</v>
      </c>
      <c r="H2020" s="3">
        <v>175.53</v>
      </c>
      <c r="I2020" s="3">
        <v>265.95999999999998</v>
      </c>
      <c r="J2020" s="3">
        <v>114.64</v>
      </c>
      <c r="K2020" s="3">
        <v>199.62</v>
      </c>
      <c r="L2020" s="3"/>
      <c r="N2020" s="4"/>
    </row>
    <row r="2021" spans="1:14" ht="17.5" thickBot="1" x14ac:dyDescent="0.45">
      <c r="A2021" s="4">
        <v>44878</v>
      </c>
      <c r="B2021" s="3">
        <v>113.65</v>
      </c>
      <c r="C2021" s="3">
        <v>282.08999999999997</v>
      </c>
      <c r="D2021" s="3">
        <v>103</v>
      </c>
      <c r="E2021" s="3">
        <v>1.2554000000000001</v>
      </c>
      <c r="F2021" s="3">
        <v>251.9</v>
      </c>
      <c r="G2021" s="3">
        <v>318.49</v>
      </c>
      <c r="H2021" s="3">
        <v>175.53</v>
      </c>
      <c r="I2021" s="3">
        <v>265.95999999999998</v>
      </c>
      <c r="J2021" s="3">
        <v>114.64</v>
      </c>
      <c r="K2021" s="3">
        <v>199.62</v>
      </c>
      <c r="L2021" s="3"/>
      <c r="N2021" s="4"/>
    </row>
    <row r="2022" spans="1:14" ht="17.5" thickBot="1" x14ac:dyDescent="0.45">
      <c r="A2022" s="4">
        <v>44879</v>
      </c>
      <c r="B2022" s="3">
        <v>115.4</v>
      </c>
      <c r="C2022" s="3">
        <v>281.16000000000003</v>
      </c>
      <c r="D2022" s="3">
        <v>102.91</v>
      </c>
      <c r="E2022" s="3">
        <v>1.2501</v>
      </c>
      <c r="F2022" s="3">
        <v>252.46</v>
      </c>
      <c r="G2022" s="3">
        <v>315.67</v>
      </c>
      <c r="H2022" s="3">
        <v>175.68</v>
      </c>
      <c r="I2022" s="3">
        <v>263.72000000000003</v>
      </c>
      <c r="J2022" s="3">
        <v>114.73</v>
      </c>
      <c r="K2022" s="3">
        <v>199.89</v>
      </c>
      <c r="L2022" s="3"/>
      <c r="N2022" s="4"/>
    </row>
    <row r="2023" spans="1:14" ht="17.5" thickBot="1" x14ac:dyDescent="0.45">
      <c r="A2023" s="4">
        <v>44880</v>
      </c>
      <c r="B2023" s="3">
        <v>120.1</v>
      </c>
      <c r="C2023" s="3">
        <v>284.66000000000003</v>
      </c>
      <c r="D2023" s="3">
        <v>103.53</v>
      </c>
      <c r="E2023" s="3">
        <v>1.2586999999999999</v>
      </c>
      <c r="F2023" s="3">
        <v>256.77</v>
      </c>
      <c r="G2023" s="3">
        <v>317.64999999999998</v>
      </c>
      <c r="H2023" s="3">
        <v>177.44</v>
      </c>
      <c r="I2023" s="3">
        <v>265.69</v>
      </c>
      <c r="J2023" s="3">
        <v>114.73</v>
      </c>
      <c r="K2023" s="3">
        <v>202.23</v>
      </c>
      <c r="L2023" s="3"/>
      <c r="N2023" s="4"/>
    </row>
    <row r="2024" spans="1:14" ht="17.5" thickBot="1" x14ac:dyDescent="0.45">
      <c r="A2024" s="4">
        <v>44881</v>
      </c>
      <c r="B2024" s="3">
        <v>119.63</v>
      </c>
      <c r="C2024" s="3">
        <v>283.60000000000002</v>
      </c>
      <c r="D2024" s="3">
        <v>103.7</v>
      </c>
      <c r="E2024" s="3">
        <v>1.256</v>
      </c>
      <c r="F2024" s="3">
        <v>255.71</v>
      </c>
      <c r="G2024" s="3">
        <v>314.86</v>
      </c>
      <c r="H2024" s="3">
        <v>177.65</v>
      </c>
      <c r="I2024" s="3">
        <v>263.64</v>
      </c>
      <c r="J2024" s="3">
        <v>114.73</v>
      </c>
      <c r="K2024" s="3">
        <v>202.25</v>
      </c>
      <c r="L2024" s="3"/>
      <c r="N2024" s="4"/>
    </row>
    <row r="2025" spans="1:14" ht="17.5" thickBot="1" x14ac:dyDescent="0.45">
      <c r="A2025" s="4">
        <v>44882</v>
      </c>
      <c r="B2025" s="3">
        <v>118.29</v>
      </c>
      <c r="C2025" s="3">
        <v>280.52999999999997</v>
      </c>
      <c r="D2025" s="3">
        <v>103.26</v>
      </c>
      <c r="E2025" s="3">
        <v>1.2505999999999999</v>
      </c>
      <c r="F2025" s="3">
        <v>253.62</v>
      </c>
      <c r="G2025" s="3">
        <v>314.24</v>
      </c>
      <c r="H2025" s="3">
        <v>176.76</v>
      </c>
      <c r="I2025" s="3">
        <v>262.79000000000002</v>
      </c>
      <c r="J2025" s="3">
        <v>114.74</v>
      </c>
      <c r="K2025" s="3">
        <v>201.09</v>
      </c>
      <c r="L2025" s="3"/>
      <c r="N2025" s="4"/>
    </row>
    <row r="2026" spans="1:14" ht="17.5" thickBot="1" x14ac:dyDescent="0.45">
      <c r="A2026" s="4">
        <v>44883</v>
      </c>
      <c r="B2026" s="3">
        <v>117.81</v>
      </c>
      <c r="C2026" s="3">
        <v>281.56</v>
      </c>
      <c r="D2026" s="3">
        <v>103.52</v>
      </c>
      <c r="E2026" s="3">
        <v>1.2542</v>
      </c>
      <c r="F2026" s="3">
        <v>254.55</v>
      </c>
      <c r="G2026" s="3">
        <v>315.70999999999998</v>
      </c>
      <c r="H2026" s="3">
        <v>177.03</v>
      </c>
      <c r="I2026" s="3">
        <v>264</v>
      </c>
      <c r="J2026" s="3">
        <v>114.74</v>
      </c>
      <c r="K2026" s="3">
        <v>201.5</v>
      </c>
      <c r="L2026" s="3"/>
      <c r="N2026" s="4"/>
    </row>
    <row r="2027" spans="1:14" ht="17.5" thickBot="1" x14ac:dyDescent="0.45">
      <c r="A2027" s="4">
        <v>44884</v>
      </c>
      <c r="B2027" s="3">
        <v>117.81</v>
      </c>
      <c r="C2027" s="3">
        <v>281.56</v>
      </c>
      <c r="D2027" s="3">
        <v>103.52</v>
      </c>
      <c r="E2027" s="3">
        <v>1.2542</v>
      </c>
      <c r="F2027" s="3">
        <v>254.55</v>
      </c>
      <c r="G2027" s="3">
        <v>315.70999999999998</v>
      </c>
      <c r="H2027" s="3">
        <v>177.03</v>
      </c>
      <c r="I2027" s="3">
        <v>264</v>
      </c>
      <c r="J2027" s="3">
        <v>114.74</v>
      </c>
      <c r="K2027" s="3">
        <v>201.5</v>
      </c>
      <c r="L2027" s="3"/>
      <c r="N2027" s="4"/>
    </row>
    <row r="2028" spans="1:14" ht="17.5" thickBot="1" x14ac:dyDescent="0.45">
      <c r="A2028" s="4">
        <v>44885</v>
      </c>
      <c r="B2028" s="3">
        <v>117.81</v>
      </c>
      <c r="C2028" s="3">
        <v>281.56</v>
      </c>
      <c r="D2028" s="3">
        <v>103.52</v>
      </c>
      <c r="E2028" s="3">
        <v>1.2542</v>
      </c>
      <c r="F2028" s="3">
        <v>254.55</v>
      </c>
      <c r="G2028" s="3">
        <v>315.70999999999998</v>
      </c>
      <c r="H2028" s="3">
        <v>177.03</v>
      </c>
      <c r="I2028" s="3">
        <v>264</v>
      </c>
      <c r="J2028" s="3">
        <v>114.74</v>
      </c>
      <c r="K2028" s="3">
        <v>201.5</v>
      </c>
      <c r="L2028" s="3"/>
      <c r="N2028" s="4"/>
    </row>
    <row r="2029" spans="1:14" ht="17.5" thickBot="1" x14ac:dyDescent="0.45">
      <c r="A2029" s="4">
        <v>44886</v>
      </c>
      <c r="B2029" s="3">
        <v>115.82</v>
      </c>
      <c r="C2029" s="3">
        <v>277.58999999999997</v>
      </c>
      <c r="D2029" s="3">
        <v>102.62</v>
      </c>
      <c r="E2029" s="3">
        <v>1.2467999999999999</v>
      </c>
      <c r="F2029" s="3">
        <v>251.13</v>
      </c>
      <c r="G2029" s="3">
        <v>313.33</v>
      </c>
      <c r="H2029" s="3">
        <v>175.84</v>
      </c>
      <c r="I2029" s="3">
        <v>262.7</v>
      </c>
      <c r="J2029" s="3">
        <v>114.79</v>
      </c>
      <c r="K2029" s="3">
        <v>199.85</v>
      </c>
      <c r="L2029" s="3"/>
      <c r="N2029" s="4"/>
    </row>
    <row r="2030" spans="1:14" ht="17.5" thickBot="1" x14ac:dyDescent="0.45">
      <c r="A2030" s="4">
        <v>44887</v>
      </c>
      <c r="B2030" s="3">
        <v>114.27</v>
      </c>
      <c r="C2030" s="3">
        <v>279.86</v>
      </c>
      <c r="D2030" s="3">
        <v>102.89</v>
      </c>
      <c r="E2030" s="3">
        <v>1.2579</v>
      </c>
      <c r="F2030" s="3">
        <v>252.2</v>
      </c>
      <c r="G2030" s="3">
        <v>318.64</v>
      </c>
      <c r="H2030" s="3">
        <v>176.38</v>
      </c>
      <c r="I2030" s="3">
        <v>266.35000000000002</v>
      </c>
      <c r="J2030" s="3">
        <v>114.79</v>
      </c>
      <c r="K2030" s="3">
        <v>200.5</v>
      </c>
      <c r="L2030" s="3"/>
      <c r="N2030" s="4"/>
    </row>
    <row r="2031" spans="1:14" ht="17.5" thickBot="1" x14ac:dyDescent="0.45">
      <c r="A2031" s="4">
        <v>44888</v>
      </c>
      <c r="B2031" s="3">
        <v>114.89</v>
      </c>
      <c r="C2031" s="3">
        <v>281.58999999999997</v>
      </c>
      <c r="D2031" s="3">
        <v>103.24</v>
      </c>
      <c r="E2031" s="3">
        <v>1.2663</v>
      </c>
      <c r="F2031" s="3">
        <v>254.18</v>
      </c>
      <c r="G2031" s="3">
        <v>320.08999999999997</v>
      </c>
      <c r="H2031" s="3">
        <v>177.48</v>
      </c>
      <c r="I2031" s="3">
        <v>267.82</v>
      </c>
      <c r="J2031" s="3">
        <v>114.79</v>
      </c>
      <c r="K2031" s="3">
        <v>201.9</v>
      </c>
      <c r="L2031" s="3"/>
      <c r="N2031" s="4"/>
    </row>
    <row r="2032" spans="1:14" ht="17.5" thickBot="1" x14ac:dyDescent="0.45">
      <c r="A2032" s="4">
        <v>44889</v>
      </c>
      <c r="B2032" s="3">
        <v>115.86</v>
      </c>
      <c r="C2032" s="3">
        <v>286.42</v>
      </c>
      <c r="D2032" s="3">
        <v>104.14</v>
      </c>
      <c r="E2032" s="3">
        <v>1.2663</v>
      </c>
      <c r="F2032" s="3">
        <v>256.41000000000003</v>
      </c>
      <c r="G2032" s="3">
        <v>319.69</v>
      </c>
      <c r="H2032" s="3">
        <v>178.45</v>
      </c>
      <c r="I2032" s="3">
        <v>267.66000000000003</v>
      </c>
      <c r="J2032" s="3">
        <v>114.79</v>
      </c>
      <c r="K2032" s="3">
        <v>203.12</v>
      </c>
      <c r="L2032" s="3"/>
      <c r="N2032" s="4"/>
    </row>
    <row r="2033" spans="1:14" ht="17.5" thickBot="1" x14ac:dyDescent="0.45">
      <c r="A2033" s="4">
        <v>44890</v>
      </c>
      <c r="B2033" s="3">
        <v>115.23</v>
      </c>
      <c r="C2033" s="3">
        <v>286.08</v>
      </c>
      <c r="D2033" s="3">
        <v>104.49</v>
      </c>
      <c r="E2033" s="3">
        <v>1.2681</v>
      </c>
      <c r="F2033" s="3">
        <v>255.95</v>
      </c>
      <c r="G2033" s="3">
        <v>320.16000000000003</v>
      </c>
      <c r="H2033" s="3">
        <v>178.1</v>
      </c>
      <c r="I2033" s="3">
        <v>267.62</v>
      </c>
      <c r="J2033" s="3">
        <v>114.79</v>
      </c>
      <c r="K2033" s="3">
        <v>202.69</v>
      </c>
      <c r="L2033" s="3"/>
      <c r="N2033" s="4"/>
    </row>
    <row r="2034" spans="1:14" ht="17.5" thickBot="1" x14ac:dyDescent="0.45">
      <c r="A2034" s="4">
        <v>44891</v>
      </c>
      <c r="B2034" s="3">
        <v>115.23</v>
      </c>
      <c r="C2034" s="3">
        <v>286.08</v>
      </c>
      <c r="D2034" s="3">
        <v>104.49</v>
      </c>
      <c r="E2034" s="3">
        <v>1.2681</v>
      </c>
      <c r="F2034" s="3">
        <v>255.95</v>
      </c>
      <c r="G2034" s="3">
        <v>320.16000000000003</v>
      </c>
      <c r="H2034" s="3">
        <v>178.1</v>
      </c>
      <c r="I2034" s="3">
        <v>267.62</v>
      </c>
      <c r="J2034" s="3">
        <v>114.79</v>
      </c>
      <c r="K2034" s="3">
        <v>202.69</v>
      </c>
      <c r="L2034" s="3"/>
      <c r="N2034" s="4"/>
    </row>
    <row r="2035" spans="1:14" ht="17.5" thickBot="1" x14ac:dyDescent="0.45">
      <c r="A2035" s="4">
        <v>44892</v>
      </c>
      <c r="B2035" s="3">
        <v>115.23</v>
      </c>
      <c r="C2035" s="3">
        <v>286.08</v>
      </c>
      <c r="D2035" s="3">
        <v>104.49</v>
      </c>
      <c r="E2035" s="3">
        <v>1.2681</v>
      </c>
      <c r="F2035" s="3">
        <v>255.95</v>
      </c>
      <c r="G2035" s="3">
        <v>320.16000000000003</v>
      </c>
      <c r="H2035" s="3">
        <v>178.1</v>
      </c>
      <c r="I2035" s="3">
        <v>267.62</v>
      </c>
      <c r="J2035" s="3">
        <v>114.79</v>
      </c>
      <c r="K2035" s="3">
        <v>202.69</v>
      </c>
      <c r="L2035" s="3"/>
      <c r="N2035" s="4"/>
    </row>
    <row r="2036" spans="1:14" ht="17.5" thickBot="1" x14ac:dyDescent="0.45">
      <c r="A2036" s="4">
        <v>44893</v>
      </c>
      <c r="B2036" s="3">
        <v>113.56</v>
      </c>
      <c r="C2036" s="3">
        <v>282.86</v>
      </c>
      <c r="D2036" s="3">
        <v>104.4</v>
      </c>
      <c r="E2036" s="3">
        <v>1.2583</v>
      </c>
      <c r="F2036" s="3">
        <v>253.19</v>
      </c>
      <c r="G2036" s="3">
        <v>315.14999999999998</v>
      </c>
      <c r="H2036" s="3">
        <v>177.38</v>
      </c>
      <c r="I2036" s="3">
        <v>263.52</v>
      </c>
      <c r="J2036" s="3">
        <v>114.83</v>
      </c>
      <c r="K2036" s="3">
        <v>201.6</v>
      </c>
      <c r="L2036" s="3"/>
      <c r="N2036" s="4"/>
    </row>
    <row r="2037" spans="1:14" ht="17.5" thickBot="1" x14ac:dyDescent="0.45">
      <c r="A2037" s="4">
        <v>44894</v>
      </c>
      <c r="B2037" s="3">
        <v>119.26</v>
      </c>
      <c r="C2037" s="3">
        <v>284.99</v>
      </c>
      <c r="D2037" s="3">
        <v>104.39</v>
      </c>
      <c r="E2037" s="3">
        <v>1.2581</v>
      </c>
      <c r="F2037" s="3">
        <v>257.39999999999998</v>
      </c>
      <c r="G2037" s="3">
        <v>314.7</v>
      </c>
      <c r="H2037" s="3">
        <v>178.39</v>
      </c>
      <c r="I2037" s="3">
        <v>263</v>
      </c>
      <c r="J2037" s="3">
        <v>114.83</v>
      </c>
      <c r="K2037" s="3">
        <v>203.2</v>
      </c>
      <c r="L2037" s="3"/>
      <c r="N2037" s="4"/>
    </row>
    <row r="2038" spans="1:14" ht="17.5" thickBot="1" x14ac:dyDescent="0.45">
      <c r="A2038" s="4">
        <v>44895</v>
      </c>
      <c r="B2038" s="3">
        <v>121.7</v>
      </c>
      <c r="C2038" s="3">
        <v>286.99</v>
      </c>
      <c r="D2038" s="3">
        <v>104.66</v>
      </c>
      <c r="E2038" s="3">
        <v>1.2734000000000001</v>
      </c>
      <c r="F2038" s="3">
        <v>260.23</v>
      </c>
      <c r="G2038" s="3">
        <v>324.33</v>
      </c>
      <c r="H2038" s="3">
        <v>179.12</v>
      </c>
      <c r="I2038" s="3">
        <v>270.92</v>
      </c>
      <c r="J2038" s="3">
        <v>114.83</v>
      </c>
      <c r="K2038" s="3">
        <v>204.34</v>
      </c>
      <c r="L2038" s="3"/>
      <c r="N2038" s="4"/>
    </row>
    <row r="2039" spans="1:14" ht="17.5" thickBot="1" x14ac:dyDescent="0.45">
      <c r="A2039" s="4">
        <v>44896</v>
      </c>
      <c r="B2039" s="3">
        <v>122.97</v>
      </c>
      <c r="C2039" s="3">
        <v>291.69</v>
      </c>
      <c r="D2039" s="3">
        <v>105.64</v>
      </c>
      <c r="E2039" s="3">
        <v>1.2809999999999999</v>
      </c>
      <c r="F2039" s="3">
        <v>262.85000000000002</v>
      </c>
      <c r="G2039" s="3">
        <v>323.41000000000003</v>
      </c>
      <c r="H2039" s="3">
        <v>181.04</v>
      </c>
      <c r="I2039" s="3">
        <v>270.43</v>
      </c>
      <c r="J2039" s="3">
        <v>114.83</v>
      </c>
      <c r="K2039" s="3">
        <v>206.61</v>
      </c>
      <c r="L2039" s="3"/>
      <c r="N2039" s="4"/>
    </row>
    <row r="2040" spans="1:14" ht="17.5" thickBot="1" x14ac:dyDescent="0.45">
      <c r="A2040" s="4">
        <v>44897</v>
      </c>
      <c r="B2040" s="3">
        <v>122.17</v>
      </c>
      <c r="C2040" s="3">
        <v>288.13</v>
      </c>
      <c r="D2040" s="3">
        <v>106.09</v>
      </c>
      <c r="E2040" s="3">
        <v>1.2794000000000001</v>
      </c>
      <c r="F2040" s="3">
        <v>262.36</v>
      </c>
      <c r="G2040" s="3">
        <v>323.19</v>
      </c>
      <c r="H2040" s="3">
        <v>181.07</v>
      </c>
      <c r="I2040" s="3">
        <v>269.95</v>
      </c>
      <c r="J2040" s="3">
        <v>114.83</v>
      </c>
      <c r="K2040" s="3">
        <v>206.61</v>
      </c>
      <c r="L2040" s="3"/>
      <c r="N2040" s="4"/>
    </row>
    <row r="2041" spans="1:14" ht="17.5" thickBot="1" x14ac:dyDescent="0.45">
      <c r="A2041" s="4">
        <v>44898</v>
      </c>
      <c r="B2041" s="3">
        <v>122.17</v>
      </c>
      <c r="C2041" s="3">
        <v>288.13</v>
      </c>
      <c r="D2041" s="3">
        <v>106.09</v>
      </c>
      <c r="E2041" s="3">
        <v>1.2794000000000001</v>
      </c>
      <c r="F2041" s="3">
        <v>262.36</v>
      </c>
      <c r="G2041" s="3">
        <v>323.19</v>
      </c>
      <c r="H2041" s="3">
        <v>181.07</v>
      </c>
      <c r="I2041" s="3">
        <v>269.95</v>
      </c>
      <c r="J2041" s="3">
        <v>114.84</v>
      </c>
      <c r="K2041" s="3">
        <v>206.61</v>
      </c>
      <c r="L2041" s="3"/>
      <c r="N2041" s="4"/>
    </row>
    <row r="2042" spans="1:14" ht="17.5" thickBot="1" x14ac:dyDescent="0.45">
      <c r="A2042" s="4">
        <v>44899</v>
      </c>
      <c r="B2042" s="3">
        <v>122.17</v>
      </c>
      <c r="C2042" s="3">
        <v>288.13</v>
      </c>
      <c r="D2042" s="3">
        <v>106.09</v>
      </c>
      <c r="E2042" s="3">
        <v>1.2794000000000001</v>
      </c>
      <c r="F2042" s="3">
        <v>262.36</v>
      </c>
      <c r="G2042" s="3">
        <v>323.19</v>
      </c>
      <c r="H2042" s="3">
        <v>181.07</v>
      </c>
      <c r="I2042" s="3">
        <v>269.95</v>
      </c>
      <c r="J2042" s="3">
        <v>114.84</v>
      </c>
      <c r="K2042" s="3">
        <v>206.61</v>
      </c>
      <c r="L2042" s="3"/>
      <c r="N2042" s="4"/>
    </row>
    <row r="2043" spans="1:14" ht="17.5" thickBot="1" x14ac:dyDescent="0.45">
      <c r="A2043" s="4">
        <v>44900</v>
      </c>
      <c r="B2043" s="3">
        <v>127.27</v>
      </c>
      <c r="C2043" s="3">
        <v>286.86</v>
      </c>
      <c r="D2043" s="3">
        <v>106.08</v>
      </c>
      <c r="E2043" s="3">
        <v>1.2685</v>
      </c>
      <c r="F2043" s="3">
        <v>263.48</v>
      </c>
      <c r="G2043" s="3">
        <v>316.73</v>
      </c>
      <c r="H2043" s="3">
        <v>181.15</v>
      </c>
      <c r="I2043" s="3">
        <v>264.82</v>
      </c>
      <c r="J2043" s="3">
        <v>114.84</v>
      </c>
      <c r="K2043" s="3">
        <v>206.85</v>
      </c>
      <c r="L2043" s="3"/>
      <c r="N2043" s="4"/>
    </row>
    <row r="2044" spans="1:14" ht="17.5" thickBot="1" x14ac:dyDescent="0.45">
      <c r="A2044" s="4">
        <v>44901</v>
      </c>
      <c r="B2044" s="3">
        <v>127.2</v>
      </c>
      <c r="C2044" s="3">
        <v>282.87</v>
      </c>
      <c r="D2044" s="3">
        <v>105.54</v>
      </c>
      <c r="E2044" s="3">
        <v>1.2615000000000001</v>
      </c>
      <c r="F2044" s="3">
        <v>262.47000000000003</v>
      </c>
      <c r="G2044" s="3">
        <v>312.48</v>
      </c>
      <c r="H2044" s="3">
        <v>181.12</v>
      </c>
      <c r="I2044" s="3">
        <v>261.08</v>
      </c>
      <c r="J2044" s="3">
        <v>114.84</v>
      </c>
      <c r="K2044" s="3">
        <v>206.69</v>
      </c>
      <c r="L2044" s="3"/>
      <c r="N2044" s="4"/>
    </row>
    <row r="2045" spans="1:14" ht="17.5" thickBot="1" x14ac:dyDescent="0.45">
      <c r="A2045" s="4">
        <v>44902</v>
      </c>
      <c r="B2045" s="3">
        <v>123.43</v>
      </c>
      <c r="C2045" s="3">
        <v>281.43</v>
      </c>
      <c r="D2045" s="3">
        <v>105.81</v>
      </c>
      <c r="E2045" s="3">
        <v>1.2621</v>
      </c>
      <c r="F2045" s="3">
        <v>259.22000000000003</v>
      </c>
      <c r="G2045" s="3">
        <v>311.97000000000003</v>
      </c>
      <c r="H2045" s="3">
        <v>180.69</v>
      </c>
      <c r="I2045" s="3">
        <v>261.06</v>
      </c>
      <c r="J2045" s="3">
        <v>114.84</v>
      </c>
      <c r="K2045" s="3">
        <v>205.79</v>
      </c>
      <c r="L2045" s="3"/>
      <c r="N2045" s="4"/>
    </row>
    <row r="2046" spans="1:14" ht="17.5" thickBot="1" x14ac:dyDescent="0.45">
      <c r="A2046" s="4">
        <v>44903</v>
      </c>
      <c r="B2046" s="3">
        <v>127.13</v>
      </c>
      <c r="C2046" s="3">
        <v>280.97000000000003</v>
      </c>
      <c r="D2046" s="3">
        <v>106.07</v>
      </c>
      <c r="E2046" s="3">
        <v>1.2652000000000001</v>
      </c>
      <c r="F2046" s="3">
        <v>262.33999999999997</v>
      </c>
      <c r="G2046" s="3">
        <v>314.32</v>
      </c>
      <c r="H2046" s="3">
        <v>181.44</v>
      </c>
      <c r="I2046" s="3">
        <v>262.95999999999998</v>
      </c>
      <c r="J2046" s="3">
        <v>114.84</v>
      </c>
      <c r="K2046" s="3">
        <v>206.96</v>
      </c>
      <c r="L2046" s="3"/>
      <c r="N2046" s="4"/>
    </row>
    <row r="2047" spans="1:14" ht="17.5" thickBot="1" x14ac:dyDescent="0.45">
      <c r="A2047" s="4">
        <v>44904</v>
      </c>
      <c r="B2047" s="3">
        <v>129.87</v>
      </c>
      <c r="C2047" s="3">
        <v>283.58</v>
      </c>
      <c r="D2047" s="3">
        <v>106.25</v>
      </c>
      <c r="E2047" s="3">
        <v>1.2621</v>
      </c>
      <c r="F2047" s="3">
        <v>265.11</v>
      </c>
      <c r="G2047" s="3">
        <v>312.31</v>
      </c>
      <c r="H2047" s="3">
        <v>181.83</v>
      </c>
      <c r="I2047" s="3">
        <v>261.14</v>
      </c>
      <c r="J2047" s="3">
        <v>114.84</v>
      </c>
      <c r="K2047" s="3">
        <v>207.7</v>
      </c>
      <c r="L2047" s="3"/>
      <c r="N2047" s="4"/>
    </row>
    <row r="2048" spans="1:14" ht="17.5" thickBot="1" x14ac:dyDescent="0.45">
      <c r="A2048" s="4">
        <v>44905</v>
      </c>
      <c r="B2048" s="3">
        <v>129.87</v>
      </c>
      <c r="C2048" s="3">
        <v>283.58</v>
      </c>
      <c r="D2048" s="3">
        <v>106.25</v>
      </c>
      <c r="E2048" s="3">
        <v>1.2621</v>
      </c>
      <c r="F2048" s="3">
        <v>265.11</v>
      </c>
      <c r="G2048" s="3">
        <v>312.31</v>
      </c>
      <c r="H2048" s="3">
        <v>181.83</v>
      </c>
      <c r="I2048" s="3">
        <v>261.14</v>
      </c>
      <c r="J2048" s="3">
        <v>114.84</v>
      </c>
      <c r="K2048" s="3">
        <v>207.7</v>
      </c>
      <c r="L2048" s="3"/>
      <c r="N2048" s="4"/>
    </row>
    <row r="2049" spans="1:14" ht="17.5" thickBot="1" x14ac:dyDescent="0.45">
      <c r="A2049" s="4">
        <v>44906</v>
      </c>
      <c r="B2049" s="3">
        <v>129.87</v>
      </c>
      <c r="C2049" s="3">
        <v>283.58</v>
      </c>
      <c r="D2049" s="3">
        <v>106.25</v>
      </c>
      <c r="E2049" s="3">
        <v>1.2621</v>
      </c>
      <c r="F2049" s="3">
        <v>265.11</v>
      </c>
      <c r="G2049" s="3">
        <v>312.31</v>
      </c>
      <c r="H2049" s="3">
        <v>181.83</v>
      </c>
      <c r="I2049" s="3">
        <v>261.14</v>
      </c>
      <c r="J2049" s="3">
        <v>114.85</v>
      </c>
      <c r="K2049" s="3">
        <v>207.7</v>
      </c>
      <c r="L2049" s="3"/>
      <c r="N2049" s="4"/>
    </row>
    <row r="2050" spans="1:14" ht="17.5" thickBot="1" x14ac:dyDescent="0.45">
      <c r="A2050" s="4">
        <v>44907</v>
      </c>
      <c r="B2050" s="3">
        <v>127.21</v>
      </c>
      <c r="C2050" s="3">
        <v>281.17</v>
      </c>
      <c r="D2050" s="3">
        <v>105.98</v>
      </c>
      <c r="E2050" s="3">
        <v>1.2644</v>
      </c>
      <c r="F2050" s="3">
        <v>262.79000000000002</v>
      </c>
      <c r="G2050" s="3">
        <v>316.75</v>
      </c>
      <c r="H2050" s="3">
        <v>180.95</v>
      </c>
      <c r="I2050" s="3">
        <v>264.41000000000003</v>
      </c>
      <c r="J2050" s="3">
        <v>114.94</v>
      </c>
      <c r="K2050" s="3">
        <v>206.51</v>
      </c>
      <c r="L2050" s="3"/>
      <c r="N2050" s="4"/>
    </row>
    <row r="2051" spans="1:14" ht="17.5" thickBot="1" x14ac:dyDescent="0.45">
      <c r="A2051" s="4">
        <v>44908</v>
      </c>
      <c r="B2051" s="3">
        <v>128.18</v>
      </c>
      <c r="C2051" s="3">
        <v>283.56</v>
      </c>
      <c r="D2051" s="3">
        <v>106.24</v>
      </c>
      <c r="E2051" s="3">
        <v>1.2748999999999999</v>
      </c>
      <c r="F2051" s="3">
        <v>265.23</v>
      </c>
      <c r="G2051" s="3">
        <v>318.45</v>
      </c>
      <c r="H2051" s="3">
        <v>182.2</v>
      </c>
      <c r="I2051" s="3">
        <v>266.20999999999998</v>
      </c>
      <c r="J2051" s="3">
        <v>114.95</v>
      </c>
      <c r="K2051" s="3">
        <v>208.09</v>
      </c>
      <c r="L2051" s="3"/>
      <c r="N2051" s="4"/>
    </row>
    <row r="2052" spans="1:14" ht="17.5" thickBot="1" x14ac:dyDescent="0.45">
      <c r="A2052" s="4">
        <v>44909</v>
      </c>
      <c r="B2052" s="3">
        <v>128.65</v>
      </c>
      <c r="C2052" s="3">
        <v>286.94</v>
      </c>
      <c r="D2052" s="3">
        <v>106.69</v>
      </c>
      <c r="E2052" s="3">
        <v>1.2722</v>
      </c>
      <c r="F2052" s="3">
        <v>266.02999999999997</v>
      </c>
      <c r="G2052" s="3">
        <v>316.29000000000002</v>
      </c>
      <c r="H2052" s="3">
        <v>182.5</v>
      </c>
      <c r="I2052" s="3">
        <v>264.68</v>
      </c>
      <c r="J2052" s="3">
        <v>114.95</v>
      </c>
      <c r="K2052" s="3">
        <v>208.47</v>
      </c>
      <c r="L2052" s="3"/>
      <c r="N2052" s="4"/>
    </row>
    <row r="2053" spans="1:14" ht="17.5" thickBot="1" x14ac:dyDescent="0.45">
      <c r="A2053" s="4">
        <v>44910</v>
      </c>
      <c r="B2053" s="3">
        <v>126.71</v>
      </c>
      <c r="C2053" s="3">
        <v>282.19</v>
      </c>
      <c r="D2053" s="3">
        <v>105.97</v>
      </c>
      <c r="E2053" s="3">
        <v>1.2531000000000001</v>
      </c>
      <c r="F2053" s="3">
        <v>261.32</v>
      </c>
      <c r="G2053" s="3">
        <v>308.61</v>
      </c>
      <c r="H2053" s="3">
        <v>180.96</v>
      </c>
      <c r="I2053" s="3">
        <v>258.11</v>
      </c>
      <c r="J2053" s="3">
        <v>114.95</v>
      </c>
      <c r="K2053" s="3">
        <v>206.31</v>
      </c>
      <c r="L2053" s="3"/>
      <c r="N2053" s="4"/>
    </row>
    <row r="2054" spans="1:14" ht="17.5" thickBot="1" x14ac:dyDescent="0.45">
      <c r="A2054" s="4">
        <v>44911</v>
      </c>
      <c r="B2054" s="3">
        <v>127.44</v>
      </c>
      <c r="C2054" s="3">
        <v>279.57</v>
      </c>
      <c r="D2054" s="3">
        <v>105.88</v>
      </c>
      <c r="E2054" s="3">
        <v>1.2443</v>
      </c>
      <c r="F2054" s="3">
        <v>260.25</v>
      </c>
      <c r="G2054" s="3">
        <v>305.60000000000002</v>
      </c>
      <c r="H2054" s="3">
        <v>180.4</v>
      </c>
      <c r="I2054" s="3">
        <v>255.07</v>
      </c>
      <c r="J2054" s="3">
        <v>115.01</v>
      </c>
      <c r="K2054" s="3">
        <v>205.6</v>
      </c>
      <c r="L2054" s="3"/>
      <c r="N2054" s="4"/>
    </row>
    <row r="2055" spans="1:14" ht="17.5" thickBot="1" x14ac:dyDescent="0.45">
      <c r="A2055" s="4">
        <v>44912</v>
      </c>
      <c r="B2055" s="3">
        <v>127.44</v>
      </c>
      <c r="C2055" s="3">
        <v>279.57</v>
      </c>
      <c r="D2055" s="3">
        <v>105.88</v>
      </c>
      <c r="E2055" s="3">
        <v>1.2443</v>
      </c>
      <c r="F2055" s="3">
        <v>260.25</v>
      </c>
      <c r="G2055" s="3">
        <v>305.60000000000002</v>
      </c>
      <c r="H2055" s="3">
        <v>180.4</v>
      </c>
      <c r="I2055" s="3">
        <v>255.07</v>
      </c>
      <c r="J2055" s="3">
        <v>115.01</v>
      </c>
      <c r="K2055" s="3">
        <v>205.6</v>
      </c>
      <c r="L2055" s="3"/>
      <c r="N2055" s="4"/>
    </row>
    <row r="2056" spans="1:14" ht="17.5" thickBot="1" x14ac:dyDescent="0.45">
      <c r="A2056" s="4">
        <v>44913</v>
      </c>
      <c r="B2056" s="3">
        <v>127.44</v>
      </c>
      <c r="C2056" s="3">
        <v>279.57</v>
      </c>
      <c r="D2056" s="3">
        <v>105.88</v>
      </c>
      <c r="E2056" s="3">
        <v>1.2443</v>
      </c>
      <c r="F2056" s="3">
        <v>260.25</v>
      </c>
      <c r="G2056" s="3">
        <v>305.60000000000002</v>
      </c>
      <c r="H2056" s="3">
        <v>180.4</v>
      </c>
      <c r="I2056" s="3">
        <v>255.07</v>
      </c>
      <c r="J2056" s="3">
        <v>115.01</v>
      </c>
      <c r="K2056" s="3">
        <v>205.6</v>
      </c>
      <c r="L2056" s="3"/>
      <c r="N2056" s="4"/>
    </row>
    <row r="2057" spans="1:14" ht="17.5" thickBot="1" x14ac:dyDescent="0.45">
      <c r="A2057" s="4">
        <v>44914</v>
      </c>
      <c r="B2057" s="3">
        <v>126.69</v>
      </c>
      <c r="C2057" s="3">
        <v>279.31</v>
      </c>
      <c r="D2057" s="3">
        <v>106.14</v>
      </c>
      <c r="E2057" s="3">
        <v>1.2367999999999999</v>
      </c>
      <c r="F2057" s="3">
        <v>258.64999999999998</v>
      </c>
      <c r="G2057" s="3">
        <v>302.33999999999997</v>
      </c>
      <c r="H2057" s="3">
        <v>179.57</v>
      </c>
      <c r="I2057" s="3">
        <v>253.03</v>
      </c>
      <c r="J2057" s="3">
        <v>115.01</v>
      </c>
      <c r="K2057" s="3">
        <v>204.55</v>
      </c>
      <c r="L2057" s="3"/>
      <c r="N2057" s="4"/>
    </row>
    <row r="2058" spans="1:14" ht="17.5" thickBot="1" x14ac:dyDescent="0.45">
      <c r="A2058" s="4">
        <v>44915</v>
      </c>
      <c r="B2058" s="3">
        <v>124.8</v>
      </c>
      <c r="C2058" s="3">
        <v>278.63</v>
      </c>
      <c r="D2058" s="3">
        <v>105.96</v>
      </c>
      <c r="E2058" s="3">
        <v>1.2361</v>
      </c>
      <c r="F2058" s="3">
        <v>258.39</v>
      </c>
      <c r="G2058" s="3">
        <v>303.08</v>
      </c>
      <c r="H2058" s="3">
        <v>179.17</v>
      </c>
      <c r="I2058" s="3">
        <v>253.4</v>
      </c>
      <c r="J2058" s="3">
        <v>115.01</v>
      </c>
      <c r="K2058" s="3">
        <v>204.06</v>
      </c>
      <c r="L2058" s="3"/>
      <c r="N2058" s="4"/>
    </row>
    <row r="2059" spans="1:14" ht="17.5" thickBot="1" x14ac:dyDescent="0.45">
      <c r="A2059" s="4">
        <v>44916</v>
      </c>
      <c r="B2059" s="3">
        <v>125.29</v>
      </c>
      <c r="C2059" s="3">
        <v>279.58</v>
      </c>
      <c r="D2059" s="3">
        <v>105.87</v>
      </c>
      <c r="E2059" s="3">
        <v>1.2455000000000001</v>
      </c>
      <c r="F2059" s="3">
        <v>259.98</v>
      </c>
      <c r="G2059" s="3">
        <v>307.39999999999998</v>
      </c>
      <c r="H2059" s="3">
        <v>179.58</v>
      </c>
      <c r="I2059" s="3">
        <v>257.37</v>
      </c>
      <c r="J2059" s="3">
        <v>115.02</v>
      </c>
      <c r="K2059" s="3">
        <v>204.69</v>
      </c>
      <c r="L2059" s="3"/>
      <c r="N2059" s="4"/>
    </row>
    <row r="2060" spans="1:14" ht="17.5" thickBot="1" x14ac:dyDescent="0.45">
      <c r="A2060" s="4">
        <v>44917</v>
      </c>
      <c r="B2060" s="3">
        <v>128.56</v>
      </c>
      <c r="C2060" s="3">
        <v>280.89</v>
      </c>
      <c r="D2060" s="3">
        <v>105.96</v>
      </c>
      <c r="E2060" s="3">
        <v>1.2385999999999999</v>
      </c>
      <c r="F2060" s="3">
        <v>261.33</v>
      </c>
      <c r="G2060" s="3">
        <v>303.36</v>
      </c>
      <c r="H2060" s="3">
        <v>179.92</v>
      </c>
      <c r="I2060" s="3">
        <v>253.85</v>
      </c>
      <c r="J2060" s="3">
        <v>115.06</v>
      </c>
      <c r="K2060" s="3">
        <v>205.23</v>
      </c>
      <c r="L2060" s="3"/>
      <c r="N2060" s="4"/>
    </row>
    <row r="2061" spans="1:14" ht="17.5" thickBot="1" x14ac:dyDescent="0.45">
      <c r="A2061" s="4">
        <v>44918</v>
      </c>
      <c r="B2061" s="3">
        <v>128.01</v>
      </c>
      <c r="C2061" s="3">
        <v>277.73</v>
      </c>
      <c r="D2061" s="3">
        <v>106.04</v>
      </c>
      <c r="E2061" s="3">
        <v>1.2394000000000001</v>
      </c>
      <c r="F2061" s="3">
        <v>260.75</v>
      </c>
      <c r="G2061" s="3">
        <v>305.41000000000003</v>
      </c>
      <c r="H2061" s="3">
        <v>179.51</v>
      </c>
      <c r="I2061" s="3">
        <v>255.35</v>
      </c>
      <c r="J2061" s="3">
        <v>115.07</v>
      </c>
      <c r="K2061" s="3">
        <v>204.73</v>
      </c>
      <c r="L2061" s="3"/>
      <c r="N2061" s="4"/>
    </row>
    <row r="2062" spans="1:14" ht="17.5" thickBot="1" x14ac:dyDescent="0.45">
      <c r="A2062" s="4">
        <v>44919</v>
      </c>
      <c r="B2062" s="3">
        <v>128.01</v>
      </c>
      <c r="C2062" s="3">
        <v>277.73</v>
      </c>
      <c r="D2062" s="3">
        <v>106.04</v>
      </c>
      <c r="E2062" s="3">
        <v>1.2394000000000001</v>
      </c>
      <c r="F2062" s="3">
        <v>260.75</v>
      </c>
      <c r="G2062" s="3">
        <v>305.41000000000003</v>
      </c>
      <c r="H2062" s="3">
        <v>179.51</v>
      </c>
      <c r="I2062" s="3">
        <v>255.35</v>
      </c>
      <c r="J2062" s="3">
        <v>115.07</v>
      </c>
      <c r="K2062" s="3">
        <v>204.73</v>
      </c>
      <c r="L2062" s="3"/>
      <c r="N2062" s="4"/>
    </row>
    <row r="2063" spans="1:14" ht="17.5" thickBot="1" x14ac:dyDescent="0.45">
      <c r="A2063" s="4">
        <v>44920</v>
      </c>
      <c r="B2063" s="3">
        <v>128.01</v>
      </c>
      <c r="C2063" s="3">
        <v>277.73</v>
      </c>
      <c r="D2063" s="3">
        <v>106.04</v>
      </c>
      <c r="E2063" s="3">
        <v>1.2394000000000001</v>
      </c>
      <c r="F2063" s="3">
        <v>260.75</v>
      </c>
      <c r="G2063" s="3">
        <v>305.41000000000003</v>
      </c>
      <c r="H2063" s="3">
        <v>179.51</v>
      </c>
      <c r="I2063" s="3">
        <v>255.35</v>
      </c>
      <c r="J2063" s="3">
        <v>115.07</v>
      </c>
      <c r="K2063" s="3">
        <v>204.73</v>
      </c>
      <c r="L2063" s="3"/>
      <c r="N2063" s="4"/>
    </row>
    <row r="2064" spans="1:14" ht="17.5" thickBot="1" x14ac:dyDescent="0.45">
      <c r="A2064" s="4">
        <v>44921</v>
      </c>
      <c r="B2064" s="3">
        <v>128.01</v>
      </c>
      <c r="C2064" s="3">
        <v>277.73</v>
      </c>
      <c r="D2064" s="3">
        <v>106.04</v>
      </c>
      <c r="E2064" s="3">
        <v>1.2394000000000001</v>
      </c>
      <c r="F2064" s="3">
        <v>260.75</v>
      </c>
      <c r="G2064" s="3">
        <v>305.41000000000003</v>
      </c>
      <c r="H2064" s="3">
        <v>179.51</v>
      </c>
      <c r="I2064" s="3">
        <v>255.35</v>
      </c>
      <c r="J2064" s="3">
        <v>115.07</v>
      </c>
      <c r="K2064" s="3">
        <v>204.73</v>
      </c>
      <c r="L2064" s="3"/>
      <c r="N2064" s="4"/>
    </row>
    <row r="2065" spans="1:14" ht="17.5" thickBot="1" x14ac:dyDescent="0.45">
      <c r="A2065" s="4">
        <v>44922</v>
      </c>
      <c r="B2065" s="3">
        <v>128.01</v>
      </c>
      <c r="C2065" s="3">
        <v>277.73</v>
      </c>
      <c r="D2065" s="3">
        <v>106.04</v>
      </c>
      <c r="E2065" s="3">
        <v>1.2394000000000001</v>
      </c>
      <c r="F2065" s="3">
        <v>260.75</v>
      </c>
      <c r="G2065" s="3">
        <v>305.41000000000003</v>
      </c>
      <c r="H2065" s="3">
        <v>179.51</v>
      </c>
      <c r="I2065" s="3">
        <v>255.35</v>
      </c>
      <c r="J2065" s="3">
        <v>115.07</v>
      </c>
      <c r="K2065" s="3">
        <v>204.73</v>
      </c>
      <c r="L2065" s="3"/>
      <c r="N2065" s="4"/>
    </row>
    <row r="2066" spans="1:14" ht="17.5" thickBot="1" x14ac:dyDescent="0.45">
      <c r="A2066" s="4">
        <v>44923</v>
      </c>
      <c r="B2066" s="3">
        <v>130.13</v>
      </c>
      <c r="C2066" s="3">
        <v>278.25</v>
      </c>
      <c r="D2066" s="3">
        <v>105.68</v>
      </c>
      <c r="E2066" s="3">
        <v>1.2278</v>
      </c>
      <c r="F2066" s="3">
        <v>260.99</v>
      </c>
      <c r="G2066" s="3">
        <v>299.95</v>
      </c>
      <c r="H2066" s="3">
        <v>178.9</v>
      </c>
      <c r="I2066" s="3">
        <v>251</v>
      </c>
      <c r="J2066" s="3">
        <v>115.12</v>
      </c>
      <c r="K2066" s="3">
        <v>204.17</v>
      </c>
      <c r="L2066" s="3"/>
      <c r="N2066" s="4"/>
    </row>
    <row r="2067" spans="1:14" ht="17.5" thickBot="1" x14ac:dyDescent="0.45">
      <c r="A2067" s="4">
        <v>44924</v>
      </c>
      <c r="B2067" s="3">
        <v>128.9</v>
      </c>
      <c r="C2067" s="3">
        <v>276.56</v>
      </c>
      <c r="D2067" s="3">
        <v>105.67</v>
      </c>
      <c r="E2067" s="3">
        <v>1.2379</v>
      </c>
      <c r="F2067" s="3">
        <v>261.49</v>
      </c>
      <c r="G2067" s="3">
        <v>305.33</v>
      </c>
      <c r="H2067" s="3">
        <v>179.3</v>
      </c>
      <c r="I2067" s="3">
        <v>255.4</v>
      </c>
      <c r="J2067" s="3">
        <v>115.12</v>
      </c>
      <c r="K2067" s="3">
        <v>204.63</v>
      </c>
      <c r="L2067" s="3"/>
      <c r="N2067" s="4"/>
    </row>
    <row r="2068" spans="1:14" ht="17.5" thickBot="1" x14ac:dyDescent="0.45">
      <c r="A2068" s="4">
        <v>44925</v>
      </c>
      <c r="B2068" s="3">
        <v>129.4</v>
      </c>
      <c r="C2068" s="3">
        <v>277.48</v>
      </c>
      <c r="D2068" s="3">
        <v>105.94</v>
      </c>
      <c r="E2068" s="3">
        <v>1.2355</v>
      </c>
      <c r="F2068" s="3">
        <v>261.74</v>
      </c>
      <c r="G2068" s="3">
        <v>305.14</v>
      </c>
      <c r="H2068" s="3">
        <v>179.38</v>
      </c>
      <c r="I2068" s="3">
        <v>254.95</v>
      </c>
      <c r="J2068" s="3">
        <v>115.12</v>
      </c>
      <c r="K2068" s="3">
        <v>204.73</v>
      </c>
      <c r="L2068" s="3"/>
      <c r="N2068" s="4"/>
    </row>
    <row r="2069" spans="1:14" ht="17.5" thickBot="1" x14ac:dyDescent="0.45">
      <c r="A2069" s="4">
        <v>44926</v>
      </c>
      <c r="B2069" s="3">
        <v>129.4</v>
      </c>
      <c r="C2069" s="3">
        <v>277.48</v>
      </c>
      <c r="D2069" s="3">
        <v>105.94</v>
      </c>
      <c r="E2069" s="3">
        <v>1.2355</v>
      </c>
      <c r="F2069" s="3">
        <v>261.74</v>
      </c>
      <c r="G2069" s="3">
        <v>305.14</v>
      </c>
      <c r="H2069" s="3">
        <v>179.38</v>
      </c>
      <c r="I2069" s="3">
        <v>254.95</v>
      </c>
      <c r="J2069" s="3">
        <v>115.12</v>
      </c>
      <c r="K2069" s="3">
        <v>204.73</v>
      </c>
      <c r="L2069" s="3"/>
      <c r="N2069" s="4"/>
    </row>
    <row r="2070" spans="1:14" ht="17.5" thickBot="1" x14ac:dyDescent="0.45">
      <c r="A2070" s="4">
        <v>44927</v>
      </c>
      <c r="B2070" s="3">
        <v>129.4</v>
      </c>
      <c r="C2070" s="3">
        <v>277.48</v>
      </c>
      <c r="D2070" s="3">
        <v>105.94</v>
      </c>
      <c r="E2070" s="3">
        <v>1.2355</v>
      </c>
      <c r="F2070" s="3">
        <v>261.74</v>
      </c>
      <c r="G2070" s="3">
        <v>305.14</v>
      </c>
      <c r="H2070" s="3">
        <v>179.38</v>
      </c>
      <c r="I2070" s="3">
        <v>254.95</v>
      </c>
      <c r="J2070" s="3">
        <v>115.12</v>
      </c>
      <c r="K2070" s="3">
        <v>204.73</v>
      </c>
      <c r="L2070" s="3"/>
      <c r="N2070" s="4"/>
    </row>
    <row r="2071" spans="1:14" ht="17.5" thickBot="1" x14ac:dyDescent="0.45">
      <c r="A2071" s="4">
        <v>44928</v>
      </c>
      <c r="B2071" s="3">
        <v>129.4</v>
      </c>
      <c r="C2071" s="3">
        <v>277.48</v>
      </c>
      <c r="D2071" s="3">
        <v>105.94</v>
      </c>
      <c r="E2071" s="3">
        <v>1.2355</v>
      </c>
      <c r="F2071" s="3">
        <v>261.74</v>
      </c>
      <c r="G2071" s="3">
        <v>305.14</v>
      </c>
      <c r="H2071" s="3">
        <v>179.38</v>
      </c>
      <c r="I2071" s="3">
        <v>254.95</v>
      </c>
      <c r="J2071" s="3">
        <v>115.12</v>
      </c>
      <c r="K2071" s="3">
        <v>204.73</v>
      </c>
      <c r="L2071" s="3"/>
      <c r="N2071" s="4"/>
    </row>
    <row r="2072" spans="1:14" ht="17.5" thickBot="1" x14ac:dyDescent="0.45">
      <c r="A2072" s="4">
        <v>44929</v>
      </c>
      <c r="B2072" s="3">
        <v>131.56</v>
      </c>
      <c r="C2072" s="3">
        <v>277.10000000000002</v>
      </c>
      <c r="D2072" s="3">
        <v>105.84</v>
      </c>
      <c r="E2072" s="3">
        <v>1.2391000000000001</v>
      </c>
      <c r="F2072" s="3">
        <v>263.88</v>
      </c>
      <c r="G2072" s="3">
        <v>303.43</v>
      </c>
      <c r="H2072" s="3">
        <v>180.25</v>
      </c>
      <c r="I2072" s="3">
        <v>254.12</v>
      </c>
      <c r="J2072" s="3">
        <v>115.18</v>
      </c>
      <c r="K2072" s="3">
        <v>205.91</v>
      </c>
      <c r="L2072" s="3"/>
      <c r="N2072" s="4"/>
    </row>
    <row r="2073" spans="1:14" ht="17.5" thickBot="1" x14ac:dyDescent="0.45">
      <c r="A2073" s="4">
        <v>44930</v>
      </c>
      <c r="B2073" s="3">
        <v>135.76</v>
      </c>
      <c r="C2073" s="3">
        <v>278.75</v>
      </c>
      <c r="D2073" s="3">
        <v>106.55</v>
      </c>
      <c r="E2073" s="3">
        <v>1.2488999999999999</v>
      </c>
      <c r="F2073" s="3">
        <v>268.49</v>
      </c>
      <c r="G2073" s="3">
        <v>306.14999999999998</v>
      </c>
      <c r="H2073" s="3">
        <v>182.05</v>
      </c>
      <c r="I2073" s="3">
        <v>256.31</v>
      </c>
      <c r="J2073" s="3">
        <v>115.18</v>
      </c>
      <c r="K2073" s="3">
        <v>208.4</v>
      </c>
      <c r="L2073" s="3"/>
      <c r="N2073" s="4"/>
    </row>
    <row r="2074" spans="1:14" ht="17.5" thickBot="1" x14ac:dyDescent="0.45">
      <c r="A2074" s="4">
        <v>44931</v>
      </c>
      <c r="B2074" s="3">
        <v>137.43</v>
      </c>
      <c r="C2074" s="3">
        <v>277.49</v>
      </c>
      <c r="D2074" s="3">
        <v>106.37</v>
      </c>
      <c r="E2074" s="3">
        <v>1.2406999999999999</v>
      </c>
      <c r="F2074" s="3">
        <v>267.22000000000003</v>
      </c>
      <c r="G2074" s="3">
        <v>302.52999999999997</v>
      </c>
      <c r="H2074" s="3">
        <v>181.38</v>
      </c>
      <c r="I2074" s="3">
        <v>253.36</v>
      </c>
      <c r="J2074" s="3">
        <v>115.18</v>
      </c>
      <c r="K2074" s="3">
        <v>207.57</v>
      </c>
      <c r="L2074" s="3"/>
      <c r="N2074" s="4"/>
    </row>
    <row r="2075" spans="1:14" ht="17.5" thickBot="1" x14ac:dyDescent="0.45">
      <c r="A2075" s="4">
        <v>44932</v>
      </c>
      <c r="B2075" s="3">
        <v>137.13999999999999</v>
      </c>
      <c r="C2075" s="3">
        <v>280.29000000000002</v>
      </c>
      <c r="D2075" s="3">
        <v>106.64</v>
      </c>
      <c r="E2075" s="3">
        <v>1.2581</v>
      </c>
      <c r="F2075" s="3">
        <v>269.88</v>
      </c>
      <c r="G2075" s="3">
        <v>309.25</v>
      </c>
      <c r="H2075" s="3">
        <v>182.86</v>
      </c>
      <c r="I2075" s="3">
        <v>259.04000000000002</v>
      </c>
      <c r="J2075" s="3">
        <v>115.18</v>
      </c>
      <c r="K2075" s="3">
        <v>209.4</v>
      </c>
      <c r="L2075" s="3"/>
      <c r="N2075" s="4"/>
    </row>
    <row r="2076" spans="1:14" ht="17.5" thickBot="1" x14ac:dyDescent="0.45">
      <c r="A2076" s="4">
        <v>44933</v>
      </c>
      <c r="B2076" s="3">
        <v>137.13999999999999</v>
      </c>
      <c r="C2076" s="3">
        <v>280.29000000000002</v>
      </c>
      <c r="D2076" s="3">
        <v>106.64</v>
      </c>
      <c r="E2076" s="3">
        <v>1.2581</v>
      </c>
      <c r="F2076" s="3">
        <v>269.88</v>
      </c>
      <c r="G2076" s="3">
        <v>309.25</v>
      </c>
      <c r="H2076" s="3">
        <v>182.86</v>
      </c>
      <c r="I2076" s="3">
        <v>259.04000000000002</v>
      </c>
      <c r="J2076" s="3">
        <v>115.18</v>
      </c>
      <c r="K2076" s="3">
        <v>209.4</v>
      </c>
      <c r="L2076" s="3"/>
      <c r="N2076" s="4"/>
    </row>
    <row r="2077" spans="1:14" ht="17.5" thickBot="1" x14ac:dyDescent="0.45">
      <c r="A2077" s="4">
        <v>44934</v>
      </c>
      <c r="B2077" s="3">
        <v>137.13999999999999</v>
      </c>
      <c r="C2077" s="3">
        <v>280.29000000000002</v>
      </c>
      <c r="D2077" s="3">
        <v>106.64</v>
      </c>
      <c r="E2077" s="3">
        <v>1.2581</v>
      </c>
      <c r="F2077" s="3">
        <v>269.88</v>
      </c>
      <c r="G2077" s="3">
        <v>309.25</v>
      </c>
      <c r="H2077" s="3">
        <v>182.86</v>
      </c>
      <c r="I2077" s="3">
        <v>259.04000000000002</v>
      </c>
      <c r="J2077" s="3">
        <v>115.19</v>
      </c>
      <c r="K2077" s="3">
        <v>209.4</v>
      </c>
      <c r="L2077" s="3"/>
      <c r="N2077" s="4"/>
    </row>
    <row r="2078" spans="1:14" ht="17.5" thickBot="1" x14ac:dyDescent="0.45">
      <c r="A2078" s="4">
        <v>44935</v>
      </c>
      <c r="B2078" s="3">
        <v>139.57</v>
      </c>
      <c r="C2078" s="3">
        <v>286.98</v>
      </c>
      <c r="D2078" s="3">
        <v>107.88</v>
      </c>
      <c r="E2078" s="3">
        <v>1.2642</v>
      </c>
      <c r="F2078" s="3">
        <v>273.52</v>
      </c>
      <c r="G2078" s="3">
        <v>308.82</v>
      </c>
      <c r="H2078" s="3">
        <v>184.39</v>
      </c>
      <c r="I2078" s="3">
        <v>258.75</v>
      </c>
      <c r="J2078" s="3">
        <v>115.23</v>
      </c>
      <c r="K2078" s="3">
        <v>211.41</v>
      </c>
      <c r="L2078" s="3"/>
      <c r="N2078" s="4"/>
    </row>
    <row r="2079" spans="1:14" ht="17.5" thickBot="1" x14ac:dyDescent="0.45">
      <c r="A2079" s="4">
        <v>44936</v>
      </c>
      <c r="B2079" s="3">
        <v>139.28</v>
      </c>
      <c r="C2079" s="3">
        <v>286.5</v>
      </c>
      <c r="D2079" s="3">
        <v>107.97</v>
      </c>
      <c r="E2079" s="3">
        <v>1.2644</v>
      </c>
      <c r="F2079" s="3">
        <v>273.12</v>
      </c>
      <c r="G2079" s="3">
        <v>310.77999999999997</v>
      </c>
      <c r="H2079" s="3">
        <v>183.93</v>
      </c>
      <c r="I2079" s="3">
        <v>260.61</v>
      </c>
      <c r="J2079" s="3">
        <v>115.23</v>
      </c>
      <c r="K2079" s="3">
        <v>210.87</v>
      </c>
      <c r="L2079" s="3"/>
      <c r="N2079" s="4"/>
    </row>
    <row r="2080" spans="1:14" ht="17.5" thickBot="1" x14ac:dyDescent="0.45">
      <c r="A2080" s="4">
        <v>44937</v>
      </c>
      <c r="B2080" s="3">
        <v>140.13</v>
      </c>
      <c r="C2080" s="3">
        <v>287.75</v>
      </c>
      <c r="D2080" s="3">
        <v>108.15</v>
      </c>
      <c r="E2080" s="3">
        <v>1.2753000000000001</v>
      </c>
      <c r="F2080" s="3">
        <v>275.04000000000002</v>
      </c>
      <c r="G2080" s="3">
        <v>315.11</v>
      </c>
      <c r="H2080" s="3">
        <v>184.93</v>
      </c>
      <c r="I2080" s="3">
        <v>263.95</v>
      </c>
      <c r="J2080" s="3">
        <v>115.24</v>
      </c>
      <c r="K2080" s="3">
        <v>212.11</v>
      </c>
      <c r="L2080" s="3"/>
      <c r="N2080" s="4"/>
    </row>
    <row r="2081" spans="1:14" ht="17.5" thickBot="1" x14ac:dyDescent="0.45">
      <c r="A2081" s="4">
        <v>44938</v>
      </c>
      <c r="B2081" s="3">
        <v>140.44</v>
      </c>
      <c r="C2081" s="3">
        <v>290.2</v>
      </c>
      <c r="D2081" s="3">
        <v>108.5</v>
      </c>
      <c r="E2081" s="3">
        <v>1.2823</v>
      </c>
      <c r="F2081" s="3">
        <v>276.99</v>
      </c>
      <c r="G2081" s="3">
        <v>316.14999999999998</v>
      </c>
      <c r="H2081" s="3">
        <v>186</v>
      </c>
      <c r="I2081" s="3">
        <v>265</v>
      </c>
      <c r="J2081" s="3">
        <v>115.24</v>
      </c>
      <c r="K2081" s="3">
        <v>213.4</v>
      </c>
      <c r="L2081" s="3"/>
      <c r="N2081" s="4"/>
    </row>
    <row r="2082" spans="1:14" ht="17.5" thickBot="1" x14ac:dyDescent="0.45">
      <c r="A2082" s="4">
        <v>44939</v>
      </c>
      <c r="B2082" s="3">
        <v>141.91999999999999</v>
      </c>
      <c r="C2082" s="3">
        <v>293.37</v>
      </c>
      <c r="D2082" s="3">
        <v>109.12</v>
      </c>
      <c r="E2082" s="3">
        <v>1.2864</v>
      </c>
      <c r="F2082" s="3">
        <v>279.57</v>
      </c>
      <c r="G2082" s="3">
        <v>317.52999999999997</v>
      </c>
      <c r="H2082" s="3">
        <v>186.76</v>
      </c>
      <c r="I2082" s="3">
        <v>265.95</v>
      </c>
      <c r="J2082" s="3">
        <v>115.24</v>
      </c>
      <c r="K2082" s="3">
        <v>214.47</v>
      </c>
      <c r="L2082" s="3"/>
      <c r="N2082" s="4"/>
    </row>
    <row r="2083" spans="1:14" ht="17.5" thickBot="1" x14ac:dyDescent="0.45">
      <c r="A2083" s="4">
        <v>44940</v>
      </c>
      <c r="B2083" s="3">
        <v>141.91999999999999</v>
      </c>
      <c r="C2083" s="3">
        <v>293.37</v>
      </c>
      <c r="D2083" s="3">
        <v>109.12</v>
      </c>
      <c r="E2083" s="3">
        <v>1.2864</v>
      </c>
      <c r="F2083" s="3">
        <v>279.57</v>
      </c>
      <c r="G2083" s="3">
        <v>317.52999999999997</v>
      </c>
      <c r="H2083" s="3">
        <v>186.76</v>
      </c>
      <c r="I2083" s="3">
        <v>265.95</v>
      </c>
      <c r="J2083" s="3">
        <v>115.24</v>
      </c>
      <c r="K2083" s="3">
        <v>214.47</v>
      </c>
      <c r="L2083" s="3"/>
      <c r="N2083" s="4"/>
    </row>
    <row r="2084" spans="1:14" ht="17.5" thickBot="1" x14ac:dyDescent="0.45">
      <c r="A2084" s="4">
        <v>44941</v>
      </c>
      <c r="B2084" s="3">
        <v>141.91999999999999</v>
      </c>
      <c r="C2084" s="3">
        <v>293.37</v>
      </c>
      <c r="D2084" s="3">
        <v>109.12</v>
      </c>
      <c r="E2084" s="3">
        <v>1.2864</v>
      </c>
      <c r="F2084" s="3">
        <v>279.57</v>
      </c>
      <c r="G2084" s="3">
        <v>317.52999999999997</v>
      </c>
      <c r="H2084" s="3">
        <v>186.76</v>
      </c>
      <c r="I2084" s="3">
        <v>265.95</v>
      </c>
      <c r="J2084" s="3">
        <v>115.24</v>
      </c>
      <c r="K2084" s="3">
        <v>214.47</v>
      </c>
      <c r="L2084" s="3"/>
      <c r="N2084" s="4"/>
    </row>
    <row r="2085" spans="1:14" ht="17.5" thickBot="1" x14ac:dyDescent="0.45">
      <c r="A2085" s="4">
        <v>44942</v>
      </c>
      <c r="B2085" s="3">
        <v>141.75</v>
      </c>
      <c r="C2085" s="3">
        <v>293.73</v>
      </c>
      <c r="D2085" s="3">
        <v>109.38</v>
      </c>
      <c r="E2085" s="3">
        <v>1.2864</v>
      </c>
      <c r="F2085" s="3">
        <v>279.31</v>
      </c>
      <c r="G2085" s="3">
        <v>317.45999999999998</v>
      </c>
      <c r="H2085" s="3">
        <v>186.66</v>
      </c>
      <c r="I2085" s="3">
        <v>265.95</v>
      </c>
      <c r="J2085" s="3">
        <v>115.28</v>
      </c>
      <c r="K2085" s="3">
        <v>214.35</v>
      </c>
      <c r="L2085" s="3"/>
      <c r="N2085" s="4"/>
    </row>
    <row r="2086" spans="1:14" ht="17.5" thickBot="1" x14ac:dyDescent="0.45">
      <c r="A2086" s="4">
        <v>44943</v>
      </c>
      <c r="B2086" s="3">
        <v>140.82</v>
      </c>
      <c r="C2086" s="3">
        <v>295.02</v>
      </c>
      <c r="D2086" s="3">
        <v>109.38</v>
      </c>
      <c r="E2086" s="3">
        <v>1.2883</v>
      </c>
      <c r="F2086" s="3">
        <v>279.27</v>
      </c>
      <c r="G2086" s="3">
        <v>317.27</v>
      </c>
      <c r="H2086" s="3">
        <v>186.82</v>
      </c>
      <c r="I2086" s="3">
        <v>265.63</v>
      </c>
      <c r="J2086" s="3">
        <v>115.29</v>
      </c>
      <c r="K2086" s="3">
        <v>214.5</v>
      </c>
      <c r="L2086" s="3"/>
      <c r="N2086" s="4"/>
    </row>
    <row r="2087" spans="1:14" ht="17.5" thickBot="1" x14ac:dyDescent="0.45">
      <c r="A2087" s="4">
        <v>44944</v>
      </c>
      <c r="B2087" s="3">
        <v>141.57</v>
      </c>
      <c r="C2087" s="3">
        <v>296.83999999999997</v>
      </c>
      <c r="D2087" s="3">
        <v>109.82</v>
      </c>
      <c r="E2087" s="3">
        <v>1.2868999999999999</v>
      </c>
      <c r="F2087" s="3">
        <v>280.02999999999997</v>
      </c>
      <c r="G2087" s="3">
        <v>312.39999999999998</v>
      </c>
      <c r="H2087" s="3">
        <v>187.87</v>
      </c>
      <c r="I2087" s="3">
        <v>261.66000000000003</v>
      </c>
      <c r="J2087" s="3">
        <v>115.29</v>
      </c>
      <c r="K2087" s="3">
        <v>215.64</v>
      </c>
      <c r="L2087" s="3"/>
      <c r="N2087" s="4"/>
    </row>
    <row r="2088" spans="1:14" ht="17.5" thickBot="1" x14ac:dyDescent="0.45">
      <c r="A2088" s="4">
        <v>44945</v>
      </c>
      <c r="B2088" s="3">
        <v>141.47999999999999</v>
      </c>
      <c r="C2088" s="3">
        <v>295.99</v>
      </c>
      <c r="D2088" s="3">
        <v>110.09</v>
      </c>
      <c r="E2088" s="3">
        <v>1.2795000000000001</v>
      </c>
      <c r="F2088" s="3">
        <v>278.47000000000003</v>
      </c>
      <c r="G2088" s="3">
        <v>310.69</v>
      </c>
      <c r="H2088" s="3">
        <v>187.34</v>
      </c>
      <c r="I2088" s="3">
        <v>259.83</v>
      </c>
      <c r="J2088" s="3">
        <v>115.29</v>
      </c>
      <c r="K2088" s="3">
        <v>214.86</v>
      </c>
      <c r="L2088" s="3"/>
      <c r="N2088" s="4"/>
    </row>
    <row r="2089" spans="1:14" ht="17.5" thickBot="1" x14ac:dyDescent="0.45">
      <c r="A2089" s="4">
        <v>44946</v>
      </c>
      <c r="B2089" s="3">
        <v>143.91999999999999</v>
      </c>
      <c r="C2089" s="3">
        <v>296.72000000000003</v>
      </c>
      <c r="D2089" s="3">
        <v>110.35</v>
      </c>
      <c r="E2089" s="3">
        <v>1.2870999999999999</v>
      </c>
      <c r="F2089" s="3">
        <v>281.2</v>
      </c>
      <c r="G2089" s="3">
        <v>316.39999999999998</v>
      </c>
      <c r="H2089" s="3">
        <v>187.65</v>
      </c>
      <c r="I2089" s="3">
        <v>264.69</v>
      </c>
      <c r="J2089" s="3">
        <v>115.29</v>
      </c>
      <c r="K2089" s="3">
        <v>215.55</v>
      </c>
      <c r="L2089" s="3"/>
      <c r="N2089" s="4"/>
    </row>
    <row r="2090" spans="1:14" ht="17.5" thickBot="1" x14ac:dyDescent="0.45">
      <c r="A2090" s="4">
        <v>44947</v>
      </c>
      <c r="B2090" s="3">
        <v>143.91999999999999</v>
      </c>
      <c r="C2090" s="3">
        <v>296.72000000000003</v>
      </c>
      <c r="D2090" s="3">
        <v>110.35</v>
      </c>
      <c r="E2090" s="3">
        <v>1.2870999999999999</v>
      </c>
      <c r="F2090" s="3">
        <v>281.2</v>
      </c>
      <c r="G2090" s="3">
        <v>316.39999999999998</v>
      </c>
      <c r="H2090" s="3">
        <v>187.65</v>
      </c>
      <c r="I2090" s="3">
        <v>264.69</v>
      </c>
      <c r="J2090" s="3">
        <v>115.29</v>
      </c>
      <c r="K2090" s="3">
        <v>215.55</v>
      </c>
      <c r="L2090" s="3"/>
      <c r="N2090" s="4"/>
    </row>
    <row r="2091" spans="1:14" ht="17.5" thickBot="1" x14ac:dyDescent="0.45">
      <c r="A2091" s="4">
        <v>44948</v>
      </c>
      <c r="B2091" s="3">
        <v>143.91999999999999</v>
      </c>
      <c r="C2091" s="3">
        <v>296.72000000000003</v>
      </c>
      <c r="D2091" s="3">
        <v>110.35</v>
      </c>
      <c r="E2091" s="3">
        <v>1.2870999999999999</v>
      </c>
      <c r="F2091" s="3">
        <v>281.2</v>
      </c>
      <c r="G2091" s="3">
        <v>316.39999999999998</v>
      </c>
      <c r="H2091" s="3">
        <v>187.65</v>
      </c>
      <c r="I2091" s="3">
        <v>264.69</v>
      </c>
      <c r="J2091" s="3">
        <v>115.3</v>
      </c>
      <c r="K2091" s="3">
        <v>215.55</v>
      </c>
      <c r="L2091" s="3"/>
      <c r="N2091" s="4"/>
    </row>
    <row r="2092" spans="1:14" ht="17.5" thickBot="1" x14ac:dyDescent="0.45">
      <c r="A2092" s="4">
        <v>44949</v>
      </c>
      <c r="B2092" s="3">
        <v>143.91999999999999</v>
      </c>
      <c r="C2092" s="3">
        <v>296.72000000000003</v>
      </c>
      <c r="D2092" s="3">
        <v>110.35</v>
      </c>
      <c r="E2092" s="3">
        <v>1.2870999999999999</v>
      </c>
      <c r="F2092" s="3">
        <v>281.2</v>
      </c>
      <c r="G2092" s="3">
        <v>316.39999999999998</v>
      </c>
      <c r="H2092" s="3">
        <v>187.65</v>
      </c>
      <c r="I2092" s="3">
        <v>264.69</v>
      </c>
      <c r="J2092" s="3">
        <v>115.3</v>
      </c>
      <c r="K2092" s="3">
        <v>215.55</v>
      </c>
      <c r="L2092" s="3"/>
      <c r="N2092" s="4"/>
    </row>
    <row r="2093" spans="1:14" ht="17.5" thickBot="1" x14ac:dyDescent="0.45">
      <c r="A2093" s="4">
        <v>44950</v>
      </c>
      <c r="B2093" s="3">
        <v>143.91999999999999</v>
      </c>
      <c r="C2093" s="3">
        <v>296.72000000000003</v>
      </c>
      <c r="D2093" s="3">
        <v>110.35</v>
      </c>
      <c r="E2093" s="3">
        <v>1.2870999999999999</v>
      </c>
      <c r="F2093" s="3">
        <v>281.2</v>
      </c>
      <c r="G2093" s="3">
        <v>316.39999999999998</v>
      </c>
      <c r="H2093" s="3">
        <v>187.65</v>
      </c>
      <c r="I2093" s="3">
        <v>264.69</v>
      </c>
      <c r="J2093" s="3">
        <v>115.3</v>
      </c>
      <c r="K2093" s="3">
        <v>215.55</v>
      </c>
      <c r="L2093" s="3"/>
      <c r="N2093" s="4"/>
    </row>
    <row r="2094" spans="1:14" ht="17.5" thickBot="1" x14ac:dyDescent="0.45">
      <c r="A2094" s="4">
        <v>44951</v>
      </c>
      <c r="B2094" s="3">
        <v>143.91999999999999</v>
      </c>
      <c r="C2094" s="3">
        <v>296.72000000000003</v>
      </c>
      <c r="D2094" s="3">
        <v>110.35</v>
      </c>
      <c r="E2094" s="3">
        <v>1.2870999999999999</v>
      </c>
      <c r="F2094" s="3">
        <v>281.2</v>
      </c>
      <c r="G2094" s="3">
        <v>316.39999999999998</v>
      </c>
      <c r="H2094" s="3">
        <v>187.65</v>
      </c>
      <c r="I2094" s="3">
        <v>264.69</v>
      </c>
      <c r="J2094" s="3">
        <v>115.3</v>
      </c>
      <c r="K2094" s="3">
        <v>215.55</v>
      </c>
      <c r="L2094" s="3"/>
      <c r="N2094" s="4"/>
    </row>
    <row r="2095" spans="1:14" ht="17.5" thickBot="1" x14ac:dyDescent="0.45">
      <c r="A2095" s="4">
        <v>44952</v>
      </c>
      <c r="B2095" s="3">
        <v>147.46</v>
      </c>
      <c r="C2095" s="3">
        <v>297.83</v>
      </c>
      <c r="D2095" s="3">
        <v>110.88</v>
      </c>
      <c r="E2095" s="3">
        <v>1.3010999999999999</v>
      </c>
      <c r="F2095" s="3">
        <v>285.75</v>
      </c>
      <c r="G2095" s="3">
        <v>323.8</v>
      </c>
      <c r="H2095" s="3">
        <v>188.98</v>
      </c>
      <c r="I2095" s="3">
        <v>270.57</v>
      </c>
      <c r="J2095" s="3">
        <v>115.35</v>
      </c>
      <c r="K2095" s="3">
        <v>217.49</v>
      </c>
      <c r="L2095" s="3"/>
      <c r="N2095" s="4"/>
    </row>
    <row r="2096" spans="1:14" ht="17.5" thickBot="1" x14ac:dyDescent="0.45">
      <c r="A2096" s="4">
        <v>44953</v>
      </c>
      <c r="B2096" s="3">
        <v>147.82</v>
      </c>
      <c r="C2096" s="3">
        <v>301.93</v>
      </c>
      <c r="D2096" s="3">
        <v>110.7</v>
      </c>
      <c r="E2096" s="3">
        <v>1.3022</v>
      </c>
      <c r="F2096" s="3">
        <v>286.99</v>
      </c>
      <c r="G2096" s="3">
        <v>325.07</v>
      </c>
      <c r="H2096" s="3">
        <v>189.17</v>
      </c>
      <c r="I2096" s="3">
        <v>271.18</v>
      </c>
      <c r="J2096" s="3">
        <v>115.41</v>
      </c>
      <c r="K2096" s="3">
        <v>217.82</v>
      </c>
      <c r="L2096" s="3"/>
      <c r="N2096" s="4"/>
    </row>
    <row r="2097" spans="1:14" ht="17.5" thickBot="1" x14ac:dyDescent="0.45">
      <c r="A2097" s="4">
        <v>44954</v>
      </c>
      <c r="B2097" s="3">
        <v>147.82</v>
      </c>
      <c r="C2097" s="3">
        <v>301.93</v>
      </c>
      <c r="D2097" s="3">
        <v>110.7</v>
      </c>
      <c r="E2097" s="3">
        <v>1.3022</v>
      </c>
      <c r="F2097" s="3">
        <v>286.99</v>
      </c>
      <c r="G2097" s="3">
        <v>325.07</v>
      </c>
      <c r="H2097" s="3">
        <v>189.17</v>
      </c>
      <c r="I2097" s="3">
        <v>271.18</v>
      </c>
      <c r="J2097" s="3">
        <v>115.41</v>
      </c>
      <c r="K2097" s="3">
        <v>217.82</v>
      </c>
      <c r="L2097" s="3"/>
      <c r="N2097" s="4"/>
    </row>
    <row r="2098" spans="1:14" ht="17.5" thickBot="1" x14ac:dyDescent="0.45">
      <c r="A2098" s="4">
        <v>44955</v>
      </c>
      <c r="B2098" s="3">
        <v>147.82</v>
      </c>
      <c r="C2098" s="3">
        <v>301.93</v>
      </c>
      <c r="D2098" s="3">
        <v>110.7</v>
      </c>
      <c r="E2098" s="3">
        <v>1.3022</v>
      </c>
      <c r="F2098" s="3">
        <v>286.99</v>
      </c>
      <c r="G2098" s="3">
        <v>325.07</v>
      </c>
      <c r="H2098" s="3">
        <v>189.17</v>
      </c>
      <c r="I2098" s="3">
        <v>271.18</v>
      </c>
      <c r="J2098" s="3">
        <v>115.41</v>
      </c>
      <c r="K2098" s="3">
        <v>217.82</v>
      </c>
      <c r="L2098" s="3"/>
      <c r="N2098" s="4"/>
    </row>
    <row r="2099" spans="1:14" ht="17.5" thickBot="1" x14ac:dyDescent="0.45">
      <c r="A2099" s="4">
        <v>44956</v>
      </c>
      <c r="B2099" s="3">
        <v>144.13</v>
      </c>
      <c r="C2099" s="3">
        <v>303.76</v>
      </c>
      <c r="D2099" s="3">
        <v>110.69</v>
      </c>
      <c r="E2099" s="3">
        <v>1.2944</v>
      </c>
      <c r="F2099" s="3">
        <v>283.67</v>
      </c>
      <c r="G2099" s="3">
        <v>321.19</v>
      </c>
      <c r="H2099" s="3">
        <v>188.09</v>
      </c>
      <c r="I2099" s="3">
        <v>267.83999999999997</v>
      </c>
      <c r="J2099" s="3">
        <v>115.41</v>
      </c>
      <c r="K2099" s="3">
        <v>216.26</v>
      </c>
      <c r="L2099" s="3"/>
      <c r="N2099" s="4"/>
    </row>
    <row r="2100" spans="1:14" ht="17.5" thickBot="1" x14ac:dyDescent="0.45">
      <c r="A2100" s="4">
        <v>44957</v>
      </c>
      <c r="B2100" s="3">
        <v>142.69999999999999</v>
      </c>
      <c r="C2100" s="3">
        <v>300.29000000000002</v>
      </c>
      <c r="D2100" s="3">
        <v>110.42</v>
      </c>
      <c r="E2100" s="3">
        <v>1.3007</v>
      </c>
      <c r="F2100" s="3">
        <v>282.7</v>
      </c>
      <c r="G2100" s="3">
        <v>326.16000000000003</v>
      </c>
      <c r="H2100" s="3">
        <v>187.94</v>
      </c>
      <c r="I2100" s="3">
        <v>271.81</v>
      </c>
      <c r="J2100" s="3">
        <v>115.42</v>
      </c>
      <c r="K2100" s="3">
        <v>215.95</v>
      </c>
      <c r="L2100" s="3"/>
      <c r="N2100" s="4"/>
    </row>
    <row r="2101" spans="1:14" ht="17.5" thickBot="1" x14ac:dyDescent="0.45">
      <c r="A2101" s="4">
        <v>44958</v>
      </c>
      <c r="B2101" s="3">
        <v>143.85</v>
      </c>
      <c r="C2101" s="3">
        <v>303.27999999999997</v>
      </c>
      <c r="D2101" s="3">
        <v>110.51</v>
      </c>
      <c r="E2101" s="3">
        <v>1.3103</v>
      </c>
      <c r="F2101" s="3">
        <v>285.44</v>
      </c>
      <c r="G2101" s="3">
        <v>329.5</v>
      </c>
      <c r="H2101" s="3">
        <v>189.25</v>
      </c>
      <c r="I2101" s="3">
        <v>274.76</v>
      </c>
      <c r="J2101" s="3">
        <v>115.43</v>
      </c>
      <c r="K2101" s="3">
        <v>217.66</v>
      </c>
      <c r="L2101" s="3"/>
      <c r="N2101" s="4"/>
    </row>
    <row r="2102" spans="1:14" ht="17.5" thickBot="1" x14ac:dyDescent="0.45">
      <c r="A2102" s="4">
        <v>44959</v>
      </c>
      <c r="B2102" s="3">
        <v>143.35</v>
      </c>
      <c r="C2102" s="3">
        <v>305.74</v>
      </c>
      <c r="D2102" s="3">
        <v>111.13</v>
      </c>
      <c r="E2102" s="3">
        <v>1.3240000000000001</v>
      </c>
      <c r="F2102" s="3">
        <v>286.89999999999998</v>
      </c>
      <c r="G2102" s="3">
        <v>334.26</v>
      </c>
      <c r="H2102" s="3">
        <v>190.41</v>
      </c>
      <c r="I2102" s="3">
        <v>278.77</v>
      </c>
      <c r="J2102" s="3">
        <v>115.43</v>
      </c>
      <c r="K2102" s="3">
        <v>219.02</v>
      </c>
      <c r="L2102" s="3"/>
      <c r="N2102" s="4"/>
    </row>
    <row r="2103" spans="1:14" ht="17.5" thickBot="1" x14ac:dyDescent="0.45">
      <c r="A2103" s="4">
        <v>44960</v>
      </c>
      <c r="B2103" s="3">
        <v>141.27000000000001</v>
      </c>
      <c r="C2103" s="3">
        <v>305.42</v>
      </c>
      <c r="D2103" s="3">
        <v>110.86</v>
      </c>
      <c r="E2103" s="3">
        <v>1.3129</v>
      </c>
      <c r="F2103" s="3">
        <v>284.47000000000003</v>
      </c>
      <c r="G2103" s="3">
        <v>331.57</v>
      </c>
      <c r="H2103" s="3">
        <v>188.87</v>
      </c>
      <c r="I2103" s="3">
        <v>275.95999999999998</v>
      </c>
      <c r="J2103" s="3">
        <v>115.49</v>
      </c>
      <c r="K2103" s="3">
        <v>217.08</v>
      </c>
      <c r="L2103" s="3"/>
      <c r="N2103" s="4"/>
    </row>
    <row r="2104" spans="1:14" ht="17.5" thickBot="1" x14ac:dyDescent="0.45">
      <c r="A2104" s="4">
        <v>44961</v>
      </c>
      <c r="B2104" s="3">
        <v>141.27000000000001</v>
      </c>
      <c r="C2104" s="3">
        <v>305.42</v>
      </c>
      <c r="D2104" s="3">
        <v>110.86</v>
      </c>
      <c r="E2104" s="3">
        <v>1.3129</v>
      </c>
      <c r="F2104" s="3">
        <v>284.47000000000003</v>
      </c>
      <c r="G2104" s="3">
        <v>331.57</v>
      </c>
      <c r="H2104" s="3">
        <v>188.87</v>
      </c>
      <c r="I2104" s="3">
        <v>275.95999999999998</v>
      </c>
      <c r="J2104" s="3">
        <v>115.49</v>
      </c>
      <c r="K2104" s="3">
        <v>217.08</v>
      </c>
      <c r="L2104" s="3"/>
      <c r="N2104" s="4"/>
    </row>
    <row r="2105" spans="1:14" ht="17.5" thickBot="1" x14ac:dyDescent="0.45">
      <c r="A2105" s="4">
        <v>44962</v>
      </c>
      <c r="B2105" s="3">
        <v>141.27000000000001</v>
      </c>
      <c r="C2105" s="3">
        <v>305.42</v>
      </c>
      <c r="D2105" s="3">
        <v>110.86</v>
      </c>
      <c r="E2105" s="3">
        <v>1.3129</v>
      </c>
      <c r="F2105" s="3">
        <v>284.47000000000003</v>
      </c>
      <c r="G2105" s="3">
        <v>331.57</v>
      </c>
      <c r="H2105" s="3">
        <v>188.87</v>
      </c>
      <c r="I2105" s="3">
        <v>275.95999999999998</v>
      </c>
      <c r="J2105" s="3">
        <v>115.5</v>
      </c>
      <c r="K2105" s="3">
        <v>217.08</v>
      </c>
      <c r="L2105" s="3"/>
      <c r="N2105" s="4"/>
    </row>
    <row r="2106" spans="1:14" ht="17.5" thickBot="1" x14ac:dyDescent="0.45">
      <c r="A2106" s="4">
        <v>44963</v>
      </c>
      <c r="B2106" s="3">
        <v>138.51</v>
      </c>
      <c r="C2106" s="3">
        <v>299.24</v>
      </c>
      <c r="D2106" s="3">
        <v>109.61</v>
      </c>
      <c r="E2106" s="3">
        <v>1.3013999999999999</v>
      </c>
      <c r="F2106" s="3">
        <v>279.98</v>
      </c>
      <c r="G2106" s="3">
        <v>329.56</v>
      </c>
      <c r="H2106" s="3">
        <v>186.79</v>
      </c>
      <c r="I2106" s="3">
        <v>274.25</v>
      </c>
      <c r="J2106" s="3">
        <v>115.5</v>
      </c>
      <c r="K2106" s="3">
        <v>214.37</v>
      </c>
      <c r="L2106" s="3"/>
      <c r="N2106" s="4"/>
    </row>
    <row r="2107" spans="1:14" ht="17.5" thickBot="1" x14ac:dyDescent="0.45">
      <c r="A2107" s="4">
        <v>44964</v>
      </c>
      <c r="B2107" s="3">
        <v>138.97</v>
      </c>
      <c r="C2107" s="3">
        <v>300.23</v>
      </c>
      <c r="D2107" s="3">
        <v>109.34</v>
      </c>
      <c r="E2107" s="3">
        <v>1.3077000000000001</v>
      </c>
      <c r="F2107" s="3">
        <v>281.91000000000003</v>
      </c>
      <c r="G2107" s="3">
        <v>333.8</v>
      </c>
      <c r="H2107" s="3">
        <v>187.04</v>
      </c>
      <c r="I2107" s="3">
        <v>277.83</v>
      </c>
      <c r="J2107" s="3">
        <v>115.5</v>
      </c>
      <c r="K2107" s="3">
        <v>214.88</v>
      </c>
      <c r="L2107" s="3"/>
      <c r="N2107" s="4"/>
    </row>
    <row r="2108" spans="1:14" ht="17.5" thickBot="1" x14ac:dyDescent="0.45">
      <c r="A2108" s="4">
        <v>44965</v>
      </c>
      <c r="B2108" s="3">
        <v>138.94</v>
      </c>
      <c r="C2108" s="3">
        <v>302.88</v>
      </c>
      <c r="D2108" s="3">
        <v>109.33</v>
      </c>
      <c r="E2108" s="3">
        <v>1.3039000000000001</v>
      </c>
      <c r="F2108" s="3">
        <v>281.88</v>
      </c>
      <c r="G2108" s="3">
        <v>330.19</v>
      </c>
      <c r="H2108" s="3">
        <v>187.17</v>
      </c>
      <c r="I2108" s="3">
        <v>274.82</v>
      </c>
      <c r="J2108" s="3">
        <v>115.5</v>
      </c>
      <c r="K2108" s="3">
        <v>215.01</v>
      </c>
      <c r="L2108" s="3"/>
      <c r="N2108" s="4"/>
    </row>
    <row r="2109" spans="1:14" ht="17.5" thickBot="1" x14ac:dyDescent="0.45">
      <c r="A2109" s="4">
        <v>44966</v>
      </c>
      <c r="B2109" s="3">
        <v>141.15</v>
      </c>
      <c r="C2109" s="3">
        <v>302.83</v>
      </c>
      <c r="D2109" s="3">
        <v>109.33</v>
      </c>
      <c r="E2109" s="3">
        <v>1.3010999999999999</v>
      </c>
      <c r="F2109" s="3">
        <v>283.39</v>
      </c>
      <c r="G2109" s="3">
        <v>327.56</v>
      </c>
      <c r="H2109" s="3">
        <v>187.82</v>
      </c>
      <c r="I2109" s="3">
        <v>272.5</v>
      </c>
      <c r="J2109" s="3">
        <v>115.5</v>
      </c>
      <c r="K2109" s="3">
        <v>215.8</v>
      </c>
      <c r="L2109" s="3"/>
      <c r="N2109" s="4"/>
    </row>
    <row r="2110" spans="1:14" ht="17.5" thickBot="1" x14ac:dyDescent="0.45">
      <c r="A2110" s="4">
        <v>44967</v>
      </c>
      <c r="B2110" s="3">
        <v>138.16999999999999</v>
      </c>
      <c r="C2110" s="3">
        <v>301.62</v>
      </c>
      <c r="D2110" s="3">
        <v>108.8</v>
      </c>
      <c r="E2110" s="3">
        <v>1.2965</v>
      </c>
      <c r="F2110" s="3">
        <v>280.39</v>
      </c>
      <c r="G2110" s="3">
        <v>328.25</v>
      </c>
      <c r="H2110" s="3">
        <v>186.19</v>
      </c>
      <c r="I2110" s="3">
        <v>273.08999999999997</v>
      </c>
      <c r="J2110" s="3">
        <v>115.55</v>
      </c>
      <c r="K2110" s="3">
        <v>213.87</v>
      </c>
      <c r="L2110" s="3"/>
      <c r="N2110" s="4"/>
    </row>
    <row r="2111" spans="1:14" ht="17.5" thickBot="1" x14ac:dyDescent="0.45">
      <c r="A2111" s="4">
        <v>44968</v>
      </c>
      <c r="B2111" s="3">
        <v>138.16999999999999</v>
      </c>
      <c r="C2111" s="3">
        <v>301.62</v>
      </c>
      <c r="D2111" s="3">
        <v>108.8</v>
      </c>
      <c r="E2111" s="3">
        <v>1.2965</v>
      </c>
      <c r="F2111" s="3">
        <v>280.39</v>
      </c>
      <c r="G2111" s="3">
        <v>328.25</v>
      </c>
      <c r="H2111" s="3">
        <v>186.19</v>
      </c>
      <c r="I2111" s="3">
        <v>273.08999999999997</v>
      </c>
      <c r="J2111" s="3">
        <v>115.55</v>
      </c>
      <c r="K2111" s="3">
        <v>213.87</v>
      </c>
      <c r="L2111" s="3"/>
      <c r="N2111" s="4"/>
    </row>
    <row r="2112" spans="1:14" ht="17.5" thickBot="1" x14ac:dyDescent="0.45">
      <c r="A2112" s="4">
        <v>44969</v>
      </c>
      <c r="B2112" s="3">
        <v>138.16999999999999</v>
      </c>
      <c r="C2112" s="3">
        <v>301.62</v>
      </c>
      <c r="D2112" s="3">
        <v>108.8</v>
      </c>
      <c r="E2112" s="3">
        <v>1.2965</v>
      </c>
      <c r="F2112" s="3">
        <v>280.39</v>
      </c>
      <c r="G2112" s="3">
        <v>328.25</v>
      </c>
      <c r="H2112" s="3">
        <v>186.19</v>
      </c>
      <c r="I2112" s="3">
        <v>273.08999999999997</v>
      </c>
      <c r="J2112" s="3">
        <v>115.55</v>
      </c>
      <c r="K2112" s="3">
        <v>213.87</v>
      </c>
      <c r="L2112" s="3"/>
      <c r="N2112" s="4"/>
    </row>
    <row r="2113" spans="1:14" ht="17.5" thickBot="1" x14ac:dyDescent="0.45">
      <c r="A2113" s="4">
        <v>44970</v>
      </c>
      <c r="B2113" s="3">
        <v>138.37</v>
      </c>
      <c r="C2113" s="3">
        <v>299.45999999999998</v>
      </c>
      <c r="D2113" s="3">
        <v>108.52</v>
      </c>
      <c r="E2113" s="3">
        <v>1.3035000000000001</v>
      </c>
      <c r="F2113" s="3">
        <v>280.95</v>
      </c>
      <c r="G2113" s="3">
        <v>331.92</v>
      </c>
      <c r="H2113" s="3">
        <v>186.36</v>
      </c>
      <c r="I2113" s="3">
        <v>276.26</v>
      </c>
      <c r="J2113" s="3">
        <v>115.55</v>
      </c>
      <c r="K2113" s="3">
        <v>214.11</v>
      </c>
      <c r="L2113" s="3"/>
      <c r="N2113" s="4"/>
    </row>
    <row r="2114" spans="1:14" ht="17.5" thickBot="1" x14ac:dyDescent="0.45">
      <c r="A2114" s="4">
        <v>44971</v>
      </c>
      <c r="B2114" s="3">
        <v>137.80000000000001</v>
      </c>
      <c r="C2114" s="3">
        <v>301.35000000000002</v>
      </c>
      <c r="D2114" s="3">
        <v>108.61</v>
      </c>
      <c r="E2114" s="3">
        <v>1.3028999999999999</v>
      </c>
      <c r="F2114" s="3">
        <v>281.14</v>
      </c>
      <c r="G2114" s="3">
        <v>331.9</v>
      </c>
      <c r="H2114" s="3">
        <v>186.23</v>
      </c>
      <c r="I2114" s="3">
        <v>276.10000000000002</v>
      </c>
      <c r="J2114" s="3">
        <v>115.56</v>
      </c>
      <c r="K2114" s="3">
        <v>213.97</v>
      </c>
      <c r="L2114" s="3"/>
      <c r="N2114" s="4"/>
    </row>
    <row r="2115" spans="1:14" ht="17.5" thickBot="1" x14ac:dyDescent="0.45">
      <c r="A2115" s="4">
        <v>44972</v>
      </c>
      <c r="B2115" s="3">
        <v>135.80000000000001</v>
      </c>
      <c r="C2115" s="3">
        <v>296.43</v>
      </c>
      <c r="D2115" s="3">
        <v>107.81</v>
      </c>
      <c r="E2115" s="3">
        <v>1.3012999999999999</v>
      </c>
      <c r="F2115" s="3">
        <v>279.04000000000002</v>
      </c>
      <c r="G2115" s="3">
        <v>333.22</v>
      </c>
      <c r="H2115" s="3">
        <v>185.07</v>
      </c>
      <c r="I2115" s="3">
        <v>276.94</v>
      </c>
      <c r="J2115" s="3">
        <v>115.56</v>
      </c>
      <c r="K2115" s="3">
        <v>212.62</v>
      </c>
      <c r="L2115" s="3"/>
      <c r="N2115" s="4"/>
    </row>
    <row r="2116" spans="1:14" ht="17.5" thickBot="1" x14ac:dyDescent="0.45">
      <c r="A2116" s="4">
        <v>44973</v>
      </c>
      <c r="B2116" s="3">
        <v>137.08000000000001</v>
      </c>
      <c r="C2116" s="3">
        <v>298.88</v>
      </c>
      <c r="D2116" s="3">
        <v>107.63</v>
      </c>
      <c r="E2116" s="3">
        <v>1.2945</v>
      </c>
      <c r="F2116" s="3">
        <v>279.61</v>
      </c>
      <c r="G2116" s="3">
        <v>329.11</v>
      </c>
      <c r="H2116" s="3">
        <v>185.16</v>
      </c>
      <c r="I2116" s="3">
        <v>273.20999999999998</v>
      </c>
      <c r="J2116" s="3">
        <v>115.56</v>
      </c>
      <c r="K2116" s="3">
        <v>212.71</v>
      </c>
      <c r="L2116" s="3"/>
      <c r="N2116" s="4"/>
    </row>
    <row r="2117" spans="1:14" ht="17.5" thickBot="1" x14ac:dyDescent="0.45">
      <c r="A2117" s="4">
        <v>44974</v>
      </c>
      <c r="B2117" s="3">
        <v>135.35</v>
      </c>
      <c r="C2117" s="3">
        <v>296.10000000000002</v>
      </c>
      <c r="D2117" s="3">
        <v>106.91</v>
      </c>
      <c r="E2117" s="3">
        <v>1.2911999999999999</v>
      </c>
      <c r="F2117" s="3">
        <v>277.36</v>
      </c>
      <c r="G2117" s="3">
        <v>327.88</v>
      </c>
      <c r="H2117" s="3">
        <v>184.21</v>
      </c>
      <c r="I2117" s="3">
        <v>272.44</v>
      </c>
      <c r="J2117" s="3">
        <v>115.61</v>
      </c>
      <c r="K2117" s="3">
        <v>211.61</v>
      </c>
      <c r="L2117" s="3"/>
      <c r="N2117" s="4"/>
    </row>
    <row r="2118" spans="1:14" ht="17.5" thickBot="1" x14ac:dyDescent="0.45">
      <c r="A2118" s="4">
        <v>44975</v>
      </c>
      <c r="B2118" s="3">
        <v>135.35</v>
      </c>
      <c r="C2118" s="3">
        <v>296.10000000000002</v>
      </c>
      <c r="D2118" s="3">
        <v>106.91</v>
      </c>
      <c r="E2118" s="3">
        <v>1.2911999999999999</v>
      </c>
      <c r="F2118" s="3">
        <v>277.36</v>
      </c>
      <c r="G2118" s="3">
        <v>327.88</v>
      </c>
      <c r="H2118" s="3">
        <v>184.21</v>
      </c>
      <c r="I2118" s="3">
        <v>272.44</v>
      </c>
      <c r="J2118" s="3">
        <v>115.61</v>
      </c>
      <c r="K2118" s="3">
        <v>211.61</v>
      </c>
      <c r="L2118" s="3"/>
      <c r="N2118" s="4"/>
    </row>
    <row r="2119" spans="1:14" ht="17.5" thickBot="1" x14ac:dyDescent="0.45">
      <c r="A2119" s="4">
        <v>44976</v>
      </c>
      <c r="B2119" s="3">
        <v>135.35</v>
      </c>
      <c r="C2119" s="3">
        <v>296.10000000000002</v>
      </c>
      <c r="D2119" s="3">
        <v>106.91</v>
      </c>
      <c r="E2119" s="3">
        <v>1.2911999999999999</v>
      </c>
      <c r="F2119" s="3">
        <v>277.36</v>
      </c>
      <c r="G2119" s="3">
        <v>327.88</v>
      </c>
      <c r="H2119" s="3">
        <v>184.21</v>
      </c>
      <c r="I2119" s="3">
        <v>272.44</v>
      </c>
      <c r="J2119" s="3">
        <v>115.61</v>
      </c>
      <c r="K2119" s="3">
        <v>211.61</v>
      </c>
      <c r="L2119" s="3"/>
      <c r="N2119" s="4"/>
    </row>
    <row r="2120" spans="1:14" ht="17.5" thickBot="1" x14ac:dyDescent="0.45">
      <c r="A2120" s="4">
        <v>44977</v>
      </c>
      <c r="B2120" s="3">
        <v>136.22999999999999</v>
      </c>
      <c r="C2120" s="3">
        <v>296.73</v>
      </c>
      <c r="D2120" s="3">
        <v>107.17</v>
      </c>
      <c r="E2120" s="3">
        <v>1.2910999999999999</v>
      </c>
      <c r="F2120" s="3">
        <v>278.66000000000003</v>
      </c>
      <c r="G2120" s="3">
        <v>327.47000000000003</v>
      </c>
      <c r="H2120" s="3">
        <v>184.73</v>
      </c>
      <c r="I2120" s="3">
        <v>272.04000000000002</v>
      </c>
      <c r="J2120" s="3">
        <v>115.61</v>
      </c>
      <c r="K2120" s="3">
        <v>212.21</v>
      </c>
      <c r="L2120" s="3"/>
      <c r="N2120" s="4"/>
    </row>
    <row r="2121" spans="1:14" ht="17.5" thickBot="1" x14ac:dyDescent="0.45">
      <c r="A2121" s="4">
        <v>44978</v>
      </c>
      <c r="B2121" s="3">
        <v>134.12</v>
      </c>
      <c r="C2121" s="3">
        <v>296.29000000000002</v>
      </c>
      <c r="D2121" s="3">
        <v>106.99</v>
      </c>
      <c r="E2121" s="3">
        <v>1.2783</v>
      </c>
      <c r="F2121" s="3">
        <v>275.81</v>
      </c>
      <c r="G2121" s="3">
        <v>321.5</v>
      </c>
      <c r="H2121" s="3">
        <v>183.27</v>
      </c>
      <c r="I2121" s="3">
        <v>266.83</v>
      </c>
      <c r="J2121" s="3">
        <v>115.61</v>
      </c>
      <c r="K2121" s="3">
        <v>210.46</v>
      </c>
      <c r="L2121" s="3"/>
      <c r="N2121" s="4"/>
    </row>
    <row r="2122" spans="1:14" ht="17.5" thickBot="1" x14ac:dyDescent="0.45">
      <c r="A2122" s="4">
        <v>44979</v>
      </c>
      <c r="B2122" s="3">
        <v>133.22999999999999</v>
      </c>
      <c r="C2122" s="3">
        <v>291.60000000000002</v>
      </c>
      <c r="D2122" s="3">
        <v>106.64</v>
      </c>
      <c r="E2122" s="3">
        <v>1.2755000000000001</v>
      </c>
      <c r="F2122" s="3">
        <v>273.83999999999997</v>
      </c>
      <c r="G2122" s="3">
        <v>320.85000000000002</v>
      </c>
      <c r="H2122" s="3">
        <v>182.56</v>
      </c>
      <c r="I2122" s="3">
        <v>266.35000000000002</v>
      </c>
      <c r="J2122" s="3">
        <v>115.62</v>
      </c>
      <c r="K2122" s="3">
        <v>209.62</v>
      </c>
      <c r="L2122" s="3"/>
      <c r="N2122" s="4"/>
    </row>
    <row r="2123" spans="1:14" ht="17.5" thickBot="1" x14ac:dyDescent="0.45">
      <c r="A2123" s="4">
        <v>44980</v>
      </c>
      <c r="B2123" s="3">
        <v>132.85</v>
      </c>
      <c r="C2123" s="3">
        <v>292.98</v>
      </c>
      <c r="D2123" s="3">
        <v>106.63</v>
      </c>
      <c r="E2123" s="3">
        <v>1.2789999999999999</v>
      </c>
      <c r="F2123" s="3">
        <v>274.47000000000003</v>
      </c>
      <c r="G2123" s="3">
        <v>322.37</v>
      </c>
      <c r="H2123" s="3">
        <v>182.94</v>
      </c>
      <c r="I2123" s="3">
        <v>267.73</v>
      </c>
      <c r="J2123" s="3">
        <v>115.62</v>
      </c>
      <c r="K2123" s="3">
        <v>210.06</v>
      </c>
      <c r="L2123" s="3"/>
      <c r="N2123" s="4"/>
    </row>
    <row r="2124" spans="1:14" ht="17.5" thickBot="1" x14ac:dyDescent="0.45">
      <c r="A2124" s="4">
        <v>44981</v>
      </c>
      <c r="B2124" s="3">
        <v>131.19</v>
      </c>
      <c r="C2124" s="3">
        <v>290.67</v>
      </c>
      <c r="D2124" s="3">
        <v>106.36</v>
      </c>
      <c r="E2124" s="3">
        <v>1.2683</v>
      </c>
      <c r="F2124" s="3">
        <v>270.73</v>
      </c>
      <c r="G2124" s="3">
        <v>319.26</v>
      </c>
      <c r="H2124" s="3">
        <v>181.26</v>
      </c>
      <c r="I2124" s="3">
        <v>264.89</v>
      </c>
      <c r="J2124" s="3">
        <v>115.63</v>
      </c>
      <c r="K2124" s="3">
        <v>207.99</v>
      </c>
      <c r="L2124" s="3"/>
      <c r="N2124" s="4"/>
    </row>
    <row r="2125" spans="1:14" ht="17.5" thickBot="1" x14ac:dyDescent="0.45">
      <c r="A2125" s="4">
        <v>44982</v>
      </c>
      <c r="B2125" s="3">
        <v>131.19</v>
      </c>
      <c r="C2125" s="3">
        <v>290.67</v>
      </c>
      <c r="D2125" s="3">
        <v>106.36</v>
      </c>
      <c r="E2125" s="3">
        <v>1.2683</v>
      </c>
      <c r="F2125" s="3">
        <v>270.73</v>
      </c>
      <c r="G2125" s="3">
        <v>319.26</v>
      </c>
      <c r="H2125" s="3">
        <v>181.26</v>
      </c>
      <c r="I2125" s="3">
        <v>264.89</v>
      </c>
      <c r="J2125" s="3">
        <v>115.64</v>
      </c>
      <c r="K2125" s="3">
        <v>207.99</v>
      </c>
      <c r="L2125" s="3"/>
      <c r="N2125" s="4"/>
    </row>
    <row r="2126" spans="1:14" ht="17.5" thickBot="1" x14ac:dyDescent="0.45">
      <c r="A2126" s="4">
        <v>44983</v>
      </c>
      <c r="B2126" s="3">
        <v>131.19</v>
      </c>
      <c r="C2126" s="3">
        <v>290.67</v>
      </c>
      <c r="D2126" s="3">
        <v>106.36</v>
      </c>
      <c r="E2126" s="3">
        <v>1.2683</v>
      </c>
      <c r="F2126" s="3">
        <v>270.73</v>
      </c>
      <c r="G2126" s="3">
        <v>319.26</v>
      </c>
      <c r="H2126" s="3">
        <v>181.26</v>
      </c>
      <c r="I2126" s="3">
        <v>264.89</v>
      </c>
      <c r="J2126" s="3">
        <v>115.64</v>
      </c>
      <c r="K2126" s="3">
        <v>207.99</v>
      </c>
      <c r="L2126" s="3"/>
      <c r="N2126" s="4"/>
    </row>
    <row r="2127" spans="1:14" ht="17.5" thickBot="1" x14ac:dyDescent="0.45">
      <c r="A2127" s="4">
        <v>44984</v>
      </c>
      <c r="B2127" s="3">
        <v>130.24</v>
      </c>
      <c r="C2127" s="3">
        <v>289.02999999999997</v>
      </c>
      <c r="D2127" s="3">
        <v>105.91</v>
      </c>
      <c r="E2127" s="3">
        <v>1.2713000000000001</v>
      </c>
      <c r="F2127" s="3">
        <v>271.02999999999997</v>
      </c>
      <c r="G2127" s="3">
        <v>320.5</v>
      </c>
      <c r="H2127" s="3">
        <v>181.29</v>
      </c>
      <c r="I2127" s="3">
        <v>265.77</v>
      </c>
      <c r="J2127" s="3">
        <v>115.64</v>
      </c>
      <c r="K2127" s="3">
        <v>208.08</v>
      </c>
      <c r="L2127" s="3"/>
      <c r="N2127" s="4"/>
    </row>
    <row r="2128" spans="1:14" ht="17.5" thickBot="1" x14ac:dyDescent="0.45">
      <c r="A2128" s="4">
        <v>44985</v>
      </c>
      <c r="B2128" s="3">
        <v>129.66</v>
      </c>
      <c r="C2128" s="3">
        <v>289.52</v>
      </c>
      <c r="D2128" s="3">
        <v>105.82</v>
      </c>
      <c r="E2128" s="3">
        <v>1.2698</v>
      </c>
      <c r="F2128" s="3">
        <v>269.94</v>
      </c>
      <c r="G2128" s="3">
        <v>319.64999999999998</v>
      </c>
      <c r="H2128" s="3">
        <v>180.91</v>
      </c>
      <c r="I2128" s="3">
        <v>264.79000000000002</v>
      </c>
      <c r="J2128" s="3">
        <v>115.65</v>
      </c>
      <c r="K2128" s="3">
        <v>207.6</v>
      </c>
      <c r="L2128" s="3"/>
      <c r="N2128" s="4"/>
    </row>
    <row r="2129" spans="1:14" ht="17.5" thickBot="1" x14ac:dyDescent="0.45">
      <c r="A2129" s="4">
        <v>44986</v>
      </c>
      <c r="B2129" s="3">
        <v>134.62</v>
      </c>
      <c r="C2129" s="3">
        <v>291.52</v>
      </c>
      <c r="D2129" s="3">
        <v>106.18</v>
      </c>
      <c r="E2129" s="3">
        <v>1.2674000000000001</v>
      </c>
      <c r="F2129" s="3">
        <v>274.05</v>
      </c>
      <c r="G2129" s="3">
        <v>318.5</v>
      </c>
      <c r="H2129" s="3">
        <v>182.37</v>
      </c>
      <c r="I2129" s="3">
        <v>263.85000000000002</v>
      </c>
      <c r="J2129" s="3">
        <v>115.66</v>
      </c>
      <c r="K2129" s="3">
        <v>209.35</v>
      </c>
      <c r="L2129" s="3"/>
      <c r="N2129" s="4"/>
    </row>
    <row r="2130" spans="1:14" ht="17.5" thickBot="1" x14ac:dyDescent="0.45">
      <c r="A2130" s="4">
        <v>44987</v>
      </c>
      <c r="B2130" s="3">
        <v>133.59</v>
      </c>
      <c r="C2130" s="3">
        <v>290.85000000000002</v>
      </c>
      <c r="D2130" s="3">
        <v>105.82</v>
      </c>
      <c r="E2130" s="3">
        <v>1.2689999999999999</v>
      </c>
      <c r="F2130" s="3">
        <v>273.44</v>
      </c>
      <c r="G2130" s="3">
        <v>320.60000000000002</v>
      </c>
      <c r="H2130" s="3">
        <v>181.82</v>
      </c>
      <c r="I2130" s="3">
        <v>265.92</v>
      </c>
      <c r="J2130" s="3">
        <v>115.66</v>
      </c>
      <c r="K2130" s="3">
        <v>208.72</v>
      </c>
      <c r="L2130" s="3"/>
      <c r="N2130" s="4"/>
    </row>
    <row r="2131" spans="1:14" ht="17.5" thickBot="1" x14ac:dyDescent="0.45">
      <c r="A2131" s="4">
        <v>44988</v>
      </c>
      <c r="B2131" s="3">
        <v>134.72</v>
      </c>
      <c r="C2131" s="3">
        <v>293.20999999999998</v>
      </c>
      <c r="D2131" s="3">
        <v>105.9</v>
      </c>
      <c r="E2131" s="3">
        <v>1.2810999999999999</v>
      </c>
      <c r="F2131" s="3">
        <v>276.23</v>
      </c>
      <c r="G2131" s="3">
        <v>325.45</v>
      </c>
      <c r="H2131" s="3">
        <v>182.96</v>
      </c>
      <c r="I2131" s="3">
        <v>270.19</v>
      </c>
      <c r="J2131" s="3">
        <v>115.72</v>
      </c>
      <c r="K2131" s="3">
        <v>210.13</v>
      </c>
      <c r="L2131" s="3"/>
      <c r="N2131" s="4"/>
    </row>
    <row r="2132" spans="1:14" ht="17.5" thickBot="1" x14ac:dyDescent="0.45">
      <c r="A2132" s="4">
        <v>44989</v>
      </c>
      <c r="B2132" s="3">
        <v>134.72</v>
      </c>
      <c r="C2132" s="3">
        <v>293.20999999999998</v>
      </c>
      <c r="D2132" s="3">
        <v>105.9</v>
      </c>
      <c r="E2132" s="3">
        <v>1.2810999999999999</v>
      </c>
      <c r="F2132" s="3">
        <v>276.23</v>
      </c>
      <c r="G2132" s="3">
        <v>325.45</v>
      </c>
      <c r="H2132" s="3">
        <v>182.96</v>
      </c>
      <c r="I2132" s="3">
        <v>270.19</v>
      </c>
      <c r="J2132" s="3">
        <v>115.72</v>
      </c>
      <c r="K2132" s="3">
        <v>210.13</v>
      </c>
      <c r="L2132" s="3"/>
      <c r="N2132" s="4"/>
    </row>
    <row r="2133" spans="1:14" ht="17.5" thickBot="1" x14ac:dyDescent="0.45">
      <c r="A2133" s="4">
        <v>44990</v>
      </c>
      <c r="B2133" s="3">
        <v>134.72</v>
      </c>
      <c r="C2133" s="3">
        <v>293.20999999999998</v>
      </c>
      <c r="D2133" s="3">
        <v>105.9</v>
      </c>
      <c r="E2133" s="3">
        <v>1.2810999999999999</v>
      </c>
      <c r="F2133" s="3">
        <v>276.23</v>
      </c>
      <c r="G2133" s="3">
        <v>325.45</v>
      </c>
      <c r="H2133" s="3">
        <v>182.96</v>
      </c>
      <c r="I2133" s="3">
        <v>270.19</v>
      </c>
      <c r="J2133" s="3">
        <v>115.72</v>
      </c>
      <c r="K2133" s="3">
        <v>210.13</v>
      </c>
      <c r="L2133" s="3"/>
      <c r="N2133" s="4"/>
    </row>
    <row r="2134" spans="1:14" ht="17.5" thickBot="1" x14ac:dyDescent="0.45">
      <c r="A2134" s="4">
        <v>44991</v>
      </c>
      <c r="B2134" s="3">
        <v>134.87</v>
      </c>
      <c r="C2134" s="3">
        <v>296.2</v>
      </c>
      <c r="D2134" s="3">
        <v>106.16</v>
      </c>
      <c r="E2134" s="3">
        <v>1.2828999999999999</v>
      </c>
      <c r="F2134" s="3">
        <v>277.18</v>
      </c>
      <c r="G2134" s="3">
        <v>325.76</v>
      </c>
      <c r="H2134" s="3">
        <v>183.37</v>
      </c>
      <c r="I2134" s="3">
        <v>270.45999999999998</v>
      </c>
      <c r="J2134" s="3">
        <v>115.73</v>
      </c>
      <c r="K2134" s="3">
        <v>210.62</v>
      </c>
      <c r="L2134" s="3"/>
      <c r="N2134" s="4"/>
    </row>
    <row r="2135" spans="1:14" ht="17.5" thickBot="1" x14ac:dyDescent="0.45">
      <c r="A2135" s="4">
        <v>44992</v>
      </c>
      <c r="B2135" s="3">
        <v>134.43</v>
      </c>
      <c r="C2135" s="3">
        <v>295.32</v>
      </c>
      <c r="D2135" s="3">
        <v>105.9</v>
      </c>
      <c r="E2135" s="3">
        <v>1.2725</v>
      </c>
      <c r="F2135" s="3">
        <v>275.27</v>
      </c>
      <c r="G2135" s="3">
        <v>320.95999999999998</v>
      </c>
      <c r="H2135" s="3">
        <v>182.56</v>
      </c>
      <c r="I2135" s="3">
        <v>266.22000000000003</v>
      </c>
      <c r="J2135" s="3">
        <v>115.73</v>
      </c>
      <c r="K2135" s="3">
        <v>209.6</v>
      </c>
      <c r="L2135" s="3"/>
      <c r="N2135" s="4"/>
    </row>
    <row r="2136" spans="1:14" ht="17.5" thickBot="1" x14ac:dyDescent="0.45">
      <c r="A2136" s="4">
        <v>44993</v>
      </c>
      <c r="B2136" s="3">
        <v>131.21</v>
      </c>
      <c r="C2136" s="3">
        <v>292.92</v>
      </c>
      <c r="D2136" s="3">
        <v>105.36</v>
      </c>
      <c r="E2136" s="3">
        <v>1.2726</v>
      </c>
      <c r="F2136" s="3">
        <v>272.77999999999997</v>
      </c>
      <c r="G2136" s="3">
        <v>321.08999999999997</v>
      </c>
      <c r="H2136" s="3">
        <v>181.53</v>
      </c>
      <c r="I2136" s="3">
        <v>266.67</v>
      </c>
      <c r="J2136" s="3">
        <v>115.73</v>
      </c>
      <c r="K2136" s="3">
        <v>208.4</v>
      </c>
      <c r="L2136" s="3"/>
      <c r="N2136" s="4"/>
    </row>
    <row r="2137" spans="1:14" ht="17.5" thickBot="1" x14ac:dyDescent="0.45">
      <c r="A2137" s="4">
        <v>44994</v>
      </c>
      <c r="B2137" s="3">
        <v>130.68</v>
      </c>
      <c r="C2137" s="3">
        <v>292.83</v>
      </c>
      <c r="D2137" s="3">
        <v>105.45</v>
      </c>
      <c r="E2137" s="3">
        <v>1.2645</v>
      </c>
      <c r="F2137" s="3">
        <v>271.20999999999998</v>
      </c>
      <c r="G2137" s="3">
        <v>314.95</v>
      </c>
      <c r="H2137" s="3">
        <v>181.1</v>
      </c>
      <c r="I2137" s="3">
        <v>261.74</v>
      </c>
      <c r="J2137" s="3">
        <v>115.73</v>
      </c>
      <c r="K2137" s="3">
        <v>207.84</v>
      </c>
      <c r="L2137" s="3"/>
      <c r="N2137" s="4"/>
    </row>
    <row r="2138" spans="1:14" ht="17.5" thickBot="1" x14ac:dyDescent="0.45">
      <c r="A2138" s="4">
        <v>44995</v>
      </c>
      <c r="B2138" s="3">
        <v>126.38</v>
      </c>
      <c r="C2138" s="3">
        <v>288.81</v>
      </c>
      <c r="D2138" s="3">
        <v>106.07</v>
      </c>
      <c r="E2138" s="3">
        <v>1.2612000000000001</v>
      </c>
      <c r="F2138" s="3">
        <v>267.56</v>
      </c>
      <c r="G2138" s="3">
        <v>309.98</v>
      </c>
      <c r="H2138" s="3">
        <v>180.8</v>
      </c>
      <c r="I2138" s="3">
        <v>258.07</v>
      </c>
      <c r="J2138" s="3">
        <v>115.78</v>
      </c>
      <c r="K2138" s="3">
        <v>207.4</v>
      </c>
      <c r="L2138" s="3"/>
      <c r="N2138" s="4"/>
    </row>
    <row r="2139" spans="1:14" ht="17.5" thickBot="1" x14ac:dyDescent="0.45">
      <c r="A2139" s="4">
        <v>44996</v>
      </c>
      <c r="B2139" s="3">
        <v>126.38</v>
      </c>
      <c r="C2139" s="3">
        <v>288.81</v>
      </c>
      <c r="D2139" s="3">
        <v>106.07</v>
      </c>
      <c r="E2139" s="3">
        <v>1.2612000000000001</v>
      </c>
      <c r="F2139" s="3">
        <v>267.56</v>
      </c>
      <c r="G2139" s="3">
        <v>309.98</v>
      </c>
      <c r="H2139" s="3">
        <v>180.8</v>
      </c>
      <c r="I2139" s="3">
        <v>258.07</v>
      </c>
      <c r="J2139" s="3">
        <v>115.78</v>
      </c>
      <c r="K2139" s="3">
        <v>207.4</v>
      </c>
      <c r="L2139" s="3"/>
      <c r="N2139" s="4"/>
    </row>
    <row r="2140" spans="1:14" ht="17.5" thickBot="1" x14ac:dyDescent="0.45">
      <c r="A2140" s="4">
        <v>44997</v>
      </c>
      <c r="B2140" s="3">
        <v>126.38</v>
      </c>
      <c r="C2140" s="3">
        <v>288.81</v>
      </c>
      <c r="D2140" s="3">
        <v>106.07</v>
      </c>
      <c r="E2140" s="3">
        <v>1.2612000000000001</v>
      </c>
      <c r="F2140" s="3">
        <v>267.56</v>
      </c>
      <c r="G2140" s="3">
        <v>309.98</v>
      </c>
      <c r="H2140" s="3">
        <v>180.8</v>
      </c>
      <c r="I2140" s="3">
        <v>258.07</v>
      </c>
      <c r="J2140" s="3">
        <v>115.78</v>
      </c>
      <c r="K2140" s="3">
        <v>207.4</v>
      </c>
      <c r="L2140" s="3"/>
      <c r="N2140" s="4"/>
    </row>
    <row r="2141" spans="1:14" ht="17.5" thickBot="1" x14ac:dyDescent="0.45">
      <c r="A2141" s="4">
        <v>44998</v>
      </c>
      <c r="B2141" s="3">
        <v>129.13</v>
      </c>
      <c r="C2141" s="3">
        <v>289.67</v>
      </c>
      <c r="D2141" s="3">
        <v>107.22</v>
      </c>
      <c r="E2141" s="3">
        <v>1.2628999999999999</v>
      </c>
      <c r="F2141" s="3">
        <v>268.07</v>
      </c>
      <c r="G2141" s="3">
        <v>308.24</v>
      </c>
      <c r="H2141" s="3">
        <v>181.9</v>
      </c>
      <c r="I2141" s="3">
        <v>257.42</v>
      </c>
      <c r="J2141" s="3">
        <v>115.78</v>
      </c>
      <c r="K2141" s="3">
        <v>208.63</v>
      </c>
      <c r="L2141" s="3"/>
      <c r="N2141" s="4"/>
    </row>
    <row r="2142" spans="1:14" ht="17.5" thickBot="1" x14ac:dyDescent="0.45">
      <c r="A2142" s="4">
        <v>44999</v>
      </c>
      <c r="B2142" s="3">
        <v>126.12</v>
      </c>
      <c r="C2142" s="3">
        <v>283.27999999999997</v>
      </c>
      <c r="D2142" s="3">
        <v>107.75</v>
      </c>
      <c r="E2142" s="3">
        <v>1.2667999999999999</v>
      </c>
      <c r="F2142" s="3">
        <v>265.95999999999998</v>
      </c>
      <c r="G2142" s="3">
        <v>313.67</v>
      </c>
      <c r="H2142" s="3">
        <v>180.71</v>
      </c>
      <c r="I2142" s="3">
        <v>261.64</v>
      </c>
      <c r="J2142" s="3">
        <v>115.79</v>
      </c>
      <c r="K2142" s="3">
        <v>207.2</v>
      </c>
      <c r="L2142" s="3"/>
      <c r="N2142" s="4"/>
    </row>
    <row r="2143" spans="1:14" ht="17.5" thickBot="1" x14ac:dyDescent="0.45">
      <c r="A2143" s="4">
        <v>45000</v>
      </c>
      <c r="B2143" s="3">
        <v>128.19999999999999</v>
      </c>
      <c r="C2143" s="3">
        <v>285.56</v>
      </c>
      <c r="D2143" s="3">
        <v>107.48</v>
      </c>
      <c r="E2143" s="3">
        <v>1.2637</v>
      </c>
      <c r="F2143" s="3">
        <v>265.58</v>
      </c>
      <c r="G2143" s="3">
        <v>311.45999999999998</v>
      </c>
      <c r="H2143" s="3">
        <v>181.05</v>
      </c>
      <c r="I2143" s="3">
        <v>260.23</v>
      </c>
      <c r="J2143" s="3">
        <v>115.79</v>
      </c>
      <c r="K2143" s="3">
        <v>207.58</v>
      </c>
      <c r="L2143" s="3"/>
      <c r="N2143" s="4"/>
    </row>
    <row r="2144" spans="1:14" ht="17.5" thickBot="1" x14ac:dyDescent="0.45">
      <c r="A2144" s="4">
        <v>45001</v>
      </c>
      <c r="B2144" s="3">
        <v>125.95</v>
      </c>
      <c r="C2144" s="3">
        <v>283.5</v>
      </c>
      <c r="D2144" s="3">
        <v>108.1</v>
      </c>
      <c r="E2144" s="3">
        <v>1.2713000000000001</v>
      </c>
      <c r="F2144" s="3">
        <v>265.2</v>
      </c>
      <c r="G2144" s="3">
        <v>316.68</v>
      </c>
      <c r="H2144" s="3">
        <v>180.63</v>
      </c>
      <c r="I2144" s="3">
        <v>264.64999999999998</v>
      </c>
      <c r="J2144" s="3">
        <v>115.79</v>
      </c>
      <c r="K2144" s="3">
        <v>207.11</v>
      </c>
      <c r="L2144" s="3"/>
      <c r="N2144" s="4"/>
    </row>
    <row r="2145" spans="1:14" ht="17.5" thickBot="1" x14ac:dyDescent="0.45">
      <c r="A2145" s="4">
        <v>45002</v>
      </c>
      <c r="B2145" s="3">
        <v>127.98</v>
      </c>
      <c r="C2145" s="3">
        <v>287.88</v>
      </c>
      <c r="D2145" s="3">
        <v>108.37</v>
      </c>
      <c r="E2145" s="3">
        <v>1.2702</v>
      </c>
      <c r="F2145" s="3">
        <v>267.27</v>
      </c>
      <c r="G2145" s="3">
        <v>312.93</v>
      </c>
      <c r="H2145" s="3">
        <v>181.98</v>
      </c>
      <c r="I2145" s="3">
        <v>261.49</v>
      </c>
      <c r="J2145" s="3">
        <v>115.79</v>
      </c>
      <c r="K2145" s="3">
        <v>208.7</v>
      </c>
      <c r="L2145" s="3"/>
      <c r="N2145" s="4"/>
    </row>
    <row r="2146" spans="1:14" ht="17.5" thickBot="1" x14ac:dyDescent="0.45">
      <c r="A2146" s="4">
        <v>45003</v>
      </c>
      <c r="B2146" s="3">
        <v>127.98</v>
      </c>
      <c r="C2146" s="3">
        <v>287.88</v>
      </c>
      <c r="D2146" s="3">
        <v>108.37</v>
      </c>
      <c r="E2146" s="3">
        <v>1.2702</v>
      </c>
      <c r="F2146" s="3">
        <v>267.27</v>
      </c>
      <c r="G2146" s="3">
        <v>312.93</v>
      </c>
      <c r="H2146" s="3">
        <v>181.98</v>
      </c>
      <c r="I2146" s="3">
        <v>261.49</v>
      </c>
      <c r="J2146" s="3">
        <v>115.79</v>
      </c>
      <c r="K2146" s="3">
        <v>208.7</v>
      </c>
      <c r="L2146" s="3"/>
      <c r="N2146" s="4"/>
    </row>
    <row r="2147" spans="1:14" ht="17.5" thickBot="1" x14ac:dyDescent="0.45">
      <c r="A2147" s="4">
        <v>45004</v>
      </c>
      <c r="B2147" s="3">
        <v>127.98</v>
      </c>
      <c r="C2147" s="3">
        <v>287.88</v>
      </c>
      <c r="D2147" s="3">
        <v>108.37</v>
      </c>
      <c r="E2147" s="3">
        <v>1.2702</v>
      </c>
      <c r="F2147" s="3">
        <v>267.27</v>
      </c>
      <c r="G2147" s="3">
        <v>312.93</v>
      </c>
      <c r="H2147" s="3">
        <v>181.98</v>
      </c>
      <c r="I2147" s="3">
        <v>261.49</v>
      </c>
      <c r="J2147" s="3">
        <v>115.8</v>
      </c>
      <c r="K2147" s="3">
        <v>208.7</v>
      </c>
      <c r="L2147" s="3"/>
      <c r="N2147" s="4"/>
    </row>
    <row r="2148" spans="1:14" ht="17.5" thickBot="1" x14ac:dyDescent="0.45">
      <c r="A2148" s="4">
        <v>45005</v>
      </c>
      <c r="B2148" s="3">
        <v>124.54</v>
      </c>
      <c r="C2148" s="3">
        <v>285.13</v>
      </c>
      <c r="D2148" s="3">
        <v>108.81</v>
      </c>
      <c r="E2148" s="3">
        <v>1.2732000000000001</v>
      </c>
      <c r="F2148" s="3">
        <v>265.54000000000002</v>
      </c>
      <c r="G2148" s="3">
        <v>316.02999999999997</v>
      </c>
      <c r="H2148" s="3">
        <v>181.14</v>
      </c>
      <c r="I2148" s="3">
        <v>264.01</v>
      </c>
      <c r="J2148" s="3">
        <v>115.83</v>
      </c>
      <c r="K2148" s="3">
        <v>207.71</v>
      </c>
      <c r="L2148" s="3"/>
      <c r="N2148" s="4"/>
    </row>
    <row r="2149" spans="1:14" ht="17.5" thickBot="1" x14ac:dyDescent="0.45">
      <c r="A2149" s="4">
        <v>45006</v>
      </c>
      <c r="B2149" s="3">
        <v>126.15</v>
      </c>
      <c r="C2149" s="3">
        <v>286.06</v>
      </c>
      <c r="D2149" s="3">
        <v>108.63</v>
      </c>
      <c r="E2149" s="3">
        <v>1.2797000000000001</v>
      </c>
      <c r="F2149" s="3">
        <v>268.48</v>
      </c>
      <c r="G2149" s="3">
        <v>320.83</v>
      </c>
      <c r="H2149" s="3">
        <v>181.92</v>
      </c>
      <c r="I2149" s="3">
        <v>267.3</v>
      </c>
      <c r="J2149" s="3">
        <v>115.83</v>
      </c>
      <c r="K2149" s="3">
        <v>208.74</v>
      </c>
      <c r="L2149" s="3"/>
      <c r="N2149" s="4"/>
    </row>
    <row r="2150" spans="1:14" ht="17.5" thickBot="1" x14ac:dyDescent="0.45">
      <c r="A2150" s="4">
        <v>45007</v>
      </c>
      <c r="B2150" s="3">
        <v>128.35</v>
      </c>
      <c r="C2150" s="3">
        <v>290.39</v>
      </c>
      <c r="D2150" s="3">
        <v>108.71</v>
      </c>
      <c r="E2150" s="3">
        <v>1.2755000000000001</v>
      </c>
      <c r="F2150" s="3">
        <v>269.8</v>
      </c>
      <c r="G2150" s="3">
        <v>315.20999999999998</v>
      </c>
      <c r="H2150" s="3">
        <v>182.59</v>
      </c>
      <c r="I2150" s="3">
        <v>262.92</v>
      </c>
      <c r="J2150" s="3">
        <v>115.83</v>
      </c>
      <c r="K2150" s="3">
        <v>209.51</v>
      </c>
      <c r="L2150" s="3"/>
      <c r="N2150" s="4"/>
    </row>
    <row r="2151" spans="1:14" ht="17.5" thickBot="1" x14ac:dyDescent="0.45">
      <c r="A2151" s="4">
        <v>45008</v>
      </c>
      <c r="B2151" s="3">
        <v>131.29</v>
      </c>
      <c r="C2151" s="3">
        <v>293.43</v>
      </c>
      <c r="D2151" s="3">
        <v>109.69</v>
      </c>
      <c r="E2151" s="3">
        <v>1.2826</v>
      </c>
      <c r="F2151" s="3">
        <v>273.12</v>
      </c>
      <c r="G2151" s="3">
        <v>315.83999999999997</v>
      </c>
      <c r="H2151" s="3">
        <v>184.39</v>
      </c>
      <c r="I2151" s="3">
        <v>263.38</v>
      </c>
      <c r="J2151" s="3">
        <v>115.83</v>
      </c>
      <c r="K2151" s="3">
        <v>211.62</v>
      </c>
      <c r="L2151" s="3"/>
      <c r="N2151" s="4"/>
    </row>
    <row r="2152" spans="1:14" ht="17.5" thickBot="1" x14ac:dyDescent="0.45">
      <c r="A2152" s="4">
        <v>45009</v>
      </c>
      <c r="B2152" s="3">
        <v>130.30000000000001</v>
      </c>
      <c r="C2152" s="3">
        <v>291.79000000000002</v>
      </c>
      <c r="D2152" s="3">
        <v>109.42</v>
      </c>
      <c r="E2152" s="3">
        <v>1.282</v>
      </c>
      <c r="F2152" s="3">
        <v>271.68</v>
      </c>
      <c r="G2152" s="3">
        <v>317.41000000000003</v>
      </c>
      <c r="H2152" s="3">
        <v>183.87</v>
      </c>
      <c r="I2152" s="3">
        <v>265.10000000000002</v>
      </c>
      <c r="J2152" s="3">
        <v>115.83</v>
      </c>
      <c r="K2152" s="3">
        <v>210.97</v>
      </c>
      <c r="L2152" s="3"/>
      <c r="N2152" s="4"/>
    </row>
    <row r="2153" spans="1:14" ht="17.5" thickBot="1" x14ac:dyDescent="0.45">
      <c r="A2153" s="4">
        <v>45010</v>
      </c>
      <c r="B2153" s="3">
        <v>130.30000000000001</v>
      </c>
      <c r="C2153" s="3">
        <v>291.79000000000002</v>
      </c>
      <c r="D2153" s="3">
        <v>109.42</v>
      </c>
      <c r="E2153" s="3">
        <v>1.282</v>
      </c>
      <c r="F2153" s="3">
        <v>271.68</v>
      </c>
      <c r="G2153" s="3">
        <v>317.41000000000003</v>
      </c>
      <c r="H2153" s="3">
        <v>183.87</v>
      </c>
      <c r="I2153" s="3">
        <v>265.10000000000002</v>
      </c>
      <c r="J2153" s="3">
        <v>115.84</v>
      </c>
      <c r="K2153" s="3">
        <v>210.97</v>
      </c>
      <c r="L2153" s="3"/>
      <c r="N2153" s="4"/>
    </row>
    <row r="2154" spans="1:14" ht="17.5" thickBot="1" x14ac:dyDescent="0.45">
      <c r="A2154" s="4">
        <v>45011</v>
      </c>
      <c r="B2154" s="3">
        <v>130.30000000000001</v>
      </c>
      <c r="C2154" s="3">
        <v>291.79000000000002</v>
      </c>
      <c r="D2154" s="3">
        <v>109.42</v>
      </c>
      <c r="E2154" s="3">
        <v>1.282</v>
      </c>
      <c r="F2154" s="3">
        <v>271.68</v>
      </c>
      <c r="G2154" s="3">
        <v>317.41000000000003</v>
      </c>
      <c r="H2154" s="3">
        <v>183.87</v>
      </c>
      <c r="I2154" s="3">
        <v>265.10000000000002</v>
      </c>
      <c r="J2154" s="3">
        <v>115.84</v>
      </c>
      <c r="K2154" s="3">
        <v>210.97</v>
      </c>
      <c r="L2154" s="3"/>
      <c r="N2154" s="4"/>
    </row>
    <row r="2155" spans="1:14" ht="17.5" thickBot="1" x14ac:dyDescent="0.45">
      <c r="A2155" s="4">
        <v>45012</v>
      </c>
      <c r="B2155" s="3">
        <v>128.12</v>
      </c>
      <c r="C2155" s="3">
        <v>290.54000000000002</v>
      </c>
      <c r="D2155" s="3">
        <v>109.42</v>
      </c>
      <c r="E2155" s="3">
        <v>1.2803</v>
      </c>
      <c r="F2155" s="3">
        <v>270.33999999999997</v>
      </c>
      <c r="G2155" s="3">
        <v>318</v>
      </c>
      <c r="H2155" s="3">
        <v>182.82</v>
      </c>
      <c r="I2155" s="3">
        <v>265.55</v>
      </c>
      <c r="J2155" s="3">
        <v>115.85</v>
      </c>
      <c r="K2155" s="3">
        <v>209.76</v>
      </c>
      <c r="L2155" s="3"/>
      <c r="N2155" s="4"/>
    </row>
    <row r="2156" spans="1:14" ht="17.5" thickBot="1" x14ac:dyDescent="0.45">
      <c r="A2156" s="4">
        <v>45013</v>
      </c>
      <c r="B2156" s="3">
        <v>129.58000000000001</v>
      </c>
      <c r="C2156" s="3">
        <v>292.32</v>
      </c>
      <c r="D2156" s="3">
        <v>109.51</v>
      </c>
      <c r="E2156" s="3">
        <v>1.2805</v>
      </c>
      <c r="F2156" s="3">
        <v>272.39999999999998</v>
      </c>
      <c r="G2156" s="3">
        <v>317.64</v>
      </c>
      <c r="H2156" s="3">
        <v>183.47</v>
      </c>
      <c r="I2156" s="3">
        <v>265.05</v>
      </c>
      <c r="J2156" s="3">
        <v>115.86</v>
      </c>
      <c r="K2156" s="3">
        <v>210.57</v>
      </c>
      <c r="L2156" s="3"/>
      <c r="N2156" s="4"/>
    </row>
    <row r="2157" spans="1:14" ht="17.5" thickBot="1" x14ac:dyDescent="0.45">
      <c r="A2157" s="4">
        <v>45014</v>
      </c>
      <c r="B2157" s="3">
        <v>132.08000000000001</v>
      </c>
      <c r="C2157" s="3">
        <v>292.89</v>
      </c>
      <c r="D2157" s="3">
        <v>109.24</v>
      </c>
      <c r="E2157" s="3">
        <v>1.29</v>
      </c>
      <c r="F2157" s="3">
        <v>274.64</v>
      </c>
      <c r="G2157" s="3">
        <v>322.13</v>
      </c>
      <c r="H2157" s="3">
        <v>184.1</v>
      </c>
      <c r="I2157" s="3">
        <v>268.86</v>
      </c>
      <c r="J2157" s="3">
        <v>115.86</v>
      </c>
      <c r="K2157" s="3">
        <v>211.36</v>
      </c>
      <c r="L2157" s="3"/>
      <c r="N2157" s="4"/>
    </row>
    <row r="2158" spans="1:14" ht="17.5" thickBot="1" x14ac:dyDescent="0.45">
      <c r="A2158" s="4">
        <v>45015</v>
      </c>
      <c r="B2158" s="3">
        <v>132.94999999999999</v>
      </c>
      <c r="C2158" s="3">
        <v>294.48</v>
      </c>
      <c r="D2158" s="3">
        <v>109.23</v>
      </c>
      <c r="E2158" s="3">
        <v>1.2956000000000001</v>
      </c>
      <c r="F2158" s="3">
        <v>276.18</v>
      </c>
      <c r="G2158" s="3">
        <v>323.73</v>
      </c>
      <c r="H2158" s="3">
        <v>184.76</v>
      </c>
      <c r="I2158" s="3">
        <v>270.31</v>
      </c>
      <c r="J2158" s="3">
        <v>115.86</v>
      </c>
      <c r="K2158" s="3">
        <v>212.17</v>
      </c>
      <c r="L2158" s="3"/>
      <c r="N2158" s="4"/>
    </row>
    <row r="2159" spans="1:14" ht="17.5" thickBot="1" x14ac:dyDescent="0.45">
      <c r="A2159" s="4">
        <v>45016</v>
      </c>
      <c r="B2159" s="3">
        <v>133.41999999999999</v>
      </c>
      <c r="C2159" s="3">
        <v>296.94</v>
      </c>
      <c r="D2159" s="3">
        <v>108.96</v>
      </c>
      <c r="E2159" s="3">
        <v>1.3056000000000001</v>
      </c>
      <c r="F2159" s="3">
        <v>277.77999999999997</v>
      </c>
      <c r="G2159" s="3">
        <v>328.46</v>
      </c>
      <c r="H2159" s="3">
        <v>185.35</v>
      </c>
      <c r="I2159" s="3">
        <v>274.12</v>
      </c>
      <c r="J2159" s="3">
        <v>115.87</v>
      </c>
      <c r="K2159" s="3">
        <v>212.91</v>
      </c>
      <c r="L2159" s="3"/>
      <c r="N2159" s="4"/>
    </row>
    <row r="2160" spans="1:14" ht="17.5" thickBot="1" x14ac:dyDescent="0.45">
      <c r="A2160" s="4">
        <v>45017</v>
      </c>
      <c r="B2160" s="3">
        <v>133.41999999999999</v>
      </c>
      <c r="C2160" s="3">
        <v>296.94</v>
      </c>
      <c r="D2160" s="3">
        <v>108.96</v>
      </c>
      <c r="E2160" s="3">
        <v>1.3056000000000001</v>
      </c>
      <c r="F2160" s="3">
        <v>277.77999999999997</v>
      </c>
      <c r="G2160" s="3">
        <v>328.46</v>
      </c>
      <c r="H2160" s="3">
        <v>185.35</v>
      </c>
      <c r="I2160" s="3">
        <v>274.12</v>
      </c>
      <c r="J2160" s="3">
        <v>115.88</v>
      </c>
      <c r="K2160" s="3">
        <v>212.91</v>
      </c>
      <c r="L2160" s="3"/>
      <c r="N2160" s="4"/>
    </row>
    <row r="2161" spans="1:14" ht="17.5" thickBot="1" x14ac:dyDescent="0.45">
      <c r="A2161" s="4">
        <v>45018</v>
      </c>
      <c r="B2161" s="3">
        <v>133.41999999999999</v>
      </c>
      <c r="C2161" s="3">
        <v>296.94</v>
      </c>
      <c r="D2161" s="3">
        <v>108.96</v>
      </c>
      <c r="E2161" s="3">
        <v>1.3056000000000001</v>
      </c>
      <c r="F2161" s="3">
        <v>277.77999999999997</v>
      </c>
      <c r="G2161" s="3">
        <v>328.46</v>
      </c>
      <c r="H2161" s="3">
        <v>185.35</v>
      </c>
      <c r="I2161" s="3">
        <v>274.12</v>
      </c>
      <c r="J2161" s="3">
        <v>115.88</v>
      </c>
      <c r="K2161" s="3">
        <v>212.91</v>
      </c>
      <c r="L2161" s="3"/>
      <c r="N2161" s="4"/>
    </row>
    <row r="2162" spans="1:14" ht="17.5" thickBot="1" x14ac:dyDescent="0.45">
      <c r="A2162" s="4">
        <v>45019</v>
      </c>
      <c r="B2162" s="3">
        <v>133.51</v>
      </c>
      <c r="C2162" s="3">
        <v>298.07</v>
      </c>
      <c r="D2162" s="3">
        <v>109.05</v>
      </c>
      <c r="E2162" s="3">
        <v>1.3102</v>
      </c>
      <c r="F2162" s="3">
        <v>278.55</v>
      </c>
      <c r="G2162" s="3">
        <v>329.92</v>
      </c>
      <c r="H2162" s="3">
        <v>185.9</v>
      </c>
      <c r="I2162" s="3">
        <v>275.08999999999997</v>
      </c>
      <c r="J2162" s="3">
        <v>115.94</v>
      </c>
      <c r="K2162" s="3">
        <v>213.56</v>
      </c>
      <c r="L2162" s="3"/>
      <c r="N2162" s="4"/>
    </row>
    <row r="2163" spans="1:14" ht="17.5" thickBot="1" x14ac:dyDescent="0.45">
      <c r="A2163" s="4">
        <v>45020</v>
      </c>
      <c r="B2163" s="3">
        <v>132.75</v>
      </c>
      <c r="C2163" s="3">
        <v>298.31</v>
      </c>
      <c r="D2163" s="3">
        <v>109.4</v>
      </c>
      <c r="E2163" s="3">
        <v>1.3091999999999999</v>
      </c>
      <c r="F2163" s="3">
        <v>277.99</v>
      </c>
      <c r="G2163" s="3">
        <v>327.58999999999997</v>
      </c>
      <c r="H2163" s="3">
        <v>185.91</v>
      </c>
      <c r="I2163" s="3">
        <v>273.66000000000003</v>
      </c>
      <c r="J2163" s="3">
        <v>115.94</v>
      </c>
      <c r="K2163" s="3">
        <v>213.53</v>
      </c>
      <c r="L2163" s="3"/>
      <c r="N2163" s="4"/>
    </row>
    <row r="2164" spans="1:14" ht="17.5" thickBot="1" x14ac:dyDescent="0.45">
      <c r="A2164" s="4">
        <v>45021</v>
      </c>
      <c r="B2164" s="3">
        <v>132.75</v>
      </c>
      <c r="C2164" s="3">
        <v>298.31</v>
      </c>
      <c r="D2164" s="3">
        <v>109.4</v>
      </c>
      <c r="E2164" s="3">
        <v>1.3091999999999999</v>
      </c>
      <c r="F2164" s="3">
        <v>277.99</v>
      </c>
      <c r="G2164" s="3">
        <v>327.58999999999997</v>
      </c>
      <c r="H2164" s="3">
        <v>185.91</v>
      </c>
      <c r="I2164" s="3">
        <v>273.66000000000003</v>
      </c>
      <c r="J2164" s="3">
        <v>115.95</v>
      </c>
      <c r="K2164" s="3">
        <v>213.53</v>
      </c>
      <c r="L2164" s="3"/>
      <c r="N2164" s="4"/>
    </row>
    <row r="2165" spans="1:14" ht="17.5" thickBot="1" x14ac:dyDescent="0.45">
      <c r="A2165" s="4">
        <v>45022</v>
      </c>
      <c r="B2165" s="3">
        <v>133.1</v>
      </c>
      <c r="C2165" s="3">
        <v>296.02999999999997</v>
      </c>
      <c r="D2165" s="3">
        <v>109.76</v>
      </c>
      <c r="E2165" s="3">
        <v>1.3091999999999999</v>
      </c>
      <c r="F2165" s="3">
        <v>276.91000000000003</v>
      </c>
      <c r="G2165" s="3">
        <v>327.97</v>
      </c>
      <c r="H2165" s="3">
        <v>185.76</v>
      </c>
      <c r="I2165" s="3">
        <v>274.02999999999997</v>
      </c>
      <c r="J2165" s="3">
        <v>115.95</v>
      </c>
      <c r="K2165" s="3">
        <v>213.29</v>
      </c>
      <c r="L2165" s="3"/>
      <c r="N2165" s="4"/>
    </row>
    <row r="2166" spans="1:14" ht="17.5" thickBot="1" x14ac:dyDescent="0.45">
      <c r="A2166" s="4">
        <v>45023</v>
      </c>
      <c r="B2166" s="3">
        <v>133.1</v>
      </c>
      <c r="C2166" s="3">
        <v>296.02999999999997</v>
      </c>
      <c r="D2166" s="3">
        <v>109.76</v>
      </c>
      <c r="E2166" s="3">
        <v>1.3091999999999999</v>
      </c>
      <c r="F2166" s="3">
        <v>276.91000000000003</v>
      </c>
      <c r="G2166" s="3">
        <v>327.97</v>
      </c>
      <c r="H2166" s="3">
        <v>185.76</v>
      </c>
      <c r="I2166" s="3">
        <v>274.02999999999997</v>
      </c>
      <c r="J2166" s="3">
        <v>115.95</v>
      </c>
      <c r="K2166" s="3">
        <v>213.29</v>
      </c>
      <c r="L2166" s="3"/>
      <c r="N2166" s="4"/>
    </row>
    <row r="2167" spans="1:14" ht="17.5" thickBot="1" x14ac:dyDescent="0.45">
      <c r="A2167" s="4">
        <v>45024</v>
      </c>
      <c r="B2167" s="3">
        <v>133.1</v>
      </c>
      <c r="C2167" s="3">
        <v>296.02999999999997</v>
      </c>
      <c r="D2167" s="3">
        <v>109.76</v>
      </c>
      <c r="E2167" s="3">
        <v>1.3091999999999999</v>
      </c>
      <c r="F2167" s="3">
        <v>276.91000000000003</v>
      </c>
      <c r="G2167" s="3">
        <v>327.97</v>
      </c>
      <c r="H2167" s="3">
        <v>185.76</v>
      </c>
      <c r="I2167" s="3">
        <v>274.02999999999997</v>
      </c>
      <c r="J2167" s="3">
        <v>115.95</v>
      </c>
      <c r="K2167" s="3">
        <v>213.29</v>
      </c>
      <c r="L2167" s="3"/>
      <c r="N2167" s="4"/>
    </row>
    <row r="2168" spans="1:14" ht="17.5" thickBot="1" x14ac:dyDescent="0.45">
      <c r="A2168" s="4">
        <v>45025</v>
      </c>
      <c r="B2168" s="3">
        <v>133.1</v>
      </c>
      <c r="C2168" s="3">
        <v>296.02999999999997</v>
      </c>
      <c r="D2168" s="3">
        <v>109.76</v>
      </c>
      <c r="E2168" s="3">
        <v>1.3091999999999999</v>
      </c>
      <c r="F2168" s="3">
        <v>276.91000000000003</v>
      </c>
      <c r="G2168" s="3">
        <v>327.97</v>
      </c>
      <c r="H2168" s="3">
        <v>185.76</v>
      </c>
      <c r="I2168" s="3">
        <v>274.02999999999997</v>
      </c>
      <c r="J2168" s="3">
        <v>115.95</v>
      </c>
      <c r="K2168" s="3">
        <v>213.29</v>
      </c>
      <c r="L2168" s="3"/>
      <c r="N2168" s="4"/>
    </row>
    <row r="2169" spans="1:14" ht="17.5" thickBot="1" x14ac:dyDescent="0.45">
      <c r="A2169" s="4">
        <v>45026</v>
      </c>
      <c r="B2169" s="3">
        <v>133.1</v>
      </c>
      <c r="C2169" s="3">
        <v>296.02999999999997</v>
      </c>
      <c r="D2169" s="3">
        <v>109.76</v>
      </c>
      <c r="E2169" s="3">
        <v>1.3091999999999999</v>
      </c>
      <c r="F2169" s="3">
        <v>276.91000000000003</v>
      </c>
      <c r="G2169" s="3">
        <v>327.97</v>
      </c>
      <c r="H2169" s="3">
        <v>185.76</v>
      </c>
      <c r="I2169" s="3">
        <v>274.02999999999997</v>
      </c>
      <c r="J2169" s="3">
        <v>115.95</v>
      </c>
      <c r="K2169" s="3">
        <v>213.29</v>
      </c>
      <c r="L2169" s="3"/>
      <c r="N2169" s="4"/>
    </row>
    <row r="2170" spans="1:14" ht="17.5" thickBot="1" x14ac:dyDescent="0.45">
      <c r="A2170" s="4">
        <v>45027</v>
      </c>
      <c r="B2170" s="3">
        <v>134.22</v>
      </c>
      <c r="C2170" s="3">
        <v>299.94</v>
      </c>
      <c r="D2170" s="3">
        <v>109.3</v>
      </c>
      <c r="E2170" s="3">
        <v>1.3085</v>
      </c>
      <c r="F2170" s="3">
        <v>278.39999999999998</v>
      </c>
      <c r="G2170" s="3">
        <v>328.24</v>
      </c>
      <c r="H2170" s="3">
        <v>185.83</v>
      </c>
      <c r="I2170" s="3">
        <v>274.3</v>
      </c>
      <c r="J2170" s="3">
        <v>116</v>
      </c>
      <c r="K2170" s="3">
        <v>213.41</v>
      </c>
      <c r="L2170" s="3"/>
      <c r="N2170" s="4"/>
    </row>
    <row r="2171" spans="1:14" ht="17.5" thickBot="1" x14ac:dyDescent="0.45">
      <c r="A2171" s="4">
        <v>45028</v>
      </c>
      <c r="B2171" s="3">
        <v>132.94</v>
      </c>
      <c r="C2171" s="3">
        <v>301.33999999999997</v>
      </c>
      <c r="D2171" s="3">
        <v>109.39</v>
      </c>
      <c r="E2171" s="3">
        <v>1.3079000000000001</v>
      </c>
      <c r="F2171" s="3">
        <v>278.18</v>
      </c>
      <c r="G2171" s="3">
        <v>326.69</v>
      </c>
      <c r="H2171" s="3">
        <v>185.65</v>
      </c>
      <c r="I2171" s="3">
        <v>273.27</v>
      </c>
      <c r="J2171" s="3">
        <v>116</v>
      </c>
      <c r="K2171" s="3">
        <v>213.2</v>
      </c>
      <c r="L2171" s="3"/>
      <c r="N2171" s="4"/>
    </row>
    <row r="2172" spans="1:14" ht="17.5" thickBot="1" x14ac:dyDescent="0.45">
      <c r="A2172" s="4">
        <v>45029</v>
      </c>
      <c r="B2172" s="3">
        <v>133.13</v>
      </c>
      <c r="C2172" s="3">
        <v>302.39</v>
      </c>
      <c r="D2172" s="3">
        <v>109.83</v>
      </c>
      <c r="E2172" s="3">
        <v>1.3159000000000001</v>
      </c>
      <c r="F2172" s="3">
        <v>279.64999999999998</v>
      </c>
      <c r="G2172" s="3">
        <v>331.01</v>
      </c>
      <c r="H2172" s="3">
        <v>186.14</v>
      </c>
      <c r="I2172" s="3">
        <v>276.8</v>
      </c>
      <c r="J2172" s="3">
        <v>116</v>
      </c>
      <c r="K2172" s="3">
        <v>213.83</v>
      </c>
      <c r="L2172" s="3"/>
      <c r="N2172" s="4"/>
    </row>
    <row r="2173" spans="1:14" ht="17.5" thickBot="1" x14ac:dyDescent="0.45">
      <c r="A2173" s="4">
        <v>45030</v>
      </c>
      <c r="B2173" s="3">
        <v>134.06</v>
      </c>
      <c r="C2173" s="3">
        <v>303.26</v>
      </c>
      <c r="D2173" s="3">
        <v>109.65</v>
      </c>
      <c r="E2173" s="3">
        <v>1.3133999999999999</v>
      </c>
      <c r="F2173" s="3">
        <v>279.98</v>
      </c>
      <c r="G2173" s="3">
        <v>330.29</v>
      </c>
      <c r="H2173" s="3">
        <v>186</v>
      </c>
      <c r="I2173" s="3">
        <v>276.12</v>
      </c>
      <c r="J2173" s="3">
        <v>116</v>
      </c>
      <c r="K2173" s="3">
        <v>213.66</v>
      </c>
      <c r="L2173" s="3"/>
      <c r="N2173" s="4"/>
    </row>
    <row r="2174" spans="1:14" ht="17.5" thickBot="1" x14ac:dyDescent="0.45">
      <c r="A2174" s="4">
        <v>45031</v>
      </c>
      <c r="B2174" s="3">
        <v>134.06</v>
      </c>
      <c r="C2174" s="3">
        <v>303.26</v>
      </c>
      <c r="D2174" s="3">
        <v>109.65</v>
      </c>
      <c r="E2174" s="3">
        <v>1.3133999999999999</v>
      </c>
      <c r="F2174" s="3">
        <v>279.98</v>
      </c>
      <c r="G2174" s="3">
        <v>330.29</v>
      </c>
      <c r="H2174" s="3">
        <v>186</v>
      </c>
      <c r="I2174" s="3">
        <v>276.12</v>
      </c>
      <c r="J2174" s="3">
        <v>116</v>
      </c>
      <c r="K2174" s="3">
        <v>213.66</v>
      </c>
      <c r="L2174" s="3"/>
      <c r="N2174" s="4"/>
    </row>
    <row r="2175" spans="1:14" ht="17.5" thickBot="1" x14ac:dyDescent="0.45">
      <c r="A2175" s="4">
        <v>45032</v>
      </c>
      <c r="B2175" s="3">
        <v>134.06</v>
      </c>
      <c r="C2175" s="3">
        <v>303.26</v>
      </c>
      <c r="D2175" s="3">
        <v>109.65</v>
      </c>
      <c r="E2175" s="3">
        <v>1.3133999999999999</v>
      </c>
      <c r="F2175" s="3">
        <v>279.98</v>
      </c>
      <c r="G2175" s="3">
        <v>330.29</v>
      </c>
      <c r="H2175" s="3">
        <v>186</v>
      </c>
      <c r="I2175" s="3">
        <v>276.12</v>
      </c>
      <c r="J2175" s="3">
        <v>116.01</v>
      </c>
      <c r="K2175" s="3">
        <v>213.66</v>
      </c>
      <c r="L2175" s="3"/>
      <c r="N2175" s="4"/>
    </row>
    <row r="2176" spans="1:14" ht="17.5" thickBot="1" x14ac:dyDescent="0.45">
      <c r="A2176" s="4">
        <v>45033</v>
      </c>
      <c r="B2176" s="3">
        <v>136.16</v>
      </c>
      <c r="C2176" s="3">
        <v>301.49</v>
      </c>
      <c r="D2176" s="3">
        <v>109.11</v>
      </c>
      <c r="E2176" s="3">
        <v>1.3118000000000001</v>
      </c>
      <c r="F2176" s="3">
        <v>280.55</v>
      </c>
      <c r="G2176" s="3">
        <v>330.98</v>
      </c>
      <c r="H2176" s="3">
        <v>185.89</v>
      </c>
      <c r="I2176" s="3">
        <v>277.08999999999997</v>
      </c>
      <c r="J2176" s="3">
        <v>116.01</v>
      </c>
      <c r="K2176" s="3">
        <v>213.54</v>
      </c>
      <c r="L2176" s="3"/>
      <c r="N2176" s="4"/>
    </row>
    <row r="2177" spans="1:14" ht="17.5" thickBot="1" x14ac:dyDescent="0.45">
      <c r="A2177" s="4">
        <v>45034</v>
      </c>
      <c r="B2177" s="3">
        <v>135.01</v>
      </c>
      <c r="C2177" s="3">
        <v>300.95999999999998</v>
      </c>
      <c r="D2177" s="3">
        <v>108.93</v>
      </c>
      <c r="E2177" s="3">
        <v>1.3143</v>
      </c>
      <c r="F2177" s="3">
        <v>280.76</v>
      </c>
      <c r="G2177" s="3">
        <v>331.32</v>
      </c>
      <c r="H2177" s="3">
        <v>186.02</v>
      </c>
      <c r="I2177" s="3">
        <v>277.25</v>
      </c>
      <c r="J2177" s="3">
        <v>116.01</v>
      </c>
      <c r="K2177" s="3">
        <v>213.72</v>
      </c>
      <c r="L2177" s="3"/>
      <c r="N2177" s="4"/>
    </row>
    <row r="2178" spans="1:14" ht="17.5" thickBot="1" x14ac:dyDescent="0.45">
      <c r="A2178" s="4">
        <v>45035</v>
      </c>
      <c r="B2178" s="3">
        <v>133.24</v>
      </c>
      <c r="C2178" s="3">
        <v>299.91000000000003</v>
      </c>
      <c r="D2178" s="3">
        <v>108.67</v>
      </c>
      <c r="E2178" s="3">
        <v>1.3118000000000001</v>
      </c>
      <c r="F2178" s="3">
        <v>278.95999999999998</v>
      </c>
      <c r="G2178" s="3">
        <v>330.25</v>
      </c>
      <c r="H2178" s="3">
        <v>185.15</v>
      </c>
      <c r="I2178" s="3">
        <v>277.2</v>
      </c>
      <c r="J2178" s="3">
        <v>116.05</v>
      </c>
      <c r="K2178" s="3">
        <v>212.7</v>
      </c>
      <c r="L2178" s="3"/>
      <c r="N2178" s="4"/>
    </row>
    <row r="2179" spans="1:14" ht="17.5" thickBot="1" x14ac:dyDescent="0.45">
      <c r="A2179" s="4">
        <v>45036</v>
      </c>
      <c r="B2179" s="3">
        <v>133.49</v>
      </c>
      <c r="C2179" s="3">
        <v>299.89</v>
      </c>
      <c r="D2179" s="3">
        <v>108.93</v>
      </c>
      <c r="E2179" s="3">
        <v>1.3107</v>
      </c>
      <c r="F2179" s="3">
        <v>278.95</v>
      </c>
      <c r="G2179" s="3">
        <v>329.11</v>
      </c>
      <c r="H2179" s="3">
        <v>185.35</v>
      </c>
      <c r="I2179" s="3">
        <v>275.64</v>
      </c>
      <c r="J2179" s="3">
        <v>116.05</v>
      </c>
      <c r="K2179" s="3">
        <v>212.91</v>
      </c>
      <c r="L2179" s="3"/>
      <c r="N2179" s="4"/>
    </row>
    <row r="2180" spans="1:14" ht="17.5" thickBot="1" x14ac:dyDescent="0.45">
      <c r="A2180" s="4">
        <v>45037</v>
      </c>
      <c r="B2180" s="3">
        <v>131.12</v>
      </c>
      <c r="C2180" s="3">
        <v>297.76</v>
      </c>
      <c r="D2180" s="3">
        <v>108.66</v>
      </c>
      <c r="E2180" s="3">
        <v>1.3091999999999999</v>
      </c>
      <c r="F2180" s="3">
        <v>277.06</v>
      </c>
      <c r="G2180" s="3">
        <v>328.88</v>
      </c>
      <c r="H2180" s="3">
        <v>184.46</v>
      </c>
      <c r="I2180" s="3">
        <v>275.73</v>
      </c>
      <c r="J2180" s="3">
        <v>116.05</v>
      </c>
      <c r="K2180" s="3">
        <v>211.86</v>
      </c>
      <c r="L2180" s="3"/>
      <c r="N2180" s="4"/>
    </row>
    <row r="2181" spans="1:14" ht="17.5" thickBot="1" x14ac:dyDescent="0.45">
      <c r="A2181" s="4">
        <v>45038</v>
      </c>
      <c r="B2181" s="3">
        <v>131.12</v>
      </c>
      <c r="C2181" s="3">
        <v>297.76</v>
      </c>
      <c r="D2181" s="3">
        <v>108.66</v>
      </c>
      <c r="E2181" s="3">
        <v>1.3091999999999999</v>
      </c>
      <c r="F2181" s="3">
        <v>277.06</v>
      </c>
      <c r="G2181" s="3">
        <v>328.88</v>
      </c>
      <c r="H2181" s="3">
        <v>184.46</v>
      </c>
      <c r="I2181" s="3">
        <v>275.73</v>
      </c>
      <c r="J2181" s="3">
        <v>116.06</v>
      </c>
      <c r="K2181" s="3">
        <v>211.86</v>
      </c>
      <c r="L2181" s="3"/>
      <c r="N2181" s="4"/>
    </row>
    <row r="2182" spans="1:14" ht="17.5" thickBot="1" x14ac:dyDescent="0.45">
      <c r="A2182" s="4">
        <v>45039</v>
      </c>
      <c r="B2182" s="3">
        <v>131.12</v>
      </c>
      <c r="C2182" s="3">
        <v>297.76</v>
      </c>
      <c r="D2182" s="3">
        <v>108.66</v>
      </c>
      <c r="E2182" s="3">
        <v>1.3091999999999999</v>
      </c>
      <c r="F2182" s="3">
        <v>277.06</v>
      </c>
      <c r="G2182" s="3">
        <v>328.88</v>
      </c>
      <c r="H2182" s="3">
        <v>184.46</v>
      </c>
      <c r="I2182" s="3">
        <v>275.73</v>
      </c>
      <c r="J2182" s="3">
        <v>116.06</v>
      </c>
      <c r="K2182" s="3">
        <v>211.86</v>
      </c>
      <c r="L2182" s="3"/>
      <c r="N2182" s="4"/>
    </row>
    <row r="2183" spans="1:14" ht="17.5" thickBot="1" x14ac:dyDescent="0.45">
      <c r="A2183" s="4">
        <v>45040</v>
      </c>
      <c r="B2183" s="3">
        <v>130.6</v>
      </c>
      <c r="C2183" s="3">
        <v>297.62</v>
      </c>
      <c r="D2183" s="3">
        <v>108.65</v>
      </c>
      <c r="E2183" s="3">
        <v>1.3111999999999999</v>
      </c>
      <c r="F2183" s="3">
        <v>276.74</v>
      </c>
      <c r="G2183" s="3">
        <v>329.18</v>
      </c>
      <c r="H2183" s="3">
        <v>184.47</v>
      </c>
      <c r="I2183" s="3">
        <v>276.06</v>
      </c>
      <c r="J2183" s="3">
        <v>116.06</v>
      </c>
      <c r="K2183" s="3">
        <v>211.86</v>
      </c>
      <c r="L2183" s="3"/>
      <c r="N2183" s="4"/>
    </row>
    <row r="2184" spans="1:14" ht="17.5" thickBot="1" x14ac:dyDescent="0.45">
      <c r="A2184" s="4">
        <v>45041</v>
      </c>
      <c r="B2184" s="3">
        <v>128.41</v>
      </c>
      <c r="C2184" s="3">
        <v>295.61</v>
      </c>
      <c r="D2184" s="3">
        <v>108.92</v>
      </c>
      <c r="E2184" s="3">
        <v>1.3044</v>
      </c>
      <c r="F2184" s="3">
        <v>273.76</v>
      </c>
      <c r="G2184" s="3">
        <v>323.70999999999998</v>
      </c>
      <c r="H2184" s="3">
        <v>183.67</v>
      </c>
      <c r="I2184" s="3">
        <v>271.7</v>
      </c>
      <c r="J2184" s="3">
        <v>116.06</v>
      </c>
      <c r="K2184" s="3">
        <v>210.84</v>
      </c>
      <c r="L2184" s="3"/>
      <c r="N2184" s="4"/>
    </row>
    <row r="2185" spans="1:14" ht="17.5" thickBot="1" x14ac:dyDescent="0.45">
      <c r="A2185" s="4">
        <v>45042</v>
      </c>
      <c r="B2185" s="3">
        <v>129.16999999999999</v>
      </c>
      <c r="C2185" s="3">
        <v>295.17</v>
      </c>
      <c r="D2185" s="3">
        <v>109.01</v>
      </c>
      <c r="E2185" s="3">
        <v>1.3017000000000001</v>
      </c>
      <c r="F2185" s="3">
        <v>273.75</v>
      </c>
      <c r="G2185" s="3">
        <v>322.27999999999997</v>
      </c>
      <c r="H2185" s="3">
        <v>183.76</v>
      </c>
      <c r="I2185" s="3">
        <v>270.58</v>
      </c>
      <c r="J2185" s="3">
        <v>116.06</v>
      </c>
      <c r="K2185" s="3">
        <v>210.92</v>
      </c>
      <c r="L2185" s="3"/>
      <c r="N2185" s="4"/>
    </row>
    <row r="2186" spans="1:14" ht="17.5" thickBot="1" x14ac:dyDescent="0.45">
      <c r="A2186" s="4">
        <v>45043</v>
      </c>
      <c r="B2186" s="3">
        <v>129.80000000000001</v>
      </c>
      <c r="C2186" s="3">
        <v>295.52</v>
      </c>
      <c r="D2186" s="3">
        <v>108.92</v>
      </c>
      <c r="E2186" s="3">
        <v>1.3084</v>
      </c>
      <c r="F2186" s="3">
        <v>274.74</v>
      </c>
      <c r="G2186" s="3">
        <v>328.3</v>
      </c>
      <c r="H2186" s="3">
        <v>183.72</v>
      </c>
      <c r="I2186" s="3">
        <v>275.93</v>
      </c>
      <c r="J2186" s="3">
        <v>116.08</v>
      </c>
      <c r="K2186" s="3">
        <v>210.92</v>
      </c>
      <c r="L2186" s="3"/>
      <c r="N2186" s="4"/>
    </row>
    <row r="2187" spans="1:14" ht="17.5" thickBot="1" x14ac:dyDescent="0.45">
      <c r="A2187" s="4">
        <v>45044</v>
      </c>
      <c r="B2187" s="3">
        <v>130.27000000000001</v>
      </c>
      <c r="C2187" s="3">
        <v>296.56</v>
      </c>
      <c r="D2187" s="3">
        <v>108.82</v>
      </c>
      <c r="E2187" s="3">
        <v>1.3172999999999999</v>
      </c>
      <c r="F2187" s="3">
        <v>276.08999999999997</v>
      </c>
      <c r="G2187" s="3">
        <v>331.08</v>
      </c>
      <c r="H2187" s="3">
        <v>184.53</v>
      </c>
      <c r="I2187" s="3">
        <v>278.20999999999998</v>
      </c>
      <c r="J2187" s="3">
        <v>116.1</v>
      </c>
      <c r="K2187" s="3">
        <v>211.9</v>
      </c>
      <c r="L2187" s="3"/>
      <c r="N2187" s="4"/>
    </row>
    <row r="2188" spans="1:14" ht="17.5" thickBot="1" x14ac:dyDescent="0.45">
      <c r="A2188" s="4">
        <v>45045</v>
      </c>
      <c r="B2188" s="3">
        <v>130.27000000000001</v>
      </c>
      <c r="C2188" s="3">
        <v>296.56</v>
      </c>
      <c r="D2188" s="3">
        <v>108.82</v>
      </c>
      <c r="E2188" s="3">
        <v>1.3172999999999999</v>
      </c>
      <c r="F2188" s="3">
        <v>276.08999999999997</v>
      </c>
      <c r="G2188" s="3">
        <v>331.08</v>
      </c>
      <c r="H2188" s="3">
        <v>184.53</v>
      </c>
      <c r="I2188" s="3">
        <v>278.20999999999998</v>
      </c>
      <c r="J2188" s="3">
        <v>116.1</v>
      </c>
      <c r="K2188" s="3">
        <v>211.9</v>
      </c>
      <c r="L2188" s="3"/>
      <c r="N2188" s="4"/>
    </row>
    <row r="2189" spans="1:14" ht="17.5" thickBot="1" x14ac:dyDescent="0.45">
      <c r="A2189" s="4">
        <v>45046</v>
      </c>
      <c r="B2189" s="3">
        <v>130.27000000000001</v>
      </c>
      <c r="C2189" s="3">
        <v>296.56</v>
      </c>
      <c r="D2189" s="3">
        <v>108.82</v>
      </c>
      <c r="E2189" s="3">
        <v>1.3172999999999999</v>
      </c>
      <c r="F2189" s="3">
        <v>276.08999999999997</v>
      </c>
      <c r="G2189" s="3">
        <v>331.08</v>
      </c>
      <c r="H2189" s="3">
        <v>184.53</v>
      </c>
      <c r="I2189" s="3">
        <v>278.20999999999998</v>
      </c>
      <c r="J2189" s="3">
        <v>116.11</v>
      </c>
      <c r="K2189" s="3">
        <v>211.9</v>
      </c>
      <c r="L2189" s="3"/>
      <c r="N2189" s="4"/>
    </row>
    <row r="2190" spans="1:14" ht="17.5" thickBot="1" x14ac:dyDescent="0.45">
      <c r="A2190" s="4">
        <v>45047</v>
      </c>
      <c r="B2190" s="3">
        <v>130.27000000000001</v>
      </c>
      <c r="C2190" s="3">
        <v>296.56</v>
      </c>
      <c r="D2190" s="3">
        <v>108.82</v>
      </c>
      <c r="E2190" s="3">
        <v>1.3172999999999999</v>
      </c>
      <c r="F2190" s="3">
        <v>276.08999999999997</v>
      </c>
      <c r="G2190" s="3">
        <v>331.08</v>
      </c>
      <c r="H2190" s="3">
        <v>184.53</v>
      </c>
      <c r="I2190" s="3">
        <v>278.20999999999998</v>
      </c>
      <c r="J2190" s="3">
        <v>116.11</v>
      </c>
      <c r="K2190" s="3">
        <v>211.9</v>
      </c>
      <c r="L2190" s="3"/>
      <c r="N2190" s="4"/>
    </row>
    <row r="2191" spans="1:14" ht="17.5" thickBot="1" x14ac:dyDescent="0.45">
      <c r="A2191" s="4">
        <v>45048</v>
      </c>
      <c r="B2191" s="3">
        <v>130.16999999999999</v>
      </c>
      <c r="C2191" s="3">
        <v>297.64</v>
      </c>
      <c r="D2191" s="3">
        <v>108.73</v>
      </c>
      <c r="E2191" s="3">
        <v>1.3093999999999999</v>
      </c>
      <c r="F2191" s="3">
        <v>275.33999999999997</v>
      </c>
      <c r="G2191" s="3">
        <v>326.99</v>
      </c>
      <c r="H2191" s="3">
        <v>184.27</v>
      </c>
      <c r="I2191" s="3">
        <v>274.83999999999997</v>
      </c>
      <c r="J2191" s="3">
        <v>116.11</v>
      </c>
      <c r="K2191" s="3">
        <v>211.55</v>
      </c>
      <c r="L2191" s="3"/>
      <c r="N2191" s="4"/>
    </row>
    <row r="2192" spans="1:14" ht="17.5" thickBot="1" x14ac:dyDescent="0.45">
      <c r="A2192" s="4">
        <v>45049</v>
      </c>
      <c r="B2192" s="3">
        <v>128.76</v>
      </c>
      <c r="C2192" s="3">
        <v>296.14</v>
      </c>
      <c r="D2192" s="3">
        <v>109.26</v>
      </c>
      <c r="E2192" s="3">
        <v>1.3089999999999999</v>
      </c>
      <c r="F2192" s="3">
        <v>274.49</v>
      </c>
      <c r="G2192" s="3">
        <v>324.44</v>
      </c>
      <c r="H2192" s="3">
        <v>184.2</v>
      </c>
      <c r="I2192" s="3">
        <v>272.86</v>
      </c>
      <c r="J2192" s="3">
        <v>116.11</v>
      </c>
      <c r="K2192" s="3">
        <v>211.43</v>
      </c>
      <c r="L2192" s="3"/>
      <c r="N2192" s="4"/>
    </row>
    <row r="2193" spans="1:14" ht="17.5" thickBot="1" x14ac:dyDescent="0.45">
      <c r="A2193" s="4">
        <v>45050</v>
      </c>
      <c r="B2193" s="3">
        <v>130.57</v>
      </c>
      <c r="C2193" s="3">
        <v>297.25</v>
      </c>
      <c r="D2193" s="3">
        <v>109.61</v>
      </c>
      <c r="E2193" s="3">
        <v>1.3055000000000001</v>
      </c>
      <c r="F2193" s="3">
        <v>275.11</v>
      </c>
      <c r="G2193" s="3">
        <v>321.57</v>
      </c>
      <c r="H2193" s="3">
        <v>184.55</v>
      </c>
      <c r="I2193" s="3">
        <v>270.89999999999998</v>
      </c>
      <c r="J2193" s="3">
        <v>116.16</v>
      </c>
      <c r="K2193" s="3">
        <v>211.8</v>
      </c>
      <c r="L2193" s="3"/>
      <c r="N2193" s="4"/>
    </row>
    <row r="2194" spans="1:14" ht="17.5" thickBot="1" x14ac:dyDescent="0.45">
      <c r="A2194" s="4">
        <v>45051</v>
      </c>
      <c r="B2194" s="3">
        <v>131.21</v>
      </c>
      <c r="C2194" s="3">
        <v>297.77</v>
      </c>
      <c r="D2194" s="3">
        <v>109.88</v>
      </c>
      <c r="E2194" s="3">
        <v>1.3143</v>
      </c>
      <c r="F2194" s="3">
        <v>276.89</v>
      </c>
      <c r="G2194" s="3">
        <v>327.94</v>
      </c>
      <c r="H2194" s="3">
        <v>184.84</v>
      </c>
      <c r="I2194" s="3">
        <v>275.83999999999997</v>
      </c>
      <c r="J2194" s="3">
        <v>116.16</v>
      </c>
      <c r="K2194" s="3">
        <v>212.2</v>
      </c>
      <c r="L2194" s="3"/>
      <c r="N2194" s="4"/>
    </row>
    <row r="2195" spans="1:14" ht="17.5" thickBot="1" x14ac:dyDescent="0.45">
      <c r="A2195" s="4">
        <v>45052</v>
      </c>
      <c r="B2195" s="3">
        <v>131.21</v>
      </c>
      <c r="C2195" s="3">
        <v>297.77</v>
      </c>
      <c r="D2195" s="3">
        <v>109.88</v>
      </c>
      <c r="E2195" s="3">
        <v>1.3143</v>
      </c>
      <c r="F2195" s="3">
        <v>276.89</v>
      </c>
      <c r="G2195" s="3">
        <v>327.94</v>
      </c>
      <c r="H2195" s="3">
        <v>184.84</v>
      </c>
      <c r="I2195" s="3">
        <v>275.83999999999997</v>
      </c>
      <c r="J2195" s="3">
        <v>116.17</v>
      </c>
      <c r="K2195" s="3">
        <v>212.2</v>
      </c>
      <c r="L2195" s="3"/>
      <c r="N2195" s="4"/>
    </row>
    <row r="2196" spans="1:14" ht="17.5" thickBot="1" x14ac:dyDescent="0.45">
      <c r="A2196" s="4">
        <v>45053</v>
      </c>
      <c r="B2196" s="3">
        <v>131.21</v>
      </c>
      <c r="C2196" s="3">
        <v>297.77</v>
      </c>
      <c r="D2196" s="3">
        <v>109.88</v>
      </c>
      <c r="E2196" s="3">
        <v>1.3143</v>
      </c>
      <c r="F2196" s="3">
        <v>276.89</v>
      </c>
      <c r="G2196" s="3">
        <v>327.94</v>
      </c>
      <c r="H2196" s="3">
        <v>184.84</v>
      </c>
      <c r="I2196" s="3">
        <v>275.83999999999997</v>
      </c>
      <c r="J2196" s="3">
        <v>116.17</v>
      </c>
      <c r="K2196" s="3">
        <v>212.2</v>
      </c>
      <c r="L2196" s="3"/>
      <c r="N2196" s="4"/>
    </row>
    <row r="2197" spans="1:14" ht="17.5" thickBot="1" x14ac:dyDescent="0.45">
      <c r="A2197" s="4">
        <v>45054</v>
      </c>
      <c r="B2197" s="3">
        <v>132.78</v>
      </c>
      <c r="C2197" s="3">
        <v>300.13</v>
      </c>
      <c r="D2197" s="3">
        <v>109.96</v>
      </c>
      <c r="E2197" s="3">
        <v>1.3147</v>
      </c>
      <c r="F2197" s="3">
        <v>278.16000000000003</v>
      </c>
      <c r="G2197" s="3">
        <v>328.01</v>
      </c>
      <c r="H2197" s="3">
        <v>185.07</v>
      </c>
      <c r="I2197" s="3">
        <v>275.95</v>
      </c>
      <c r="J2197" s="3">
        <v>116.17</v>
      </c>
      <c r="K2197" s="3">
        <v>212.48</v>
      </c>
      <c r="L2197" s="3"/>
      <c r="N2197" s="4"/>
    </row>
    <row r="2198" spans="1:14" ht="17.5" thickBot="1" x14ac:dyDescent="0.45">
      <c r="A2198" s="4">
        <v>45055</v>
      </c>
      <c r="B2198" s="3">
        <v>129.91</v>
      </c>
      <c r="C2198" s="3">
        <v>299.83999999999997</v>
      </c>
      <c r="D2198" s="3">
        <v>109.6</v>
      </c>
      <c r="E2198" s="3">
        <v>1.31</v>
      </c>
      <c r="F2198" s="3">
        <v>275.77</v>
      </c>
      <c r="G2198" s="3">
        <v>326.23</v>
      </c>
      <c r="H2198" s="3">
        <v>183.93</v>
      </c>
      <c r="I2198" s="3">
        <v>274.79000000000002</v>
      </c>
      <c r="J2198" s="3">
        <v>116.17</v>
      </c>
      <c r="K2198" s="3">
        <v>211.13</v>
      </c>
      <c r="L2198" s="3"/>
      <c r="N2198" s="4"/>
    </row>
    <row r="2199" spans="1:14" ht="17.5" thickBot="1" x14ac:dyDescent="0.45">
      <c r="A2199" s="4">
        <v>45056</v>
      </c>
      <c r="B2199" s="3">
        <v>129.34</v>
      </c>
      <c r="C2199" s="3">
        <v>298.74</v>
      </c>
      <c r="D2199" s="3">
        <v>109.42</v>
      </c>
      <c r="E2199" s="3">
        <v>1.3122</v>
      </c>
      <c r="F2199" s="3">
        <v>275.06</v>
      </c>
      <c r="G2199" s="3">
        <v>326.95</v>
      </c>
      <c r="H2199" s="3">
        <v>183.87</v>
      </c>
      <c r="I2199" s="3">
        <v>275.56</v>
      </c>
      <c r="J2199" s="3">
        <v>116.17</v>
      </c>
      <c r="K2199" s="3">
        <v>211.08</v>
      </c>
      <c r="L2199" s="3"/>
      <c r="N2199" s="4"/>
    </row>
    <row r="2200" spans="1:14" ht="17.5" thickBot="1" x14ac:dyDescent="0.45">
      <c r="A2200" s="4">
        <v>45057</v>
      </c>
      <c r="B2200" s="3">
        <v>129.28</v>
      </c>
      <c r="C2200" s="3">
        <v>296.89999999999998</v>
      </c>
      <c r="D2200" s="3">
        <v>109.69</v>
      </c>
      <c r="E2200" s="3">
        <v>1.3126</v>
      </c>
      <c r="F2200" s="3">
        <v>274.77</v>
      </c>
      <c r="G2200" s="3">
        <v>326.99</v>
      </c>
      <c r="H2200" s="3">
        <v>184</v>
      </c>
      <c r="I2200" s="3">
        <v>275.18</v>
      </c>
      <c r="J2200" s="3">
        <v>116.18</v>
      </c>
      <c r="K2200" s="3">
        <v>211.19</v>
      </c>
      <c r="L2200" s="3"/>
      <c r="N2200" s="4"/>
    </row>
    <row r="2201" spans="1:14" ht="17.5" thickBot="1" x14ac:dyDescent="0.45">
      <c r="A2201" s="4">
        <v>45058</v>
      </c>
      <c r="B2201" s="3">
        <v>128.53</v>
      </c>
      <c r="C2201" s="3">
        <v>295.47000000000003</v>
      </c>
      <c r="D2201" s="3">
        <v>109.42</v>
      </c>
      <c r="E2201" s="3">
        <v>1.3101</v>
      </c>
      <c r="F2201" s="3">
        <v>273.91000000000003</v>
      </c>
      <c r="G2201" s="3">
        <v>326.8</v>
      </c>
      <c r="H2201" s="3">
        <v>183.43</v>
      </c>
      <c r="I2201" s="3">
        <v>275.02</v>
      </c>
      <c r="J2201" s="3">
        <v>116.22</v>
      </c>
      <c r="K2201" s="3">
        <v>210.51</v>
      </c>
      <c r="L2201" s="3"/>
      <c r="N2201" s="4"/>
    </row>
    <row r="2202" spans="1:14" ht="17.5" thickBot="1" x14ac:dyDescent="0.45">
      <c r="A2202" s="4">
        <v>45059</v>
      </c>
      <c r="B2202" s="3">
        <v>128.53</v>
      </c>
      <c r="C2202" s="3">
        <v>295.47000000000003</v>
      </c>
      <c r="D2202" s="3">
        <v>109.42</v>
      </c>
      <c r="E2202" s="3">
        <v>1.3101</v>
      </c>
      <c r="F2202" s="3">
        <v>273.91000000000003</v>
      </c>
      <c r="G2202" s="3">
        <v>326.8</v>
      </c>
      <c r="H2202" s="3">
        <v>183.43</v>
      </c>
      <c r="I2202" s="3">
        <v>275.02</v>
      </c>
      <c r="J2202" s="3">
        <v>116.22</v>
      </c>
      <c r="K2202" s="3">
        <v>210.51</v>
      </c>
      <c r="L2202" s="3"/>
      <c r="N2202" s="4"/>
    </row>
    <row r="2203" spans="1:14" ht="17.5" thickBot="1" x14ac:dyDescent="0.45">
      <c r="A2203" s="4">
        <v>45060</v>
      </c>
      <c r="B2203" s="3">
        <v>128.53</v>
      </c>
      <c r="C2203" s="3">
        <v>295.47000000000003</v>
      </c>
      <c r="D2203" s="3">
        <v>109.42</v>
      </c>
      <c r="E2203" s="3">
        <v>1.3101</v>
      </c>
      <c r="F2203" s="3">
        <v>273.91000000000003</v>
      </c>
      <c r="G2203" s="3">
        <v>326.8</v>
      </c>
      <c r="H2203" s="3">
        <v>183.43</v>
      </c>
      <c r="I2203" s="3">
        <v>275.02</v>
      </c>
      <c r="J2203" s="3">
        <v>116.22</v>
      </c>
      <c r="K2203" s="3">
        <v>210.51</v>
      </c>
      <c r="L2203" s="3"/>
      <c r="N2203" s="4"/>
    </row>
    <row r="2204" spans="1:14" ht="17.5" thickBot="1" x14ac:dyDescent="0.45">
      <c r="A2204" s="4">
        <v>45061</v>
      </c>
      <c r="B2204" s="3">
        <v>130.9</v>
      </c>
      <c r="C2204" s="3">
        <v>296.25</v>
      </c>
      <c r="D2204" s="3">
        <v>109.32</v>
      </c>
      <c r="E2204" s="3">
        <v>1.3117000000000001</v>
      </c>
      <c r="F2204" s="3">
        <v>275.64</v>
      </c>
      <c r="G2204" s="3">
        <v>327.56</v>
      </c>
      <c r="H2204" s="3">
        <v>183.89</v>
      </c>
      <c r="I2204" s="3">
        <v>275.85000000000002</v>
      </c>
      <c r="J2204" s="3">
        <v>116.22</v>
      </c>
      <c r="K2204" s="3">
        <v>211.08</v>
      </c>
      <c r="L2204" s="3"/>
      <c r="N2204" s="4"/>
    </row>
    <row r="2205" spans="1:14" ht="17.5" thickBot="1" x14ac:dyDescent="0.45">
      <c r="A2205" s="4">
        <v>45062</v>
      </c>
      <c r="B2205" s="3">
        <v>130.88999999999999</v>
      </c>
      <c r="C2205" s="3">
        <v>296.08999999999997</v>
      </c>
      <c r="D2205" s="3">
        <v>109.14</v>
      </c>
      <c r="E2205" s="3">
        <v>1.3068</v>
      </c>
      <c r="F2205" s="3">
        <v>275.25</v>
      </c>
      <c r="G2205" s="3">
        <v>325.31</v>
      </c>
      <c r="H2205" s="3">
        <v>183.63</v>
      </c>
      <c r="I2205" s="3">
        <v>273.98</v>
      </c>
      <c r="J2205" s="3">
        <v>116.23</v>
      </c>
      <c r="K2205" s="3">
        <v>210.75</v>
      </c>
      <c r="L2205" s="3"/>
      <c r="N2205" s="4"/>
    </row>
    <row r="2206" spans="1:14" ht="17.5" thickBot="1" x14ac:dyDescent="0.45">
      <c r="A2206" s="4">
        <v>45063</v>
      </c>
      <c r="B2206" s="3">
        <v>128.12</v>
      </c>
      <c r="C2206" s="3">
        <v>295.58</v>
      </c>
      <c r="D2206" s="3">
        <v>108.7</v>
      </c>
      <c r="E2206" s="3">
        <v>1.3098000000000001</v>
      </c>
      <c r="F2206" s="3">
        <v>273.55</v>
      </c>
      <c r="G2206" s="3">
        <v>329.19</v>
      </c>
      <c r="H2206" s="3">
        <v>182.72</v>
      </c>
      <c r="I2206" s="3">
        <v>277.17</v>
      </c>
      <c r="J2206" s="3">
        <v>116.23</v>
      </c>
      <c r="K2206" s="3">
        <v>209.72</v>
      </c>
      <c r="L2206" s="3"/>
      <c r="N2206" s="4"/>
    </row>
    <row r="2207" spans="1:14" ht="17.5" thickBot="1" x14ac:dyDescent="0.45">
      <c r="A2207" s="4">
        <v>45064</v>
      </c>
      <c r="B2207" s="3">
        <v>129.33000000000001</v>
      </c>
      <c r="C2207" s="3">
        <v>296.98</v>
      </c>
      <c r="D2207" s="3">
        <v>108.34</v>
      </c>
      <c r="E2207" s="3">
        <v>1.3120000000000001</v>
      </c>
      <c r="F2207" s="3">
        <v>275.11</v>
      </c>
      <c r="G2207" s="3">
        <v>332.12</v>
      </c>
      <c r="H2207" s="3">
        <v>182.84</v>
      </c>
      <c r="I2207" s="3">
        <v>279.72000000000003</v>
      </c>
      <c r="J2207" s="3">
        <v>116.23</v>
      </c>
      <c r="K2207" s="3">
        <v>209.92</v>
      </c>
      <c r="L2207" s="3"/>
      <c r="N2207" s="4"/>
    </row>
    <row r="2208" spans="1:14" ht="17.5" thickBot="1" x14ac:dyDescent="0.45">
      <c r="A2208" s="4">
        <v>45065</v>
      </c>
      <c r="B2208" s="3">
        <v>127.55</v>
      </c>
      <c r="C2208" s="3">
        <v>298.95999999999998</v>
      </c>
      <c r="D2208" s="3">
        <v>108.07</v>
      </c>
      <c r="E2208" s="3">
        <v>1.3109</v>
      </c>
      <c r="F2208" s="3">
        <v>273.97000000000003</v>
      </c>
      <c r="G2208" s="3">
        <v>331.65</v>
      </c>
      <c r="H2208" s="3">
        <v>182.32</v>
      </c>
      <c r="I2208" s="3">
        <v>278.89999999999998</v>
      </c>
      <c r="J2208" s="3">
        <v>116.27</v>
      </c>
      <c r="K2208" s="3">
        <v>209.33</v>
      </c>
      <c r="L2208" s="3"/>
      <c r="N2208" s="4"/>
    </row>
    <row r="2209" spans="1:14" ht="17.5" thickBot="1" x14ac:dyDescent="0.45">
      <c r="A2209" s="4">
        <v>45066</v>
      </c>
      <c r="B2209" s="3">
        <v>127.55</v>
      </c>
      <c r="C2209" s="3">
        <v>298.95999999999998</v>
      </c>
      <c r="D2209" s="3">
        <v>108.07</v>
      </c>
      <c r="E2209" s="3">
        <v>1.3109</v>
      </c>
      <c r="F2209" s="3">
        <v>273.97000000000003</v>
      </c>
      <c r="G2209" s="3">
        <v>331.65</v>
      </c>
      <c r="H2209" s="3">
        <v>182.32</v>
      </c>
      <c r="I2209" s="3">
        <v>278.89999999999998</v>
      </c>
      <c r="J2209" s="3">
        <v>116.28</v>
      </c>
      <c r="K2209" s="3">
        <v>209.33</v>
      </c>
      <c r="L2209" s="3"/>
      <c r="N2209" s="4"/>
    </row>
    <row r="2210" spans="1:14" ht="17.5" thickBot="1" x14ac:dyDescent="0.45">
      <c r="A2210" s="4">
        <v>45067</v>
      </c>
      <c r="B2210" s="3">
        <v>127.55</v>
      </c>
      <c r="C2210" s="3">
        <v>298.95999999999998</v>
      </c>
      <c r="D2210" s="3">
        <v>108.07</v>
      </c>
      <c r="E2210" s="3">
        <v>1.3109</v>
      </c>
      <c r="F2210" s="3">
        <v>273.97000000000003</v>
      </c>
      <c r="G2210" s="3">
        <v>331.65</v>
      </c>
      <c r="H2210" s="3">
        <v>182.32</v>
      </c>
      <c r="I2210" s="3">
        <v>278.89999999999998</v>
      </c>
      <c r="J2210" s="3">
        <v>116.28</v>
      </c>
      <c r="K2210" s="3">
        <v>209.33</v>
      </c>
      <c r="L2210" s="3"/>
      <c r="N2210" s="4"/>
    </row>
    <row r="2211" spans="1:14" ht="17.5" thickBot="1" x14ac:dyDescent="0.45">
      <c r="A2211" s="4">
        <v>45068</v>
      </c>
      <c r="B2211" s="3">
        <v>129.13999999999999</v>
      </c>
      <c r="C2211" s="3">
        <v>299.79000000000002</v>
      </c>
      <c r="D2211" s="3">
        <v>108.15</v>
      </c>
      <c r="E2211" s="3">
        <v>1.3128</v>
      </c>
      <c r="F2211" s="3">
        <v>275.44</v>
      </c>
      <c r="G2211" s="3">
        <v>332.19</v>
      </c>
      <c r="H2211" s="3">
        <v>182.87</v>
      </c>
      <c r="I2211" s="3">
        <v>279.14999999999998</v>
      </c>
      <c r="J2211" s="3">
        <v>116.28</v>
      </c>
      <c r="K2211" s="3">
        <v>209.97</v>
      </c>
      <c r="L2211" s="3"/>
      <c r="N2211" s="4"/>
    </row>
    <row r="2212" spans="1:14" ht="17.5" thickBot="1" x14ac:dyDescent="0.45">
      <c r="A2212" s="4">
        <v>45069</v>
      </c>
      <c r="B2212" s="3">
        <v>127.55</v>
      </c>
      <c r="C2212" s="3">
        <v>300.39999999999998</v>
      </c>
      <c r="D2212" s="3">
        <v>107.88</v>
      </c>
      <c r="E2212" s="3">
        <v>1.3057000000000001</v>
      </c>
      <c r="F2212" s="3">
        <v>273.58999999999997</v>
      </c>
      <c r="G2212" s="3">
        <v>329.05</v>
      </c>
      <c r="H2212" s="3">
        <v>182.19</v>
      </c>
      <c r="I2212" s="3">
        <v>276.39</v>
      </c>
      <c r="J2212" s="3">
        <v>116.28</v>
      </c>
      <c r="K2212" s="3">
        <v>209.14</v>
      </c>
      <c r="L2212" s="3"/>
      <c r="N2212" s="4"/>
    </row>
    <row r="2213" spans="1:14" ht="17.5" thickBot="1" x14ac:dyDescent="0.45">
      <c r="A2213" s="4">
        <v>45070</v>
      </c>
      <c r="B2213" s="3">
        <v>125.64</v>
      </c>
      <c r="C2213" s="3">
        <v>298.57</v>
      </c>
      <c r="D2213" s="3">
        <v>107.61</v>
      </c>
      <c r="E2213" s="3">
        <v>1.2969999999999999</v>
      </c>
      <c r="F2213" s="3">
        <v>270.33999999999997</v>
      </c>
      <c r="G2213" s="3">
        <v>325.89999999999998</v>
      </c>
      <c r="H2213" s="3">
        <v>180.89</v>
      </c>
      <c r="I2213" s="3">
        <v>274.25</v>
      </c>
      <c r="J2213" s="3">
        <v>116.28</v>
      </c>
      <c r="K2213" s="3">
        <v>207.58</v>
      </c>
      <c r="L2213" s="3"/>
      <c r="N2213" s="4"/>
    </row>
    <row r="2214" spans="1:14" ht="17.5" thickBot="1" x14ac:dyDescent="0.45">
      <c r="A2214" s="4">
        <v>45071</v>
      </c>
      <c r="B2214" s="3">
        <v>123.44</v>
      </c>
      <c r="C2214" s="3">
        <v>297.7</v>
      </c>
      <c r="D2214" s="3">
        <v>107.08</v>
      </c>
      <c r="E2214" s="3">
        <v>1.2970999999999999</v>
      </c>
      <c r="F2214" s="3">
        <v>268.61</v>
      </c>
      <c r="G2214" s="3">
        <v>329</v>
      </c>
      <c r="H2214" s="3">
        <v>179.96</v>
      </c>
      <c r="I2214" s="3">
        <v>276.66000000000003</v>
      </c>
      <c r="J2214" s="3">
        <v>116.3</v>
      </c>
      <c r="K2214" s="3">
        <v>206.5</v>
      </c>
      <c r="L2214" s="3"/>
      <c r="N2214" s="4"/>
    </row>
    <row r="2215" spans="1:14" ht="17.5" thickBot="1" x14ac:dyDescent="0.45">
      <c r="A2215" s="4">
        <v>45072</v>
      </c>
      <c r="B2215" s="3">
        <v>123.44</v>
      </c>
      <c r="C2215" s="3">
        <v>297.7</v>
      </c>
      <c r="D2215" s="3">
        <v>107.08</v>
      </c>
      <c r="E2215" s="3">
        <v>1.2970999999999999</v>
      </c>
      <c r="F2215" s="3">
        <v>268.61</v>
      </c>
      <c r="G2215" s="3">
        <v>329</v>
      </c>
      <c r="H2215" s="3">
        <v>179.96</v>
      </c>
      <c r="I2215" s="3">
        <v>276.66000000000003</v>
      </c>
      <c r="J2215" s="3">
        <v>116.31</v>
      </c>
      <c r="K2215" s="3">
        <v>206.5</v>
      </c>
      <c r="L2215" s="3"/>
      <c r="N2215" s="4"/>
    </row>
    <row r="2216" spans="1:14" ht="17.5" thickBot="1" x14ac:dyDescent="0.45">
      <c r="A2216" s="4">
        <v>45073</v>
      </c>
      <c r="B2216" s="3">
        <v>123.44</v>
      </c>
      <c r="C2216" s="3">
        <v>297.7</v>
      </c>
      <c r="D2216" s="3">
        <v>107.08</v>
      </c>
      <c r="E2216" s="3">
        <v>1.2970999999999999</v>
      </c>
      <c r="F2216" s="3">
        <v>268.61</v>
      </c>
      <c r="G2216" s="3">
        <v>329</v>
      </c>
      <c r="H2216" s="3">
        <v>179.96</v>
      </c>
      <c r="I2216" s="3">
        <v>276.66000000000003</v>
      </c>
      <c r="J2216" s="3">
        <v>116.31</v>
      </c>
      <c r="K2216" s="3">
        <v>206.5</v>
      </c>
      <c r="L2216" s="3"/>
      <c r="N2216" s="4"/>
    </row>
    <row r="2217" spans="1:14" ht="17.5" thickBot="1" x14ac:dyDescent="0.45">
      <c r="A2217" s="4">
        <v>45074</v>
      </c>
      <c r="B2217" s="3">
        <v>123.44</v>
      </c>
      <c r="C2217" s="3">
        <v>297.7</v>
      </c>
      <c r="D2217" s="3">
        <v>107.08</v>
      </c>
      <c r="E2217" s="3">
        <v>1.2970999999999999</v>
      </c>
      <c r="F2217" s="3">
        <v>268.61</v>
      </c>
      <c r="G2217" s="3">
        <v>329</v>
      </c>
      <c r="H2217" s="3">
        <v>179.96</v>
      </c>
      <c r="I2217" s="3">
        <v>276.66000000000003</v>
      </c>
      <c r="J2217" s="3">
        <v>116.31</v>
      </c>
      <c r="K2217" s="3">
        <v>206.5</v>
      </c>
      <c r="L2217" s="3"/>
      <c r="N2217" s="4"/>
    </row>
    <row r="2218" spans="1:14" ht="17.5" thickBot="1" x14ac:dyDescent="0.45">
      <c r="A2218" s="4">
        <v>45075</v>
      </c>
      <c r="B2218" s="3">
        <v>122.21</v>
      </c>
      <c r="C2218" s="3">
        <v>302.60000000000002</v>
      </c>
      <c r="D2218" s="3">
        <v>107.07</v>
      </c>
      <c r="E2218" s="3">
        <v>1.2969999999999999</v>
      </c>
      <c r="F2218" s="3">
        <v>268.93</v>
      </c>
      <c r="G2218" s="3">
        <v>332.72</v>
      </c>
      <c r="H2218" s="3">
        <v>180.06</v>
      </c>
      <c r="I2218" s="3">
        <v>280.2</v>
      </c>
      <c r="J2218" s="3">
        <v>116.31</v>
      </c>
      <c r="K2218" s="3">
        <v>206.63</v>
      </c>
      <c r="L2218" s="3"/>
      <c r="N2218" s="4"/>
    </row>
    <row r="2219" spans="1:14" ht="17.5" thickBot="1" x14ac:dyDescent="0.45">
      <c r="A2219" s="4">
        <v>45076</v>
      </c>
      <c r="B2219" s="3">
        <v>122.49</v>
      </c>
      <c r="C2219" s="3">
        <v>302.20999999999998</v>
      </c>
      <c r="D2219" s="3">
        <v>106.8</v>
      </c>
      <c r="E2219" s="3">
        <v>1.3080000000000001</v>
      </c>
      <c r="F2219" s="3">
        <v>269.88</v>
      </c>
      <c r="G2219" s="3">
        <v>332.59</v>
      </c>
      <c r="H2219" s="3">
        <v>180.69</v>
      </c>
      <c r="I2219" s="3">
        <v>280.23</v>
      </c>
      <c r="J2219" s="3">
        <v>116.32</v>
      </c>
      <c r="K2219" s="3">
        <v>207.37</v>
      </c>
      <c r="L2219" s="3"/>
      <c r="N2219" s="4"/>
    </row>
    <row r="2220" spans="1:14" ht="17.5" thickBot="1" x14ac:dyDescent="0.45">
      <c r="A2220" s="4">
        <v>45077</v>
      </c>
      <c r="B2220" s="3">
        <v>120.24</v>
      </c>
      <c r="C2220" s="3">
        <v>298.14</v>
      </c>
      <c r="D2220" s="3">
        <v>107.07</v>
      </c>
      <c r="E2220" s="3">
        <v>1.3022</v>
      </c>
      <c r="F2220" s="3">
        <v>266.3</v>
      </c>
      <c r="G2220" s="3">
        <v>330.19</v>
      </c>
      <c r="H2220" s="3">
        <v>179.63</v>
      </c>
      <c r="I2220" s="3">
        <v>278.54000000000002</v>
      </c>
      <c r="J2220" s="3">
        <v>116.32</v>
      </c>
      <c r="K2220" s="3">
        <v>206.06</v>
      </c>
      <c r="L2220" s="3"/>
      <c r="N2220" s="4"/>
    </row>
    <row r="2221" spans="1:14" ht="17.5" thickBot="1" x14ac:dyDescent="0.45">
      <c r="A2221" s="4">
        <v>45078</v>
      </c>
      <c r="B2221" s="3">
        <v>119.98</v>
      </c>
      <c r="C2221" s="3">
        <v>299.7</v>
      </c>
      <c r="D2221" s="3">
        <v>107.33</v>
      </c>
      <c r="E2221" s="3">
        <v>1.3118000000000001</v>
      </c>
      <c r="F2221" s="3">
        <v>268.08999999999997</v>
      </c>
      <c r="G2221" s="3">
        <v>333.94</v>
      </c>
      <c r="H2221" s="3">
        <v>180.42</v>
      </c>
      <c r="I2221" s="3">
        <v>281.33</v>
      </c>
      <c r="J2221" s="3">
        <v>116.39</v>
      </c>
      <c r="K2221" s="3">
        <v>207.03</v>
      </c>
      <c r="L2221" s="3"/>
      <c r="N2221" s="4"/>
    </row>
    <row r="2222" spans="1:14" ht="17.5" thickBot="1" x14ac:dyDescent="0.45">
      <c r="A2222" s="4">
        <v>45079</v>
      </c>
      <c r="B2222" s="3">
        <v>124.85</v>
      </c>
      <c r="C2222" s="3">
        <v>303.64</v>
      </c>
      <c r="D2222" s="3">
        <v>107.86</v>
      </c>
      <c r="E2222" s="3">
        <v>1.3228</v>
      </c>
      <c r="F2222" s="3">
        <v>273.48</v>
      </c>
      <c r="G2222" s="3">
        <v>339.59</v>
      </c>
      <c r="H2222" s="3">
        <v>182.25</v>
      </c>
      <c r="I2222" s="3">
        <v>285.39999999999998</v>
      </c>
      <c r="J2222" s="3">
        <v>116.39</v>
      </c>
      <c r="K2222" s="3">
        <v>209.24</v>
      </c>
      <c r="L2222" s="3"/>
      <c r="N2222" s="4"/>
    </row>
    <row r="2223" spans="1:14" ht="17.5" thickBot="1" x14ac:dyDescent="0.45">
      <c r="A2223" s="4">
        <v>45080</v>
      </c>
      <c r="B2223" s="3">
        <v>124.85</v>
      </c>
      <c r="C2223" s="3">
        <v>303.64</v>
      </c>
      <c r="D2223" s="3">
        <v>107.86</v>
      </c>
      <c r="E2223" s="3">
        <v>1.3228</v>
      </c>
      <c r="F2223" s="3">
        <v>273.48</v>
      </c>
      <c r="G2223" s="3">
        <v>339.59</v>
      </c>
      <c r="H2223" s="3">
        <v>182.25</v>
      </c>
      <c r="I2223" s="3">
        <v>285.39999999999998</v>
      </c>
      <c r="J2223" s="3">
        <v>116.39</v>
      </c>
      <c r="K2223" s="3">
        <v>209.24</v>
      </c>
      <c r="L2223" s="3"/>
      <c r="N2223" s="4"/>
    </row>
    <row r="2224" spans="1:14" ht="17.5" thickBot="1" x14ac:dyDescent="0.45">
      <c r="A2224" s="4">
        <v>45081</v>
      </c>
      <c r="B2224" s="3">
        <v>124.85</v>
      </c>
      <c r="C2224" s="3">
        <v>303.64</v>
      </c>
      <c r="D2224" s="3">
        <v>107.86</v>
      </c>
      <c r="E2224" s="3">
        <v>1.3228</v>
      </c>
      <c r="F2224" s="3">
        <v>273.48</v>
      </c>
      <c r="G2224" s="3">
        <v>339.59</v>
      </c>
      <c r="H2224" s="3">
        <v>182.25</v>
      </c>
      <c r="I2224" s="3">
        <v>285.39999999999998</v>
      </c>
      <c r="J2224" s="3">
        <v>116.4</v>
      </c>
      <c r="K2224" s="3">
        <v>209.24</v>
      </c>
      <c r="L2224" s="3"/>
      <c r="N2224" s="4"/>
    </row>
    <row r="2225" spans="1:14" ht="17.5" thickBot="1" x14ac:dyDescent="0.45">
      <c r="A2225" s="4">
        <v>45082</v>
      </c>
      <c r="B2225" s="3">
        <v>125.87</v>
      </c>
      <c r="C2225" s="3">
        <v>305.49</v>
      </c>
      <c r="D2225" s="3">
        <v>107.68</v>
      </c>
      <c r="E2225" s="3">
        <v>1.3212999999999999</v>
      </c>
      <c r="F2225" s="3">
        <v>274.14</v>
      </c>
      <c r="G2225" s="3">
        <v>338.67</v>
      </c>
      <c r="H2225" s="3">
        <v>182.28</v>
      </c>
      <c r="I2225" s="3">
        <v>284.95999999999998</v>
      </c>
      <c r="J2225" s="3">
        <v>116.4</v>
      </c>
      <c r="K2225" s="3">
        <v>209.32</v>
      </c>
      <c r="L2225" s="3"/>
      <c r="N2225" s="4"/>
    </row>
    <row r="2226" spans="1:14" ht="17.5" thickBot="1" x14ac:dyDescent="0.45">
      <c r="A2226" s="4">
        <v>45083</v>
      </c>
      <c r="B2226" s="3">
        <v>125.64</v>
      </c>
      <c r="C2226" s="3">
        <v>306.19</v>
      </c>
      <c r="D2226" s="3">
        <v>107.68</v>
      </c>
      <c r="E2226" s="3">
        <v>1.3240000000000001</v>
      </c>
      <c r="F2226" s="3">
        <v>274.47000000000003</v>
      </c>
      <c r="G2226" s="3">
        <v>339.52</v>
      </c>
      <c r="H2226" s="3">
        <v>182.33</v>
      </c>
      <c r="I2226" s="3">
        <v>285.68</v>
      </c>
      <c r="J2226" s="3">
        <v>116.4</v>
      </c>
      <c r="K2226" s="3">
        <v>209.36</v>
      </c>
      <c r="L2226" s="3"/>
      <c r="N2226" s="4"/>
    </row>
    <row r="2227" spans="1:14" ht="17.5" thickBot="1" x14ac:dyDescent="0.45">
      <c r="A2227" s="4">
        <v>45084</v>
      </c>
      <c r="B2227" s="3">
        <v>126.83</v>
      </c>
      <c r="C2227" s="3">
        <v>306.42</v>
      </c>
      <c r="D2227" s="3">
        <v>107.68</v>
      </c>
      <c r="E2227" s="3">
        <v>1.3194999999999999</v>
      </c>
      <c r="F2227" s="3">
        <v>274.85000000000002</v>
      </c>
      <c r="G2227" s="3">
        <v>338.75</v>
      </c>
      <c r="H2227" s="3">
        <v>182.41</v>
      </c>
      <c r="I2227" s="3">
        <v>284.47000000000003</v>
      </c>
      <c r="J2227" s="3">
        <v>116.4</v>
      </c>
      <c r="K2227" s="3">
        <v>209.45</v>
      </c>
      <c r="L2227" s="3"/>
      <c r="N2227" s="4"/>
    </row>
    <row r="2228" spans="1:14" ht="17.5" thickBot="1" x14ac:dyDescent="0.45">
      <c r="A2228" s="4">
        <v>45085</v>
      </c>
      <c r="B2228" s="3">
        <v>127.17</v>
      </c>
      <c r="C2228" s="3">
        <v>305.83</v>
      </c>
      <c r="D2228" s="3">
        <v>107.41</v>
      </c>
      <c r="E2228" s="3">
        <v>1.3238000000000001</v>
      </c>
      <c r="F2228" s="3">
        <v>275.54000000000002</v>
      </c>
      <c r="G2228" s="3">
        <v>340.09</v>
      </c>
      <c r="H2228" s="3">
        <v>182.76</v>
      </c>
      <c r="I2228" s="3">
        <v>286.04000000000002</v>
      </c>
      <c r="J2228" s="3">
        <v>116.45</v>
      </c>
      <c r="K2228" s="3">
        <v>209.91</v>
      </c>
      <c r="L2228" s="3"/>
      <c r="N2228" s="4"/>
    </row>
    <row r="2229" spans="1:14" ht="17.5" thickBot="1" x14ac:dyDescent="0.45">
      <c r="A2229" s="4">
        <v>45086</v>
      </c>
      <c r="B2229" s="3">
        <v>127.92</v>
      </c>
      <c r="C2229" s="3">
        <v>308.68</v>
      </c>
      <c r="D2229" s="3">
        <v>107.67</v>
      </c>
      <c r="E2229" s="3">
        <v>1.3259000000000001</v>
      </c>
      <c r="F2229" s="3">
        <v>276.69</v>
      </c>
      <c r="G2229" s="3">
        <v>340.57</v>
      </c>
      <c r="H2229" s="3">
        <v>183.21</v>
      </c>
      <c r="I2229" s="3">
        <v>286.56</v>
      </c>
      <c r="J2229" s="3">
        <v>116.45</v>
      </c>
      <c r="K2229" s="3">
        <v>210.44</v>
      </c>
      <c r="L2229" s="3"/>
      <c r="N2229" s="4"/>
    </row>
    <row r="2230" spans="1:14" ht="17.5" thickBot="1" x14ac:dyDescent="0.45">
      <c r="A2230" s="4">
        <v>45087</v>
      </c>
      <c r="B2230" s="3">
        <v>127.92</v>
      </c>
      <c r="C2230" s="3">
        <v>308.68</v>
      </c>
      <c r="D2230" s="3">
        <v>107.67</v>
      </c>
      <c r="E2230" s="3">
        <v>1.3259000000000001</v>
      </c>
      <c r="F2230" s="3">
        <v>276.69</v>
      </c>
      <c r="G2230" s="3">
        <v>340.57</v>
      </c>
      <c r="H2230" s="3">
        <v>183.21</v>
      </c>
      <c r="I2230" s="3">
        <v>286.56</v>
      </c>
      <c r="J2230" s="3">
        <v>116.45</v>
      </c>
      <c r="K2230" s="3">
        <v>210.44</v>
      </c>
      <c r="L2230" s="3"/>
      <c r="N2230" s="4"/>
    </row>
    <row r="2231" spans="1:14" ht="17.5" thickBot="1" x14ac:dyDescent="0.45">
      <c r="A2231" s="4">
        <v>45088</v>
      </c>
      <c r="B2231" s="3">
        <v>127.92</v>
      </c>
      <c r="C2231" s="3">
        <v>308.68</v>
      </c>
      <c r="D2231" s="3">
        <v>107.67</v>
      </c>
      <c r="E2231" s="3">
        <v>1.3259000000000001</v>
      </c>
      <c r="F2231" s="3">
        <v>276.69</v>
      </c>
      <c r="G2231" s="3">
        <v>340.57</v>
      </c>
      <c r="H2231" s="3">
        <v>183.21</v>
      </c>
      <c r="I2231" s="3">
        <v>286.56</v>
      </c>
      <c r="J2231" s="3">
        <v>116.45</v>
      </c>
      <c r="K2231" s="3">
        <v>210.44</v>
      </c>
      <c r="L2231" s="3"/>
      <c r="N2231" s="4"/>
    </row>
    <row r="2232" spans="1:14" ht="17.5" thickBot="1" x14ac:dyDescent="0.45">
      <c r="A2232" s="4">
        <v>45089</v>
      </c>
      <c r="B2232" s="3">
        <v>128.13999999999999</v>
      </c>
      <c r="C2232" s="3">
        <v>309.39999999999998</v>
      </c>
      <c r="D2232" s="3">
        <v>107.58</v>
      </c>
      <c r="E2232" s="3">
        <v>1.3307</v>
      </c>
      <c r="F2232" s="3">
        <v>277.44</v>
      </c>
      <c r="G2232" s="3">
        <v>343.52</v>
      </c>
      <c r="H2232" s="3">
        <v>183.44</v>
      </c>
      <c r="I2232" s="3">
        <v>289.14999999999998</v>
      </c>
      <c r="J2232" s="3">
        <v>116.46</v>
      </c>
      <c r="K2232" s="3">
        <v>210.73</v>
      </c>
      <c r="L2232" s="3"/>
      <c r="N2232" s="4"/>
    </row>
    <row r="2233" spans="1:14" ht="17.5" thickBot="1" x14ac:dyDescent="0.45">
      <c r="A2233" s="4">
        <v>45090</v>
      </c>
      <c r="B2233" s="3">
        <v>128.99</v>
      </c>
      <c r="C2233" s="3">
        <v>313.19</v>
      </c>
      <c r="D2233" s="3">
        <v>108.11</v>
      </c>
      <c r="E2233" s="3">
        <v>1.3355999999999999</v>
      </c>
      <c r="F2233" s="3">
        <v>279.88</v>
      </c>
      <c r="G2233" s="3">
        <v>345.87</v>
      </c>
      <c r="H2233" s="3">
        <v>184.25</v>
      </c>
      <c r="I2233" s="3">
        <v>290.89999999999998</v>
      </c>
      <c r="J2233" s="3">
        <v>116.46</v>
      </c>
      <c r="K2233" s="3">
        <v>211.71</v>
      </c>
      <c r="L2233" s="3"/>
      <c r="N2233" s="4"/>
    </row>
    <row r="2234" spans="1:14" ht="17.5" thickBot="1" x14ac:dyDescent="0.45">
      <c r="A2234" s="4">
        <v>45091</v>
      </c>
      <c r="B2234" s="3">
        <v>128.16</v>
      </c>
      <c r="C2234" s="3">
        <v>314.60000000000002</v>
      </c>
      <c r="D2234" s="3">
        <v>107.93</v>
      </c>
      <c r="E2234" s="3">
        <v>1.3381000000000001</v>
      </c>
      <c r="F2234" s="3">
        <v>280.44</v>
      </c>
      <c r="G2234" s="3">
        <v>345.3</v>
      </c>
      <c r="H2234" s="3">
        <v>184.45</v>
      </c>
      <c r="I2234" s="3">
        <v>291.17</v>
      </c>
      <c r="J2234" s="3">
        <v>116.46</v>
      </c>
      <c r="K2234" s="3">
        <v>211.99</v>
      </c>
      <c r="L2234" s="3"/>
      <c r="N2234" s="4"/>
    </row>
    <row r="2235" spans="1:14" ht="17.5" thickBot="1" x14ac:dyDescent="0.45">
      <c r="A2235" s="4">
        <v>45092</v>
      </c>
      <c r="B2235" s="3">
        <v>131</v>
      </c>
      <c r="C2235" s="3">
        <v>314.79000000000002</v>
      </c>
      <c r="D2235" s="3">
        <v>107.66</v>
      </c>
      <c r="E2235" s="3">
        <v>1.3452999999999999</v>
      </c>
      <c r="F2235" s="3">
        <v>282.89</v>
      </c>
      <c r="G2235" s="3">
        <v>349.2</v>
      </c>
      <c r="H2235" s="3">
        <v>185.53</v>
      </c>
      <c r="I2235" s="3">
        <v>294.62</v>
      </c>
      <c r="J2235" s="3">
        <v>116.5</v>
      </c>
      <c r="K2235" s="3">
        <v>213.3</v>
      </c>
      <c r="L2235" s="3"/>
      <c r="N2235" s="4"/>
    </row>
    <row r="2236" spans="1:14" ht="17.5" thickBot="1" x14ac:dyDescent="0.45">
      <c r="A2236" s="4">
        <v>45093</v>
      </c>
      <c r="B2236" s="3">
        <v>132.24</v>
      </c>
      <c r="C2236" s="3">
        <v>315.98</v>
      </c>
      <c r="D2236" s="3">
        <v>107.92</v>
      </c>
      <c r="E2236" s="3">
        <v>1.3447</v>
      </c>
      <c r="F2236" s="3">
        <v>283.95</v>
      </c>
      <c r="G2236" s="3">
        <v>348.02</v>
      </c>
      <c r="H2236" s="3">
        <v>185.95</v>
      </c>
      <c r="I2236" s="3">
        <v>293.39</v>
      </c>
      <c r="J2236" s="3">
        <v>116.51</v>
      </c>
      <c r="K2236" s="3">
        <v>213.78</v>
      </c>
      <c r="L2236" s="3"/>
      <c r="N2236" s="4"/>
    </row>
    <row r="2237" spans="1:14" ht="17.5" thickBot="1" x14ac:dyDescent="0.45">
      <c r="A2237" s="4">
        <v>45094</v>
      </c>
      <c r="B2237" s="3">
        <v>132.24</v>
      </c>
      <c r="C2237" s="3">
        <v>315.98</v>
      </c>
      <c r="D2237" s="3">
        <v>107.92</v>
      </c>
      <c r="E2237" s="3">
        <v>1.3447</v>
      </c>
      <c r="F2237" s="3">
        <v>283.95</v>
      </c>
      <c r="G2237" s="3">
        <v>348.02</v>
      </c>
      <c r="H2237" s="3">
        <v>185.95</v>
      </c>
      <c r="I2237" s="3">
        <v>293.39</v>
      </c>
      <c r="J2237" s="3">
        <v>116.51</v>
      </c>
      <c r="K2237" s="3">
        <v>213.78</v>
      </c>
      <c r="L2237" s="3"/>
      <c r="N2237" s="4"/>
    </row>
    <row r="2238" spans="1:14" ht="17.5" thickBot="1" x14ac:dyDescent="0.45">
      <c r="A2238" s="4">
        <v>45095</v>
      </c>
      <c r="B2238" s="3">
        <v>132.24</v>
      </c>
      <c r="C2238" s="3">
        <v>315.98</v>
      </c>
      <c r="D2238" s="3">
        <v>107.92</v>
      </c>
      <c r="E2238" s="3">
        <v>1.3447</v>
      </c>
      <c r="F2238" s="3">
        <v>283.95</v>
      </c>
      <c r="G2238" s="3">
        <v>348.02</v>
      </c>
      <c r="H2238" s="3">
        <v>185.95</v>
      </c>
      <c r="I2238" s="3">
        <v>293.39</v>
      </c>
      <c r="J2238" s="3">
        <v>116.51</v>
      </c>
      <c r="K2238" s="3">
        <v>213.78</v>
      </c>
      <c r="L2238" s="3"/>
      <c r="N2238" s="4"/>
    </row>
    <row r="2239" spans="1:14" ht="17.5" thickBot="1" x14ac:dyDescent="0.45">
      <c r="A2239" s="4">
        <v>45096</v>
      </c>
      <c r="B2239" s="3">
        <v>131.37</v>
      </c>
      <c r="C2239" s="3">
        <v>314.01</v>
      </c>
      <c r="D2239" s="3">
        <v>107.65</v>
      </c>
      <c r="E2239" s="3">
        <v>1.3446</v>
      </c>
      <c r="F2239" s="3">
        <v>282.17</v>
      </c>
      <c r="G2239" s="3">
        <v>347.95</v>
      </c>
      <c r="H2239" s="3">
        <v>185.12</v>
      </c>
      <c r="I2239" s="3">
        <v>293.14999999999998</v>
      </c>
      <c r="J2239" s="3">
        <v>116.51</v>
      </c>
      <c r="K2239" s="3">
        <v>212.77</v>
      </c>
      <c r="L2239" s="3"/>
      <c r="N2239" s="4"/>
    </row>
    <row r="2240" spans="1:14" ht="17.5" thickBot="1" x14ac:dyDescent="0.45">
      <c r="A2240" s="4">
        <v>45097</v>
      </c>
      <c r="B2240" s="3">
        <v>129.56</v>
      </c>
      <c r="C2240" s="3">
        <v>313.44</v>
      </c>
      <c r="D2240" s="3">
        <v>107.47</v>
      </c>
      <c r="E2240" s="3">
        <v>1.3393999999999999</v>
      </c>
      <c r="F2240" s="3">
        <v>280.33</v>
      </c>
      <c r="G2240" s="3">
        <v>346.28</v>
      </c>
      <c r="H2240" s="3">
        <v>184.72</v>
      </c>
      <c r="I2240" s="3">
        <v>291.86</v>
      </c>
      <c r="J2240" s="3">
        <v>116.51</v>
      </c>
      <c r="K2240" s="3">
        <v>212.28</v>
      </c>
      <c r="L2240" s="3"/>
      <c r="N2240" s="4"/>
    </row>
    <row r="2241" spans="1:14" ht="17.5" thickBot="1" x14ac:dyDescent="0.45">
      <c r="A2241" s="4">
        <v>45098</v>
      </c>
      <c r="B2241" s="3">
        <v>127.12</v>
      </c>
      <c r="C2241" s="3">
        <v>312.63</v>
      </c>
      <c r="D2241" s="3">
        <v>107.16</v>
      </c>
      <c r="E2241" s="3">
        <v>1.3360000000000001</v>
      </c>
      <c r="F2241" s="3">
        <v>278.14999999999998</v>
      </c>
      <c r="G2241" s="3">
        <v>344.65</v>
      </c>
      <c r="H2241" s="3">
        <v>183.91</v>
      </c>
      <c r="I2241" s="3">
        <v>290.45999999999998</v>
      </c>
      <c r="J2241" s="3">
        <v>116.56</v>
      </c>
      <c r="K2241" s="3">
        <v>211.31</v>
      </c>
      <c r="L2241" s="3"/>
      <c r="N2241" s="4"/>
    </row>
    <row r="2242" spans="1:14" ht="17.5" thickBot="1" x14ac:dyDescent="0.45">
      <c r="A2242" s="4">
        <v>45099</v>
      </c>
      <c r="B2242" s="3">
        <v>127.12</v>
      </c>
      <c r="C2242" s="3">
        <v>312.63</v>
      </c>
      <c r="D2242" s="3">
        <v>107.16</v>
      </c>
      <c r="E2242" s="3">
        <v>1.3360000000000001</v>
      </c>
      <c r="F2242" s="3">
        <v>278.14999999999998</v>
      </c>
      <c r="G2242" s="3">
        <v>344.65</v>
      </c>
      <c r="H2242" s="3">
        <v>183.91</v>
      </c>
      <c r="I2242" s="3">
        <v>290.45999999999998</v>
      </c>
      <c r="J2242" s="3">
        <v>116.56</v>
      </c>
      <c r="K2242" s="3">
        <v>211.31</v>
      </c>
      <c r="L2242" s="3"/>
      <c r="N2242" s="4"/>
    </row>
    <row r="2243" spans="1:14" ht="17.5" thickBot="1" x14ac:dyDescent="0.45">
      <c r="A2243" s="4">
        <v>45100</v>
      </c>
      <c r="B2243" s="3">
        <v>125.01</v>
      </c>
      <c r="C2243" s="3">
        <v>307.26</v>
      </c>
      <c r="D2243" s="3">
        <v>106.92</v>
      </c>
      <c r="E2243" s="3">
        <v>1.3298000000000001</v>
      </c>
      <c r="F2243" s="3">
        <v>274.45</v>
      </c>
      <c r="G2243" s="3">
        <v>343.58</v>
      </c>
      <c r="H2243" s="3">
        <v>182.61</v>
      </c>
      <c r="I2243" s="3">
        <v>289.35000000000002</v>
      </c>
      <c r="J2243" s="3">
        <v>116.57</v>
      </c>
      <c r="K2243" s="3">
        <v>209.66</v>
      </c>
      <c r="L2243" s="3"/>
      <c r="N2243" s="4"/>
    </row>
    <row r="2244" spans="1:14" ht="17.5" thickBot="1" x14ac:dyDescent="0.45">
      <c r="A2244" s="4">
        <v>45101</v>
      </c>
      <c r="B2244" s="3">
        <v>125.01</v>
      </c>
      <c r="C2244" s="3">
        <v>307.26</v>
      </c>
      <c r="D2244" s="3">
        <v>106.92</v>
      </c>
      <c r="E2244" s="3">
        <v>1.3298000000000001</v>
      </c>
      <c r="F2244" s="3">
        <v>274.45</v>
      </c>
      <c r="G2244" s="3">
        <v>343.58</v>
      </c>
      <c r="H2244" s="3">
        <v>182.61</v>
      </c>
      <c r="I2244" s="3">
        <v>289.35000000000002</v>
      </c>
      <c r="J2244" s="3">
        <v>116.57</v>
      </c>
      <c r="K2244" s="3">
        <v>209.66</v>
      </c>
      <c r="L2244" s="3"/>
      <c r="N2244" s="4"/>
    </row>
    <row r="2245" spans="1:14" ht="17.5" thickBot="1" x14ac:dyDescent="0.45">
      <c r="A2245" s="4">
        <v>45102</v>
      </c>
      <c r="B2245" s="3">
        <v>125.01</v>
      </c>
      <c r="C2245" s="3">
        <v>307.26</v>
      </c>
      <c r="D2245" s="3">
        <v>106.92</v>
      </c>
      <c r="E2245" s="3">
        <v>1.3298000000000001</v>
      </c>
      <c r="F2245" s="3">
        <v>274.45</v>
      </c>
      <c r="G2245" s="3">
        <v>343.58</v>
      </c>
      <c r="H2245" s="3">
        <v>182.61</v>
      </c>
      <c r="I2245" s="3">
        <v>289.35000000000002</v>
      </c>
      <c r="J2245" s="3">
        <v>116.57</v>
      </c>
      <c r="K2245" s="3">
        <v>209.66</v>
      </c>
      <c r="L2245" s="3"/>
      <c r="N2245" s="4"/>
    </row>
    <row r="2246" spans="1:14" ht="17.5" thickBot="1" x14ac:dyDescent="0.45">
      <c r="A2246" s="4">
        <v>45103</v>
      </c>
      <c r="B2246" s="3">
        <v>124.54</v>
      </c>
      <c r="C2246" s="3">
        <v>306.79000000000002</v>
      </c>
      <c r="D2246" s="3">
        <v>107.09</v>
      </c>
      <c r="E2246" s="3">
        <v>1.3286</v>
      </c>
      <c r="F2246" s="3">
        <v>273.86</v>
      </c>
      <c r="G2246" s="3">
        <v>341.99</v>
      </c>
      <c r="H2246" s="3">
        <v>182.5</v>
      </c>
      <c r="I2246" s="3">
        <v>288.14</v>
      </c>
      <c r="J2246" s="3">
        <v>116.57</v>
      </c>
      <c r="K2246" s="3">
        <v>209.54</v>
      </c>
      <c r="L2246" s="3"/>
      <c r="N2246" s="4"/>
    </row>
    <row r="2247" spans="1:14" ht="17.5" thickBot="1" x14ac:dyDescent="0.45">
      <c r="A2247" s="4">
        <v>45104</v>
      </c>
      <c r="B2247" s="3">
        <v>126.69</v>
      </c>
      <c r="C2247" s="3">
        <v>307.19</v>
      </c>
      <c r="D2247" s="3">
        <v>107.22</v>
      </c>
      <c r="E2247" s="3">
        <v>1.3345</v>
      </c>
      <c r="F2247" s="3">
        <v>276.31</v>
      </c>
      <c r="G2247" s="3">
        <v>345.98</v>
      </c>
      <c r="H2247" s="3">
        <v>183.27</v>
      </c>
      <c r="I2247" s="3">
        <v>291.41000000000003</v>
      </c>
      <c r="J2247" s="3">
        <v>116.58</v>
      </c>
      <c r="K2247" s="3">
        <v>210.49</v>
      </c>
      <c r="L2247" s="3"/>
      <c r="N2247" s="4"/>
    </row>
    <row r="2248" spans="1:14" ht="17.5" thickBot="1" x14ac:dyDescent="0.45">
      <c r="A2248" s="4">
        <v>45105</v>
      </c>
      <c r="B2248" s="3">
        <v>126.96</v>
      </c>
      <c r="C2248" s="3">
        <v>307.57</v>
      </c>
      <c r="D2248" s="3">
        <v>106.93</v>
      </c>
      <c r="E2248" s="3">
        <v>1.3362000000000001</v>
      </c>
      <c r="F2248" s="3">
        <v>276.87</v>
      </c>
      <c r="G2248" s="3">
        <v>345.99</v>
      </c>
      <c r="H2248" s="3">
        <v>183.48</v>
      </c>
      <c r="I2248" s="3">
        <v>291.51</v>
      </c>
      <c r="J2248" s="3">
        <v>116.61</v>
      </c>
      <c r="K2248" s="3">
        <v>210.75</v>
      </c>
      <c r="L2248" s="3"/>
      <c r="N2248" s="4"/>
    </row>
    <row r="2249" spans="1:14" ht="17.5" thickBot="1" x14ac:dyDescent="0.45">
      <c r="A2249" s="4">
        <v>45106</v>
      </c>
      <c r="B2249" s="3">
        <v>125.29</v>
      </c>
      <c r="C2249" s="3">
        <v>307.60000000000002</v>
      </c>
      <c r="D2249" s="3">
        <v>106.82</v>
      </c>
      <c r="E2249" s="3">
        <v>1.3355999999999999</v>
      </c>
      <c r="F2249" s="3">
        <v>276.10000000000002</v>
      </c>
      <c r="G2249" s="3">
        <v>347.78</v>
      </c>
      <c r="H2249" s="3">
        <v>182.79</v>
      </c>
      <c r="I2249" s="3">
        <v>292.7</v>
      </c>
      <c r="J2249" s="3">
        <v>116.61</v>
      </c>
      <c r="K2249" s="3">
        <v>209.95</v>
      </c>
      <c r="L2249" s="3"/>
      <c r="N2249" s="4"/>
    </row>
    <row r="2250" spans="1:14" ht="17.5" thickBot="1" x14ac:dyDescent="0.45">
      <c r="A2250" s="4">
        <v>45107</v>
      </c>
      <c r="B2250" s="3">
        <v>125.21</v>
      </c>
      <c r="C2250" s="3">
        <v>308.99</v>
      </c>
      <c r="D2250" s="3">
        <v>106.65</v>
      </c>
      <c r="E2250" s="3">
        <v>1.3442000000000001</v>
      </c>
      <c r="F2250" s="3">
        <v>277.35000000000002</v>
      </c>
      <c r="G2250" s="3">
        <v>352.07</v>
      </c>
      <c r="H2250" s="3">
        <v>183.27</v>
      </c>
      <c r="I2250" s="3">
        <v>296.27</v>
      </c>
      <c r="J2250" s="3">
        <v>116.61</v>
      </c>
      <c r="K2250" s="3">
        <v>210.55</v>
      </c>
      <c r="L2250" s="3"/>
      <c r="N2250" s="4"/>
    </row>
    <row r="2251" spans="1:14" ht="17.5" thickBot="1" x14ac:dyDescent="0.45">
      <c r="A2251" s="4">
        <v>45108</v>
      </c>
      <c r="B2251" s="3">
        <v>125.21</v>
      </c>
      <c r="C2251" s="3">
        <v>308.99</v>
      </c>
      <c r="D2251" s="3">
        <v>106.65</v>
      </c>
      <c r="E2251" s="3">
        <v>1.3442000000000001</v>
      </c>
      <c r="F2251" s="3">
        <v>277.35000000000002</v>
      </c>
      <c r="G2251" s="3">
        <v>352.07</v>
      </c>
      <c r="H2251" s="3">
        <v>183.27</v>
      </c>
      <c r="I2251" s="3">
        <v>296.27</v>
      </c>
      <c r="J2251" s="3">
        <v>116.62</v>
      </c>
      <c r="K2251" s="3">
        <v>210.55</v>
      </c>
      <c r="L2251" s="3"/>
      <c r="N2251" s="4"/>
    </row>
    <row r="2252" spans="1:14" ht="17.5" thickBot="1" x14ac:dyDescent="0.45">
      <c r="A2252" s="4">
        <v>45109</v>
      </c>
      <c r="B2252" s="3">
        <v>125.21</v>
      </c>
      <c r="C2252" s="3">
        <v>308.99</v>
      </c>
      <c r="D2252" s="3">
        <v>106.65</v>
      </c>
      <c r="E2252" s="3">
        <v>1.3442000000000001</v>
      </c>
      <c r="F2252" s="3">
        <v>277.35000000000002</v>
      </c>
      <c r="G2252" s="3">
        <v>352.07</v>
      </c>
      <c r="H2252" s="3">
        <v>183.27</v>
      </c>
      <c r="I2252" s="3">
        <v>296.27</v>
      </c>
      <c r="J2252" s="3">
        <v>116.62</v>
      </c>
      <c r="K2252" s="3">
        <v>210.55</v>
      </c>
      <c r="L2252" s="3"/>
      <c r="N2252" s="4"/>
    </row>
    <row r="2253" spans="1:14" ht="17.5" thickBot="1" x14ac:dyDescent="0.45">
      <c r="A2253" s="4">
        <v>45110</v>
      </c>
      <c r="B2253" s="3">
        <v>127.74</v>
      </c>
      <c r="C2253" s="3">
        <v>312.7</v>
      </c>
      <c r="D2253" s="3">
        <v>106.87</v>
      </c>
      <c r="E2253" s="3">
        <v>1.3455999999999999</v>
      </c>
      <c r="F2253" s="3">
        <v>279.88</v>
      </c>
      <c r="G2253" s="3">
        <v>352.57</v>
      </c>
      <c r="H2253" s="3">
        <v>184.12</v>
      </c>
      <c r="I2253" s="3">
        <v>296.60000000000002</v>
      </c>
      <c r="J2253" s="3">
        <v>116.68</v>
      </c>
      <c r="K2253" s="3">
        <v>211.57</v>
      </c>
      <c r="L2253" s="3"/>
      <c r="N2253" s="4"/>
    </row>
    <row r="2254" spans="1:14" ht="17.5" thickBot="1" x14ac:dyDescent="0.45">
      <c r="A2254" s="4">
        <v>45111</v>
      </c>
      <c r="B2254" s="3">
        <v>128.49</v>
      </c>
      <c r="C2254" s="3">
        <v>313.39</v>
      </c>
      <c r="D2254" s="3">
        <v>107.1</v>
      </c>
      <c r="E2254" s="3">
        <v>1.3454999999999999</v>
      </c>
      <c r="F2254" s="3">
        <v>280.23</v>
      </c>
      <c r="G2254" s="3">
        <v>352.51</v>
      </c>
      <c r="H2254" s="3">
        <v>184.34</v>
      </c>
      <c r="I2254" s="3">
        <v>296.5</v>
      </c>
      <c r="J2254" s="3">
        <v>116.68</v>
      </c>
      <c r="K2254" s="3">
        <v>211.74</v>
      </c>
      <c r="L2254" s="3"/>
      <c r="N2254" s="4"/>
    </row>
    <row r="2255" spans="1:14" ht="17.5" thickBot="1" x14ac:dyDescent="0.45">
      <c r="A2255" s="4">
        <v>45112</v>
      </c>
      <c r="B2255" s="3">
        <v>126.59</v>
      </c>
      <c r="C2255" s="3">
        <v>311.45999999999998</v>
      </c>
      <c r="D2255" s="3">
        <v>106.92</v>
      </c>
      <c r="E2255" s="3">
        <v>1.3401000000000001</v>
      </c>
      <c r="F2255" s="3">
        <v>278.01</v>
      </c>
      <c r="G2255" s="3">
        <v>351.35</v>
      </c>
      <c r="H2255" s="3">
        <v>183.31</v>
      </c>
      <c r="I2255" s="3">
        <v>295.89999999999998</v>
      </c>
      <c r="J2255" s="3">
        <v>116.69</v>
      </c>
      <c r="K2255" s="3">
        <v>210.46</v>
      </c>
      <c r="L2255" s="3"/>
      <c r="N2255" s="4"/>
    </row>
    <row r="2256" spans="1:14" ht="17.5" thickBot="1" x14ac:dyDescent="0.45">
      <c r="A2256" s="4">
        <v>45113</v>
      </c>
      <c r="B2256" s="3">
        <v>123.67</v>
      </c>
      <c r="C2256" s="3">
        <v>307.39</v>
      </c>
      <c r="D2256" s="3">
        <v>106.4</v>
      </c>
      <c r="E2256" s="3">
        <v>1.3268</v>
      </c>
      <c r="F2256" s="3">
        <v>273.63</v>
      </c>
      <c r="G2256" s="3">
        <v>348.83</v>
      </c>
      <c r="H2256" s="3">
        <v>181.32</v>
      </c>
      <c r="I2256" s="3">
        <v>293.25</v>
      </c>
      <c r="J2256" s="3">
        <v>116.69</v>
      </c>
      <c r="K2256" s="3">
        <v>208.05</v>
      </c>
      <c r="L2256" s="3"/>
      <c r="N2256" s="4"/>
    </row>
    <row r="2257" spans="1:14" ht="17.5" thickBot="1" x14ac:dyDescent="0.45">
      <c r="A2257" s="4">
        <v>45114</v>
      </c>
      <c r="B2257" s="3">
        <v>122.61</v>
      </c>
      <c r="C2257" s="3">
        <v>305.24</v>
      </c>
      <c r="D2257" s="3">
        <v>106.23</v>
      </c>
      <c r="E2257" s="3">
        <v>1.3266</v>
      </c>
      <c r="F2257" s="3">
        <v>273.29000000000002</v>
      </c>
      <c r="G2257" s="3">
        <v>348.36</v>
      </c>
      <c r="H2257" s="3">
        <v>181.26</v>
      </c>
      <c r="I2257" s="3">
        <v>292.7</v>
      </c>
      <c r="J2257" s="3">
        <v>116.69</v>
      </c>
      <c r="K2257" s="3">
        <v>208.02</v>
      </c>
      <c r="L2257" s="3"/>
      <c r="N2257" s="4"/>
    </row>
    <row r="2258" spans="1:14" ht="17.5" thickBot="1" x14ac:dyDescent="0.45">
      <c r="A2258" s="4">
        <v>45115</v>
      </c>
      <c r="B2258" s="3">
        <v>122.61</v>
      </c>
      <c r="C2258" s="3">
        <v>305.24</v>
      </c>
      <c r="D2258" s="3">
        <v>106.23</v>
      </c>
      <c r="E2258" s="3">
        <v>1.3266</v>
      </c>
      <c r="F2258" s="3">
        <v>273.29000000000002</v>
      </c>
      <c r="G2258" s="3">
        <v>348.36</v>
      </c>
      <c r="H2258" s="3">
        <v>181.26</v>
      </c>
      <c r="I2258" s="3">
        <v>292.7</v>
      </c>
      <c r="J2258" s="3">
        <v>116.69</v>
      </c>
      <c r="K2258" s="3">
        <v>208.02</v>
      </c>
      <c r="L2258" s="3"/>
      <c r="N2258" s="4"/>
    </row>
    <row r="2259" spans="1:14" ht="17.5" thickBot="1" x14ac:dyDescent="0.45">
      <c r="A2259" s="4">
        <v>45116</v>
      </c>
      <c r="B2259" s="3">
        <v>122.61</v>
      </c>
      <c r="C2259" s="3">
        <v>305.24</v>
      </c>
      <c r="D2259" s="3">
        <v>106.23</v>
      </c>
      <c r="E2259" s="3">
        <v>1.3266</v>
      </c>
      <c r="F2259" s="3">
        <v>273.29000000000002</v>
      </c>
      <c r="G2259" s="3">
        <v>348.36</v>
      </c>
      <c r="H2259" s="3">
        <v>181.26</v>
      </c>
      <c r="I2259" s="3">
        <v>292.7</v>
      </c>
      <c r="J2259" s="3">
        <v>116.7</v>
      </c>
      <c r="K2259" s="3">
        <v>208.02</v>
      </c>
      <c r="L2259" s="3"/>
      <c r="N2259" s="4"/>
    </row>
    <row r="2260" spans="1:14" ht="17.5" thickBot="1" x14ac:dyDescent="0.45">
      <c r="A2260" s="4">
        <v>45117</v>
      </c>
      <c r="B2260" s="3">
        <v>123.37</v>
      </c>
      <c r="C2260" s="3">
        <v>304.58</v>
      </c>
      <c r="D2260" s="3">
        <v>106.24</v>
      </c>
      <c r="E2260" s="3">
        <v>1.3287</v>
      </c>
      <c r="F2260" s="3">
        <v>274.18</v>
      </c>
      <c r="G2260" s="3">
        <v>349.24</v>
      </c>
      <c r="H2260" s="3">
        <v>181.7</v>
      </c>
      <c r="I2260" s="3">
        <v>293.54000000000002</v>
      </c>
      <c r="J2260" s="3">
        <v>116.74</v>
      </c>
      <c r="K2260" s="3">
        <v>208.54</v>
      </c>
      <c r="L2260" s="3"/>
      <c r="N2260" s="4"/>
    </row>
    <row r="2261" spans="1:14" ht="17.5" thickBot="1" x14ac:dyDescent="0.45">
      <c r="A2261" s="4">
        <v>45118</v>
      </c>
      <c r="B2261" s="3">
        <v>124.41</v>
      </c>
      <c r="C2261" s="3">
        <v>308.69</v>
      </c>
      <c r="D2261" s="3">
        <v>106.65</v>
      </c>
      <c r="E2261" s="3">
        <v>1.3352999999999999</v>
      </c>
      <c r="F2261" s="3">
        <v>276.39999999999998</v>
      </c>
      <c r="G2261" s="3">
        <v>351.92</v>
      </c>
      <c r="H2261" s="3">
        <v>182.64</v>
      </c>
      <c r="I2261" s="3">
        <v>295.43</v>
      </c>
      <c r="J2261" s="3">
        <v>116.74</v>
      </c>
      <c r="K2261" s="3">
        <v>209.69</v>
      </c>
      <c r="L2261" s="3"/>
      <c r="N2261" s="4"/>
    </row>
    <row r="2262" spans="1:14" ht="17.5" thickBot="1" x14ac:dyDescent="0.45">
      <c r="A2262" s="4">
        <v>45119</v>
      </c>
      <c r="B2262" s="3">
        <v>125.83</v>
      </c>
      <c r="C2262" s="3">
        <v>311.85000000000002</v>
      </c>
      <c r="D2262" s="3">
        <v>107.23</v>
      </c>
      <c r="E2262" s="3">
        <v>1.3472</v>
      </c>
      <c r="F2262" s="3">
        <v>279.82</v>
      </c>
      <c r="G2262" s="3">
        <v>354.14</v>
      </c>
      <c r="H2262" s="3">
        <v>184.47</v>
      </c>
      <c r="I2262" s="3">
        <v>297.70999999999998</v>
      </c>
      <c r="J2262" s="3">
        <v>116.74</v>
      </c>
      <c r="K2262" s="3">
        <v>211.93</v>
      </c>
      <c r="L2262" s="3"/>
      <c r="N2262" s="4"/>
    </row>
    <row r="2263" spans="1:14" ht="17.5" thickBot="1" x14ac:dyDescent="0.45">
      <c r="A2263" s="4">
        <v>45120</v>
      </c>
      <c r="B2263" s="3">
        <v>129.03</v>
      </c>
      <c r="C2263" s="3">
        <v>316.75</v>
      </c>
      <c r="D2263" s="3">
        <v>108.19</v>
      </c>
      <c r="E2263" s="3">
        <v>1.3582000000000001</v>
      </c>
      <c r="F2263" s="3">
        <v>283.92</v>
      </c>
      <c r="G2263" s="3">
        <v>356.75</v>
      </c>
      <c r="H2263" s="3">
        <v>186.37</v>
      </c>
      <c r="I2263" s="3">
        <v>299.98</v>
      </c>
      <c r="J2263" s="3">
        <v>116.74</v>
      </c>
      <c r="K2263" s="3">
        <v>214.23</v>
      </c>
      <c r="L2263" s="3"/>
      <c r="N2263" s="4"/>
    </row>
    <row r="2264" spans="1:14" ht="17.5" thickBot="1" x14ac:dyDescent="0.45">
      <c r="A2264" s="4">
        <v>45121</v>
      </c>
      <c r="B2264" s="3">
        <v>129.36000000000001</v>
      </c>
      <c r="C2264" s="3">
        <v>319.83999999999997</v>
      </c>
      <c r="D2264" s="3">
        <v>108.4</v>
      </c>
      <c r="E2264" s="3">
        <v>1.3566</v>
      </c>
      <c r="F2264" s="3">
        <v>284.36</v>
      </c>
      <c r="G2264" s="3">
        <v>355.84</v>
      </c>
      <c r="H2264" s="3">
        <v>186.5</v>
      </c>
      <c r="I2264" s="3">
        <v>299.61</v>
      </c>
      <c r="J2264" s="3">
        <v>116.8</v>
      </c>
      <c r="K2264" s="3">
        <v>214.33</v>
      </c>
      <c r="L2264" s="3"/>
      <c r="N2264" s="4"/>
    </row>
    <row r="2265" spans="1:14" ht="17.5" thickBot="1" x14ac:dyDescent="0.45">
      <c r="A2265" s="4">
        <v>45122</v>
      </c>
      <c r="B2265" s="3">
        <v>129.36000000000001</v>
      </c>
      <c r="C2265" s="3">
        <v>319.83999999999997</v>
      </c>
      <c r="D2265" s="3">
        <v>108.4</v>
      </c>
      <c r="E2265" s="3">
        <v>1.3566</v>
      </c>
      <c r="F2265" s="3">
        <v>284.36</v>
      </c>
      <c r="G2265" s="3">
        <v>355.84</v>
      </c>
      <c r="H2265" s="3">
        <v>186.5</v>
      </c>
      <c r="I2265" s="3">
        <v>299.61</v>
      </c>
      <c r="J2265" s="3">
        <v>116.8</v>
      </c>
      <c r="K2265" s="3">
        <v>214.33</v>
      </c>
      <c r="L2265" s="3"/>
      <c r="N2265" s="4"/>
    </row>
    <row r="2266" spans="1:14" ht="17.5" thickBot="1" x14ac:dyDescent="0.45">
      <c r="A2266" s="4">
        <v>45123</v>
      </c>
      <c r="B2266" s="3">
        <v>129.36000000000001</v>
      </c>
      <c r="C2266" s="3">
        <v>319.83999999999997</v>
      </c>
      <c r="D2266" s="3">
        <v>108.4</v>
      </c>
      <c r="E2266" s="3">
        <v>1.3566</v>
      </c>
      <c r="F2266" s="3">
        <v>284.36</v>
      </c>
      <c r="G2266" s="3">
        <v>355.84</v>
      </c>
      <c r="H2266" s="3">
        <v>186.5</v>
      </c>
      <c r="I2266" s="3">
        <v>299.61</v>
      </c>
      <c r="J2266" s="3">
        <v>116.81</v>
      </c>
      <c r="K2266" s="3">
        <v>214.33</v>
      </c>
      <c r="L2266" s="3"/>
      <c r="N2266" s="4"/>
    </row>
    <row r="2267" spans="1:14" ht="17.5" thickBot="1" x14ac:dyDescent="0.45">
      <c r="A2267" s="4">
        <v>45124</v>
      </c>
      <c r="B2267" s="3">
        <v>129.36000000000001</v>
      </c>
      <c r="C2267" s="3">
        <v>319.83999999999997</v>
      </c>
      <c r="D2267" s="3">
        <v>108.4</v>
      </c>
      <c r="E2267" s="3">
        <v>1.3566</v>
      </c>
      <c r="F2267" s="3">
        <v>284.36</v>
      </c>
      <c r="G2267" s="3">
        <v>355.84</v>
      </c>
      <c r="H2267" s="3">
        <v>186.5</v>
      </c>
      <c r="I2267" s="3">
        <v>299.61</v>
      </c>
      <c r="J2267" s="3">
        <v>116.81</v>
      </c>
      <c r="K2267" s="3">
        <v>214.33</v>
      </c>
      <c r="L2267" s="3"/>
      <c r="N2267" s="4"/>
    </row>
    <row r="2268" spans="1:14" ht="17.5" thickBot="1" x14ac:dyDescent="0.45">
      <c r="A2268" s="4">
        <v>45125</v>
      </c>
      <c r="B2268" s="3">
        <v>126.82</v>
      </c>
      <c r="C2268" s="3">
        <v>318.38</v>
      </c>
      <c r="D2268" s="3">
        <v>108.42</v>
      </c>
      <c r="E2268" s="3">
        <v>1.3638999999999999</v>
      </c>
      <c r="F2268" s="3">
        <v>282.98</v>
      </c>
      <c r="G2268" s="3">
        <v>360.09</v>
      </c>
      <c r="H2268" s="3">
        <v>186.13</v>
      </c>
      <c r="I2268" s="3">
        <v>302.77999999999997</v>
      </c>
      <c r="J2268" s="3">
        <v>116.87</v>
      </c>
      <c r="K2268" s="3">
        <v>213.94</v>
      </c>
      <c r="L2268" s="3"/>
      <c r="N2268" s="4"/>
    </row>
    <row r="2269" spans="1:14" ht="17.5" thickBot="1" x14ac:dyDescent="0.45">
      <c r="A2269" s="4">
        <v>45126</v>
      </c>
      <c r="B2269" s="3">
        <v>126.35</v>
      </c>
      <c r="C2269" s="3">
        <v>318.16000000000003</v>
      </c>
      <c r="D2269" s="3">
        <v>108.36</v>
      </c>
      <c r="E2269" s="3">
        <v>1.3653</v>
      </c>
      <c r="F2269" s="3">
        <v>282.60000000000002</v>
      </c>
      <c r="G2269" s="3">
        <v>360.62</v>
      </c>
      <c r="H2269" s="3">
        <v>186.02</v>
      </c>
      <c r="I2269" s="3">
        <v>303.14</v>
      </c>
      <c r="J2269" s="3">
        <v>116.87</v>
      </c>
      <c r="K2269" s="3">
        <v>213.75</v>
      </c>
      <c r="L2269" s="3"/>
      <c r="N2269" s="4"/>
    </row>
    <row r="2270" spans="1:14" ht="17.5" thickBot="1" x14ac:dyDescent="0.45">
      <c r="A2270" s="4">
        <v>45127</v>
      </c>
      <c r="B2270" s="3">
        <v>126.11</v>
      </c>
      <c r="C2270" s="3">
        <v>317.26</v>
      </c>
      <c r="D2270" s="3">
        <v>108.25</v>
      </c>
      <c r="E2270" s="3">
        <v>1.3593</v>
      </c>
      <c r="F2270" s="3">
        <v>281.49</v>
      </c>
      <c r="G2270" s="3">
        <v>358.75</v>
      </c>
      <c r="H2270" s="3">
        <v>185.31</v>
      </c>
      <c r="I2270" s="3">
        <v>301.35000000000002</v>
      </c>
      <c r="J2270" s="3">
        <v>116.87</v>
      </c>
      <c r="K2270" s="3">
        <v>212.91</v>
      </c>
      <c r="L2270" s="3"/>
      <c r="N2270" s="4"/>
    </row>
    <row r="2271" spans="1:14" ht="17.5" thickBot="1" x14ac:dyDescent="0.45">
      <c r="A2271" s="4">
        <v>45128</v>
      </c>
      <c r="B2271" s="3">
        <v>127.29</v>
      </c>
      <c r="C2271" s="3">
        <v>315.39999999999998</v>
      </c>
      <c r="D2271" s="3">
        <v>107.79</v>
      </c>
      <c r="E2271" s="3">
        <v>1.3595999999999999</v>
      </c>
      <c r="F2271" s="3">
        <v>281.58999999999997</v>
      </c>
      <c r="G2271" s="3">
        <v>358.65</v>
      </c>
      <c r="H2271" s="3">
        <v>185.34</v>
      </c>
      <c r="I2271" s="3">
        <v>301.45</v>
      </c>
      <c r="J2271" s="3">
        <v>116.87</v>
      </c>
      <c r="K2271" s="3">
        <v>212.9</v>
      </c>
      <c r="L2271" s="3"/>
      <c r="N2271" s="4"/>
    </row>
    <row r="2272" spans="1:14" ht="17.5" thickBot="1" x14ac:dyDescent="0.45">
      <c r="A2272" s="4">
        <v>45129</v>
      </c>
      <c r="B2272" s="3">
        <v>127.29</v>
      </c>
      <c r="C2272" s="3">
        <v>315.39999999999998</v>
      </c>
      <c r="D2272" s="3">
        <v>107.79</v>
      </c>
      <c r="E2272" s="3">
        <v>1.3595999999999999</v>
      </c>
      <c r="F2272" s="3">
        <v>281.58999999999997</v>
      </c>
      <c r="G2272" s="3">
        <v>358.65</v>
      </c>
      <c r="H2272" s="3">
        <v>185.34</v>
      </c>
      <c r="I2272" s="3">
        <v>301.45</v>
      </c>
      <c r="J2272" s="3">
        <v>116.88</v>
      </c>
      <c r="K2272" s="3">
        <v>212.9</v>
      </c>
      <c r="L2272" s="3"/>
      <c r="N2272" s="4"/>
    </row>
    <row r="2273" spans="1:14" ht="17.5" thickBot="1" x14ac:dyDescent="0.45">
      <c r="A2273" s="4">
        <v>45130</v>
      </c>
      <c r="B2273" s="3">
        <v>127.29</v>
      </c>
      <c r="C2273" s="3">
        <v>315.39999999999998</v>
      </c>
      <c r="D2273" s="3">
        <v>107.79</v>
      </c>
      <c r="E2273" s="3">
        <v>1.3595999999999999</v>
      </c>
      <c r="F2273" s="3">
        <v>281.58999999999997</v>
      </c>
      <c r="G2273" s="3">
        <v>358.65</v>
      </c>
      <c r="H2273" s="3">
        <v>185.34</v>
      </c>
      <c r="I2273" s="3">
        <v>301.45</v>
      </c>
      <c r="J2273" s="3">
        <v>116.88</v>
      </c>
      <c r="K2273" s="3">
        <v>212.9</v>
      </c>
      <c r="L2273" s="3"/>
      <c r="N2273" s="4"/>
    </row>
    <row r="2274" spans="1:14" ht="17.5" thickBot="1" x14ac:dyDescent="0.45">
      <c r="A2274" s="4">
        <v>45131</v>
      </c>
      <c r="B2274" s="3">
        <v>124.49</v>
      </c>
      <c r="C2274" s="3">
        <v>315.07</v>
      </c>
      <c r="D2274" s="3">
        <v>107.85</v>
      </c>
      <c r="E2274" s="3">
        <v>1.3612</v>
      </c>
      <c r="F2274" s="3">
        <v>280.70999999999998</v>
      </c>
      <c r="G2274" s="3">
        <v>359.67</v>
      </c>
      <c r="H2274" s="3">
        <v>185.08</v>
      </c>
      <c r="I2274" s="3">
        <v>302.68</v>
      </c>
      <c r="J2274" s="3">
        <v>116.88</v>
      </c>
      <c r="K2274" s="3">
        <v>212.52</v>
      </c>
      <c r="L2274" s="3"/>
      <c r="N2274" s="4"/>
    </row>
    <row r="2275" spans="1:14" ht="17.5" thickBot="1" x14ac:dyDescent="0.45">
      <c r="A2275" s="4">
        <v>45132</v>
      </c>
      <c r="B2275" s="3">
        <v>129.49</v>
      </c>
      <c r="C2275" s="3">
        <v>317.86</v>
      </c>
      <c r="D2275" s="3">
        <v>107.83</v>
      </c>
      <c r="E2275" s="3">
        <v>1.3640000000000001</v>
      </c>
      <c r="F2275" s="3">
        <v>284.33999999999997</v>
      </c>
      <c r="G2275" s="3">
        <v>360.9</v>
      </c>
      <c r="H2275" s="3">
        <v>186.18</v>
      </c>
      <c r="I2275" s="3">
        <v>303.52</v>
      </c>
      <c r="J2275" s="3">
        <v>116.89</v>
      </c>
      <c r="K2275" s="3">
        <v>213.98</v>
      </c>
      <c r="L2275" s="3"/>
      <c r="N2275" s="4"/>
    </row>
    <row r="2276" spans="1:14" ht="17.5" thickBot="1" x14ac:dyDescent="0.45">
      <c r="A2276" s="4">
        <v>45133</v>
      </c>
      <c r="B2276" s="3">
        <v>129.08000000000001</v>
      </c>
      <c r="C2276" s="3">
        <v>318.01</v>
      </c>
      <c r="D2276" s="3">
        <v>107.76</v>
      </c>
      <c r="E2276" s="3">
        <v>1.3627</v>
      </c>
      <c r="F2276" s="3">
        <v>283.64999999999998</v>
      </c>
      <c r="G2276" s="3">
        <v>360.48</v>
      </c>
      <c r="H2276" s="3">
        <v>185.95</v>
      </c>
      <c r="I2276" s="3">
        <v>303.3</v>
      </c>
      <c r="J2276" s="3">
        <v>116.89</v>
      </c>
      <c r="K2276" s="3">
        <v>213.66</v>
      </c>
      <c r="L2276" s="3"/>
      <c r="N2276" s="4"/>
    </row>
    <row r="2277" spans="1:14" ht="17.5" thickBot="1" x14ac:dyDescent="0.45">
      <c r="A2277" s="4">
        <v>45134</v>
      </c>
      <c r="B2277" s="3">
        <v>130.82</v>
      </c>
      <c r="C2277" s="3">
        <v>317.93</v>
      </c>
      <c r="D2277" s="3">
        <v>107.88</v>
      </c>
      <c r="E2277" s="3">
        <v>1.3592</v>
      </c>
      <c r="F2277" s="3">
        <v>284.58999999999997</v>
      </c>
      <c r="G2277" s="3">
        <v>358.35</v>
      </c>
      <c r="H2277" s="3">
        <v>186.09</v>
      </c>
      <c r="I2277" s="3">
        <v>301.20999999999998</v>
      </c>
      <c r="J2277" s="3">
        <v>116.9</v>
      </c>
      <c r="K2277" s="3">
        <v>213.76</v>
      </c>
      <c r="L2277" s="3"/>
      <c r="N2277" s="4"/>
    </row>
    <row r="2278" spans="1:14" ht="17.5" thickBot="1" x14ac:dyDescent="0.45">
      <c r="A2278" s="4">
        <v>45135</v>
      </c>
      <c r="B2278" s="3">
        <v>132.72</v>
      </c>
      <c r="C2278" s="3">
        <v>317.7</v>
      </c>
      <c r="D2278" s="3">
        <v>107.35</v>
      </c>
      <c r="E2278" s="3">
        <v>1.3648</v>
      </c>
      <c r="F2278" s="3">
        <v>286.81</v>
      </c>
      <c r="G2278" s="3">
        <v>361.38</v>
      </c>
      <c r="H2278" s="3">
        <v>186.96</v>
      </c>
      <c r="I2278" s="3">
        <v>304</v>
      </c>
      <c r="J2278" s="3">
        <v>116.9</v>
      </c>
      <c r="K2278" s="3">
        <v>214.89</v>
      </c>
      <c r="L2278" s="3"/>
      <c r="N2278" s="4"/>
    </row>
    <row r="2279" spans="1:14" ht="17.5" thickBot="1" x14ac:dyDescent="0.45">
      <c r="A2279" s="4">
        <v>45136</v>
      </c>
      <c r="B2279" s="3">
        <v>132.72</v>
      </c>
      <c r="C2279" s="3">
        <v>317.7</v>
      </c>
      <c r="D2279" s="3">
        <v>107.35</v>
      </c>
      <c r="E2279" s="3">
        <v>1.3648</v>
      </c>
      <c r="F2279" s="3">
        <v>286.81</v>
      </c>
      <c r="G2279" s="3">
        <v>361.38</v>
      </c>
      <c r="H2279" s="3">
        <v>186.96</v>
      </c>
      <c r="I2279" s="3">
        <v>304</v>
      </c>
      <c r="J2279" s="3">
        <v>116.9</v>
      </c>
      <c r="K2279" s="3">
        <v>214.89</v>
      </c>
      <c r="L2279" s="3"/>
      <c r="N2279" s="4"/>
    </row>
    <row r="2280" spans="1:14" ht="17.5" thickBot="1" x14ac:dyDescent="0.45">
      <c r="A2280" s="4">
        <v>45137</v>
      </c>
      <c r="B2280" s="3">
        <v>132.72</v>
      </c>
      <c r="C2280" s="3">
        <v>317.7</v>
      </c>
      <c r="D2280" s="3">
        <v>107.35</v>
      </c>
      <c r="E2280" s="3">
        <v>1.3648</v>
      </c>
      <c r="F2280" s="3">
        <v>286.81</v>
      </c>
      <c r="G2280" s="3">
        <v>361.38</v>
      </c>
      <c r="H2280" s="3">
        <v>186.96</v>
      </c>
      <c r="I2280" s="3">
        <v>304</v>
      </c>
      <c r="J2280" s="3">
        <v>116.9</v>
      </c>
      <c r="K2280" s="3">
        <v>214.89</v>
      </c>
      <c r="L2280" s="3"/>
      <c r="N2280" s="4"/>
    </row>
    <row r="2281" spans="1:14" ht="17.5" thickBot="1" x14ac:dyDescent="0.45">
      <c r="A2281" s="4">
        <v>45138</v>
      </c>
      <c r="B2281" s="3">
        <v>133.52000000000001</v>
      </c>
      <c r="C2281" s="3">
        <v>317.92</v>
      </c>
      <c r="D2281" s="3">
        <v>107.67</v>
      </c>
      <c r="E2281" s="3">
        <v>1.3669</v>
      </c>
      <c r="F2281" s="3">
        <v>287.91000000000003</v>
      </c>
      <c r="G2281" s="3">
        <v>362.25</v>
      </c>
      <c r="H2281" s="3">
        <v>187.39</v>
      </c>
      <c r="I2281" s="3">
        <v>304.67</v>
      </c>
      <c r="J2281" s="3">
        <v>116.98</v>
      </c>
      <c r="K2281" s="3">
        <v>215.31</v>
      </c>
      <c r="L2281" s="3"/>
      <c r="N2281" s="4"/>
    </row>
    <row r="2282" spans="1:14" ht="17.5" thickBot="1" x14ac:dyDescent="0.45">
      <c r="A2282" s="4">
        <v>45139</v>
      </c>
      <c r="B2282" s="3">
        <v>133.43</v>
      </c>
      <c r="C2282" s="3">
        <v>317.44</v>
      </c>
      <c r="D2282" s="3">
        <v>107.33</v>
      </c>
      <c r="E2282" s="3">
        <v>1.3603000000000001</v>
      </c>
      <c r="F2282" s="3">
        <v>286.37</v>
      </c>
      <c r="G2282" s="3">
        <v>361.54</v>
      </c>
      <c r="H2282" s="3">
        <v>186.52</v>
      </c>
      <c r="I2282" s="3">
        <v>303.64999999999998</v>
      </c>
      <c r="J2282" s="3">
        <v>116.98</v>
      </c>
      <c r="K2282" s="3">
        <v>214.17</v>
      </c>
      <c r="L2282" s="3"/>
      <c r="N2282" s="4"/>
    </row>
    <row r="2283" spans="1:14" ht="17.5" thickBot="1" x14ac:dyDescent="0.45">
      <c r="A2283" s="4">
        <v>45140</v>
      </c>
      <c r="B2283" s="3">
        <v>129.91</v>
      </c>
      <c r="C2283" s="3">
        <v>310.39</v>
      </c>
      <c r="D2283" s="3">
        <v>106.87</v>
      </c>
      <c r="E2283" s="3">
        <v>1.3472999999999999</v>
      </c>
      <c r="F2283" s="3">
        <v>281.33999999999997</v>
      </c>
      <c r="G2283" s="3">
        <v>357.12</v>
      </c>
      <c r="H2283" s="3">
        <v>184.62</v>
      </c>
      <c r="I2283" s="3">
        <v>299.55</v>
      </c>
      <c r="J2283" s="3">
        <v>116.99</v>
      </c>
      <c r="K2283" s="3">
        <v>211.81</v>
      </c>
      <c r="L2283" s="3"/>
      <c r="N2283" s="4"/>
    </row>
    <row r="2284" spans="1:14" ht="17.5" thickBot="1" x14ac:dyDescent="0.45">
      <c r="A2284" s="4">
        <v>45141</v>
      </c>
      <c r="B2284" s="3">
        <v>129.30000000000001</v>
      </c>
      <c r="C2284" s="3">
        <v>309</v>
      </c>
      <c r="D2284" s="3">
        <v>106.57</v>
      </c>
      <c r="E2284" s="3">
        <v>1.3429</v>
      </c>
      <c r="F2284" s="3">
        <v>280.33</v>
      </c>
      <c r="G2284" s="3">
        <v>356.32</v>
      </c>
      <c r="H2284" s="3">
        <v>184.02</v>
      </c>
      <c r="I2284" s="3">
        <v>298.81</v>
      </c>
      <c r="J2284" s="3">
        <v>116.99</v>
      </c>
      <c r="K2284" s="3">
        <v>211.08</v>
      </c>
      <c r="L2284" s="3"/>
      <c r="N2284" s="4"/>
    </row>
    <row r="2285" spans="1:14" ht="17.5" thickBot="1" x14ac:dyDescent="0.45">
      <c r="A2285" s="4">
        <v>45142</v>
      </c>
      <c r="B2285" s="3">
        <v>130.19999999999999</v>
      </c>
      <c r="C2285" s="3">
        <v>309.81</v>
      </c>
      <c r="D2285" s="3">
        <v>106.54</v>
      </c>
      <c r="E2285" s="3">
        <v>1.3448</v>
      </c>
      <c r="F2285" s="3">
        <v>281.58</v>
      </c>
      <c r="G2285" s="3">
        <v>354.04</v>
      </c>
      <c r="H2285" s="3">
        <v>184.89</v>
      </c>
      <c r="I2285" s="3">
        <v>297.52</v>
      </c>
      <c r="J2285" s="3">
        <v>117.05</v>
      </c>
      <c r="K2285" s="3">
        <v>212.17</v>
      </c>
      <c r="L2285" s="3"/>
      <c r="N2285" s="4"/>
    </row>
    <row r="2286" spans="1:14" ht="17.5" thickBot="1" x14ac:dyDescent="0.45">
      <c r="A2286" s="4">
        <v>45143</v>
      </c>
      <c r="B2286" s="3">
        <v>130.19999999999999</v>
      </c>
      <c r="C2286" s="3">
        <v>309.81</v>
      </c>
      <c r="D2286" s="3">
        <v>106.54</v>
      </c>
      <c r="E2286" s="3">
        <v>1.3448</v>
      </c>
      <c r="F2286" s="3">
        <v>281.58</v>
      </c>
      <c r="G2286" s="3">
        <v>354.04</v>
      </c>
      <c r="H2286" s="3">
        <v>184.89</v>
      </c>
      <c r="I2286" s="3">
        <v>297.52</v>
      </c>
      <c r="J2286" s="3">
        <v>117.05</v>
      </c>
      <c r="K2286" s="3">
        <v>212.17</v>
      </c>
      <c r="L2286" s="3"/>
      <c r="N2286" s="4"/>
    </row>
    <row r="2287" spans="1:14" ht="17.5" thickBot="1" x14ac:dyDescent="0.45">
      <c r="A2287" s="4">
        <v>45144</v>
      </c>
      <c r="B2287" s="3">
        <v>130.19999999999999</v>
      </c>
      <c r="C2287" s="3">
        <v>309.81</v>
      </c>
      <c r="D2287" s="3">
        <v>106.54</v>
      </c>
      <c r="E2287" s="3">
        <v>1.3448</v>
      </c>
      <c r="F2287" s="3">
        <v>281.58</v>
      </c>
      <c r="G2287" s="3">
        <v>354.04</v>
      </c>
      <c r="H2287" s="3">
        <v>184.89</v>
      </c>
      <c r="I2287" s="3">
        <v>297.52</v>
      </c>
      <c r="J2287" s="3">
        <v>117.05</v>
      </c>
      <c r="K2287" s="3">
        <v>212.17</v>
      </c>
      <c r="L2287" s="3"/>
      <c r="N2287" s="4"/>
    </row>
    <row r="2288" spans="1:14" ht="17.5" thickBot="1" x14ac:dyDescent="0.45">
      <c r="A2288" s="4">
        <v>45145</v>
      </c>
      <c r="B2288" s="3">
        <v>130.18</v>
      </c>
      <c r="C2288" s="3">
        <v>310.13</v>
      </c>
      <c r="D2288" s="3">
        <v>106.7</v>
      </c>
      <c r="E2288" s="3">
        <v>1.3481000000000001</v>
      </c>
      <c r="F2288" s="3">
        <v>281.63</v>
      </c>
      <c r="G2288" s="3">
        <v>357.17</v>
      </c>
      <c r="H2288" s="3">
        <v>184.82</v>
      </c>
      <c r="I2288" s="3">
        <v>300.05</v>
      </c>
      <c r="J2288" s="3">
        <v>117.05</v>
      </c>
      <c r="K2288" s="3">
        <v>212.02</v>
      </c>
      <c r="L2288" s="3"/>
      <c r="N2288" s="4"/>
    </row>
    <row r="2289" spans="1:14" ht="17.5" thickBot="1" x14ac:dyDescent="0.45">
      <c r="A2289" s="4">
        <v>45146</v>
      </c>
      <c r="B2289" s="3">
        <v>127.9</v>
      </c>
      <c r="C2289" s="3">
        <v>307.01</v>
      </c>
      <c r="D2289" s="3">
        <v>106.66</v>
      </c>
      <c r="E2289" s="3">
        <v>1.3465</v>
      </c>
      <c r="F2289" s="3">
        <v>279</v>
      </c>
      <c r="G2289" s="3">
        <v>355.38</v>
      </c>
      <c r="H2289" s="3">
        <v>184.1</v>
      </c>
      <c r="I2289" s="3">
        <v>298.86</v>
      </c>
      <c r="J2289" s="3">
        <v>117.06</v>
      </c>
      <c r="K2289" s="3">
        <v>211.1</v>
      </c>
      <c r="L2289" s="3"/>
      <c r="N2289" s="4"/>
    </row>
    <row r="2290" spans="1:14" ht="17.5" thickBot="1" x14ac:dyDescent="0.45">
      <c r="A2290" s="4">
        <v>45147</v>
      </c>
      <c r="B2290" s="3">
        <v>128.35</v>
      </c>
      <c r="C2290" s="3">
        <v>307.97000000000003</v>
      </c>
      <c r="D2290" s="3">
        <v>106.83</v>
      </c>
      <c r="E2290" s="3">
        <v>1.3451</v>
      </c>
      <c r="F2290" s="3">
        <v>279.58999999999997</v>
      </c>
      <c r="G2290" s="3">
        <v>353.48</v>
      </c>
      <c r="H2290" s="3">
        <v>184.44</v>
      </c>
      <c r="I2290" s="3">
        <v>297.07</v>
      </c>
      <c r="J2290" s="3">
        <v>117.06</v>
      </c>
      <c r="K2290" s="3">
        <v>211.49</v>
      </c>
      <c r="L2290" s="3"/>
      <c r="N2290" s="4"/>
    </row>
    <row r="2291" spans="1:14" ht="17.5" thickBot="1" x14ac:dyDescent="0.45">
      <c r="A2291" s="4">
        <v>45148</v>
      </c>
      <c r="B2291" s="3">
        <v>128.53</v>
      </c>
      <c r="C2291" s="3">
        <v>307.5</v>
      </c>
      <c r="D2291" s="3">
        <v>106.74</v>
      </c>
      <c r="E2291" s="3">
        <v>1.3452999999999999</v>
      </c>
      <c r="F2291" s="3">
        <v>280.19</v>
      </c>
      <c r="G2291" s="3">
        <v>353.66</v>
      </c>
      <c r="H2291" s="3">
        <v>184.46</v>
      </c>
      <c r="I2291" s="3">
        <v>297.18</v>
      </c>
      <c r="J2291" s="3">
        <v>117.11</v>
      </c>
      <c r="K2291" s="3">
        <v>211.53</v>
      </c>
      <c r="L2291" s="3"/>
      <c r="N2291" s="4"/>
    </row>
    <row r="2292" spans="1:14" ht="17.5" thickBot="1" x14ac:dyDescent="0.45">
      <c r="A2292" s="4">
        <v>45149</v>
      </c>
      <c r="B2292" s="3">
        <v>127.44</v>
      </c>
      <c r="C2292" s="3">
        <v>305.60000000000002</v>
      </c>
      <c r="D2292" s="3">
        <v>106.39</v>
      </c>
      <c r="E2292" s="3">
        <v>1.3396999999999999</v>
      </c>
      <c r="F2292" s="3">
        <v>277.83</v>
      </c>
      <c r="G2292" s="3">
        <v>353.33</v>
      </c>
      <c r="H2292" s="3">
        <v>183.23</v>
      </c>
      <c r="I2292" s="3">
        <v>296.91000000000003</v>
      </c>
      <c r="J2292" s="3">
        <v>117.11</v>
      </c>
      <c r="K2292" s="3">
        <v>210.07</v>
      </c>
      <c r="L2292" s="3"/>
      <c r="N2292" s="4"/>
    </row>
    <row r="2293" spans="1:14" ht="17.5" thickBot="1" x14ac:dyDescent="0.45">
      <c r="A2293" s="4">
        <v>45150</v>
      </c>
      <c r="B2293" s="3">
        <v>127.44</v>
      </c>
      <c r="C2293" s="3">
        <v>305.60000000000002</v>
      </c>
      <c r="D2293" s="3">
        <v>106.39</v>
      </c>
      <c r="E2293" s="3">
        <v>1.3396999999999999</v>
      </c>
      <c r="F2293" s="3">
        <v>277.83</v>
      </c>
      <c r="G2293" s="3">
        <v>353.33</v>
      </c>
      <c r="H2293" s="3">
        <v>183.23</v>
      </c>
      <c r="I2293" s="3">
        <v>296.91000000000003</v>
      </c>
      <c r="J2293" s="3">
        <v>117.11</v>
      </c>
      <c r="K2293" s="3">
        <v>210.07</v>
      </c>
      <c r="L2293" s="3"/>
      <c r="N2293" s="4"/>
    </row>
    <row r="2294" spans="1:14" ht="17.5" thickBot="1" x14ac:dyDescent="0.45">
      <c r="A2294" s="4">
        <v>45151</v>
      </c>
      <c r="B2294" s="3">
        <v>127.44</v>
      </c>
      <c r="C2294" s="3">
        <v>305.60000000000002</v>
      </c>
      <c r="D2294" s="3">
        <v>106.39</v>
      </c>
      <c r="E2294" s="3">
        <v>1.3396999999999999</v>
      </c>
      <c r="F2294" s="3">
        <v>277.83</v>
      </c>
      <c r="G2294" s="3">
        <v>353.33</v>
      </c>
      <c r="H2294" s="3">
        <v>183.23</v>
      </c>
      <c r="I2294" s="3">
        <v>296.91000000000003</v>
      </c>
      <c r="J2294" s="3">
        <v>117.11</v>
      </c>
      <c r="K2294" s="3">
        <v>210.07</v>
      </c>
      <c r="L2294" s="3"/>
      <c r="N2294" s="4"/>
    </row>
    <row r="2295" spans="1:14" ht="17.5" thickBot="1" x14ac:dyDescent="0.45">
      <c r="A2295" s="4">
        <v>45152</v>
      </c>
      <c r="B2295" s="3">
        <v>125.39</v>
      </c>
      <c r="C2295" s="3">
        <v>302.01</v>
      </c>
      <c r="D2295" s="3">
        <v>105.92</v>
      </c>
      <c r="E2295" s="3">
        <v>1.339</v>
      </c>
      <c r="F2295" s="3">
        <v>275.74</v>
      </c>
      <c r="G2295" s="3">
        <v>355.29</v>
      </c>
      <c r="H2295" s="3">
        <v>182.25</v>
      </c>
      <c r="I2295" s="3">
        <v>298.55</v>
      </c>
      <c r="J2295" s="3">
        <v>117.12</v>
      </c>
      <c r="K2295" s="3">
        <v>208.89</v>
      </c>
      <c r="L2295" s="3"/>
      <c r="N2295" s="4"/>
    </row>
    <row r="2296" spans="1:14" ht="17.5" thickBot="1" x14ac:dyDescent="0.45">
      <c r="A2296" s="4">
        <v>45153</v>
      </c>
      <c r="B2296" s="3">
        <v>124.15</v>
      </c>
      <c r="C2296" s="3">
        <v>301.52999999999997</v>
      </c>
      <c r="D2296" s="3">
        <v>105.74</v>
      </c>
      <c r="E2296" s="3">
        <v>1.3315999999999999</v>
      </c>
      <c r="F2296" s="3">
        <v>274.25</v>
      </c>
      <c r="G2296" s="3">
        <v>351.06</v>
      </c>
      <c r="H2296" s="3">
        <v>181.61</v>
      </c>
      <c r="I2296" s="3">
        <v>295.29000000000002</v>
      </c>
      <c r="J2296" s="3">
        <v>117.17</v>
      </c>
      <c r="K2296" s="3">
        <v>208.11</v>
      </c>
      <c r="L2296" s="3"/>
      <c r="N2296" s="4"/>
    </row>
    <row r="2297" spans="1:14" ht="17.5" thickBot="1" x14ac:dyDescent="0.45">
      <c r="A2297" s="4">
        <v>45154</v>
      </c>
      <c r="B2297" s="3">
        <v>122.46</v>
      </c>
      <c r="C2297" s="3">
        <v>298.77</v>
      </c>
      <c r="D2297" s="3">
        <v>105.72</v>
      </c>
      <c r="E2297" s="3">
        <v>1.3260000000000001</v>
      </c>
      <c r="F2297" s="3">
        <v>272.07</v>
      </c>
      <c r="G2297" s="3">
        <v>348.8</v>
      </c>
      <c r="H2297" s="3">
        <v>180.77</v>
      </c>
      <c r="I2297" s="3">
        <v>293.22000000000003</v>
      </c>
      <c r="J2297" s="3">
        <v>117.17</v>
      </c>
      <c r="K2297" s="3">
        <v>207.07</v>
      </c>
      <c r="L2297" s="3"/>
      <c r="N2297" s="4"/>
    </row>
    <row r="2298" spans="1:14" ht="17.5" thickBot="1" x14ac:dyDescent="0.45">
      <c r="A2298" s="4">
        <v>45155</v>
      </c>
      <c r="B2298" s="3">
        <v>122.64</v>
      </c>
      <c r="C2298" s="3">
        <v>298.12</v>
      </c>
      <c r="D2298" s="3">
        <v>105.22</v>
      </c>
      <c r="E2298" s="3">
        <v>1.319</v>
      </c>
      <c r="F2298" s="3">
        <v>271.17</v>
      </c>
      <c r="G2298" s="3">
        <v>346.15</v>
      </c>
      <c r="H2298" s="3">
        <v>180.29</v>
      </c>
      <c r="I2298" s="3">
        <v>291.01</v>
      </c>
      <c r="J2298" s="3">
        <v>117.17</v>
      </c>
      <c r="K2298" s="3">
        <v>206.47</v>
      </c>
      <c r="L2298" s="3"/>
      <c r="N2298" s="4"/>
    </row>
    <row r="2299" spans="1:14" ht="17.5" thickBot="1" x14ac:dyDescent="0.45">
      <c r="A2299" s="4">
        <v>45156</v>
      </c>
      <c r="B2299" s="3">
        <v>120.05</v>
      </c>
      <c r="C2299" s="3">
        <v>295.94</v>
      </c>
      <c r="D2299" s="3">
        <v>105.47</v>
      </c>
      <c r="E2299" s="3">
        <v>1.3186</v>
      </c>
      <c r="F2299" s="3">
        <v>269.06</v>
      </c>
      <c r="G2299" s="3">
        <v>346.44</v>
      </c>
      <c r="H2299" s="3">
        <v>179.61</v>
      </c>
      <c r="I2299" s="3">
        <v>291.08999999999997</v>
      </c>
      <c r="J2299" s="3">
        <v>117.18</v>
      </c>
      <c r="K2299" s="3">
        <v>205.68</v>
      </c>
      <c r="L2299" s="3"/>
      <c r="N2299" s="4"/>
    </row>
    <row r="2300" spans="1:14" ht="17.5" thickBot="1" x14ac:dyDescent="0.45">
      <c r="A2300" s="4">
        <v>45157</v>
      </c>
      <c r="B2300" s="3">
        <v>120.05</v>
      </c>
      <c r="C2300" s="3">
        <v>295.94</v>
      </c>
      <c r="D2300" s="3">
        <v>105.47</v>
      </c>
      <c r="E2300" s="3">
        <v>1.3186</v>
      </c>
      <c r="F2300" s="3">
        <v>269.06</v>
      </c>
      <c r="G2300" s="3">
        <v>346.44</v>
      </c>
      <c r="H2300" s="3">
        <v>179.61</v>
      </c>
      <c r="I2300" s="3">
        <v>291.08999999999997</v>
      </c>
      <c r="J2300" s="3">
        <v>117.18</v>
      </c>
      <c r="K2300" s="3">
        <v>205.68</v>
      </c>
      <c r="L2300" s="3"/>
      <c r="N2300" s="4"/>
    </row>
    <row r="2301" spans="1:14" ht="17.5" thickBot="1" x14ac:dyDescent="0.45">
      <c r="A2301" s="4">
        <v>45158</v>
      </c>
      <c r="B2301" s="3">
        <v>120.05</v>
      </c>
      <c r="C2301" s="3">
        <v>295.94</v>
      </c>
      <c r="D2301" s="3">
        <v>105.47</v>
      </c>
      <c r="E2301" s="3">
        <v>1.3186</v>
      </c>
      <c r="F2301" s="3">
        <v>269.06</v>
      </c>
      <c r="G2301" s="3">
        <v>346.44</v>
      </c>
      <c r="H2301" s="3">
        <v>179.61</v>
      </c>
      <c r="I2301" s="3">
        <v>291.08999999999997</v>
      </c>
      <c r="J2301" s="3">
        <v>117.18</v>
      </c>
      <c r="K2301" s="3">
        <v>205.68</v>
      </c>
      <c r="L2301" s="3"/>
      <c r="N2301" s="4"/>
    </row>
    <row r="2302" spans="1:14" ht="17.5" thickBot="1" x14ac:dyDescent="0.45">
      <c r="A2302" s="4">
        <v>45159</v>
      </c>
      <c r="B2302" s="3">
        <v>117.92</v>
      </c>
      <c r="C2302" s="3">
        <v>294.08999999999997</v>
      </c>
      <c r="D2302" s="3">
        <v>105.34</v>
      </c>
      <c r="E2302" s="3">
        <v>1.32</v>
      </c>
      <c r="F2302" s="3">
        <v>267.79000000000002</v>
      </c>
      <c r="G2302" s="3">
        <v>349.13</v>
      </c>
      <c r="H2302" s="3">
        <v>178.79</v>
      </c>
      <c r="I2302" s="3">
        <v>293.18</v>
      </c>
      <c r="J2302" s="3">
        <v>117.23</v>
      </c>
      <c r="K2302" s="3">
        <v>204.77</v>
      </c>
      <c r="L2302" s="3"/>
      <c r="N2302" s="4"/>
    </row>
    <row r="2303" spans="1:14" ht="17.5" thickBot="1" x14ac:dyDescent="0.45">
      <c r="A2303" s="4">
        <v>45160</v>
      </c>
      <c r="B2303" s="3">
        <v>119.02</v>
      </c>
      <c r="C2303" s="3">
        <v>296.5</v>
      </c>
      <c r="D2303" s="3">
        <v>105.42</v>
      </c>
      <c r="E2303" s="3">
        <v>1.3211999999999999</v>
      </c>
      <c r="F2303" s="3">
        <v>269.37</v>
      </c>
      <c r="G2303" s="3">
        <v>348.37</v>
      </c>
      <c r="H2303" s="3">
        <v>179.44</v>
      </c>
      <c r="I2303" s="3">
        <v>292.35000000000002</v>
      </c>
      <c r="J2303" s="3">
        <v>117.23</v>
      </c>
      <c r="K2303" s="3">
        <v>205.55</v>
      </c>
      <c r="L2303" s="3"/>
      <c r="N2303" s="4"/>
    </row>
    <row r="2304" spans="1:14" ht="17.5" thickBot="1" x14ac:dyDescent="0.45">
      <c r="A2304" s="4">
        <v>45161</v>
      </c>
      <c r="B2304" s="3">
        <v>119.57</v>
      </c>
      <c r="C2304" s="3">
        <v>298.48</v>
      </c>
      <c r="D2304" s="3">
        <v>105.72</v>
      </c>
      <c r="E2304" s="3">
        <v>1.3323</v>
      </c>
      <c r="F2304" s="3">
        <v>270.91000000000003</v>
      </c>
      <c r="G2304" s="3">
        <v>352</v>
      </c>
      <c r="H2304" s="3">
        <v>180.43</v>
      </c>
      <c r="I2304" s="3">
        <v>295.66000000000003</v>
      </c>
      <c r="J2304" s="3">
        <v>117.23</v>
      </c>
      <c r="K2304" s="3">
        <v>206.77</v>
      </c>
      <c r="L2304" s="3"/>
      <c r="N2304" s="4"/>
    </row>
    <row r="2305" spans="1:14" ht="17.5" thickBot="1" x14ac:dyDescent="0.45">
      <c r="A2305" s="4">
        <v>45162</v>
      </c>
      <c r="B2305" s="3">
        <v>121.87</v>
      </c>
      <c r="C2305" s="3">
        <v>301.61</v>
      </c>
      <c r="D2305" s="3">
        <v>105.96</v>
      </c>
      <c r="E2305" s="3">
        <v>1.3255999999999999</v>
      </c>
      <c r="F2305" s="3">
        <v>272.11</v>
      </c>
      <c r="G2305" s="3">
        <v>347.44</v>
      </c>
      <c r="H2305" s="3">
        <v>181.05</v>
      </c>
      <c r="I2305" s="3">
        <v>291.70999999999998</v>
      </c>
      <c r="J2305" s="3">
        <v>117.23</v>
      </c>
      <c r="K2305" s="3">
        <v>207.37</v>
      </c>
      <c r="L2305" s="3"/>
      <c r="N2305" s="4"/>
    </row>
    <row r="2306" spans="1:14" ht="17.5" thickBot="1" x14ac:dyDescent="0.45">
      <c r="A2306" s="4">
        <v>45163</v>
      </c>
      <c r="B2306" s="3">
        <v>120.21</v>
      </c>
      <c r="C2306" s="3">
        <v>296.87</v>
      </c>
      <c r="D2306" s="3">
        <v>105.79</v>
      </c>
      <c r="E2306" s="3">
        <v>1.3257000000000001</v>
      </c>
      <c r="F2306" s="3">
        <v>269.83</v>
      </c>
      <c r="G2306" s="3">
        <v>349.7</v>
      </c>
      <c r="H2306" s="3">
        <v>179.99</v>
      </c>
      <c r="I2306" s="3">
        <v>293.7</v>
      </c>
      <c r="J2306" s="3">
        <v>117.24</v>
      </c>
      <c r="K2306" s="3">
        <v>206.1</v>
      </c>
      <c r="L2306" s="3"/>
      <c r="N2306" s="4"/>
    </row>
    <row r="2307" spans="1:14" ht="17.5" thickBot="1" x14ac:dyDescent="0.45">
      <c r="A2307" s="4">
        <v>45164</v>
      </c>
      <c r="B2307" s="3">
        <v>120.21</v>
      </c>
      <c r="C2307" s="3">
        <v>296.87</v>
      </c>
      <c r="D2307" s="3">
        <v>105.79</v>
      </c>
      <c r="E2307" s="3">
        <v>1.3257000000000001</v>
      </c>
      <c r="F2307" s="3">
        <v>269.83</v>
      </c>
      <c r="G2307" s="3">
        <v>349.7</v>
      </c>
      <c r="H2307" s="3">
        <v>179.99</v>
      </c>
      <c r="I2307" s="3">
        <v>293.7</v>
      </c>
      <c r="J2307" s="3">
        <v>117.24</v>
      </c>
      <c r="K2307" s="3">
        <v>206.1</v>
      </c>
      <c r="L2307" s="3"/>
      <c r="N2307" s="4"/>
    </row>
    <row r="2308" spans="1:14" ht="17.5" thickBot="1" x14ac:dyDescent="0.45">
      <c r="A2308" s="4">
        <v>45165</v>
      </c>
      <c r="B2308" s="3">
        <v>120.21</v>
      </c>
      <c r="C2308" s="3">
        <v>296.87</v>
      </c>
      <c r="D2308" s="3">
        <v>105.79</v>
      </c>
      <c r="E2308" s="3">
        <v>1.3257000000000001</v>
      </c>
      <c r="F2308" s="3">
        <v>269.83</v>
      </c>
      <c r="G2308" s="3">
        <v>349.7</v>
      </c>
      <c r="H2308" s="3">
        <v>179.99</v>
      </c>
      <c r="I2308" s="3">
        <v>293.7</v>
      </c>
      <c r="J2308" s="3">
        <v>117.24</v>
      </c>
      <c r="K2308" s="3">
        <v>206.1</v>
      </c>
      <c r="L2308" s="3"/>
      <c r="N2308" s="4"/>
    </row>
    <row r="2309" spans="1:14" ht="17.5" thickBot="1" x14ac:dyDescent="0.45">
      <c r="A2309" s="4">
        <v>45166</v>
      </c>
      <c r="B2309" s="3">
        <v>121.16</v>
      </c>
      <c r="C2309" s="3">
        <v>299.14999999999998</v>
      </c>
      <c r="D2309" s="3">
        <v>105.88</v>
      </c>
      <c r="E2309" s="3">
        <v>1.3322000000000001</v>
      </c>
      <c r="F2309" s="3">
        <v>272.16000000000003</v>
      </c>
      <c r="G2309" s="3">
        <v>351.78</v>
      </c>
      <c r="H2309" s="3">
        <v>180.84</v>
      </c>
      <c r="I2309" s="3">
        <v>295.55</v>
      </c>
      <c r="J2309" s="3">
        <v>117.25</v>
      </c>
      <c r="K2309" s="3">
        <v>207.2</v>
      </c>
      <c r="L2309" s="3"/>
      <c r="N2309" s="4"/>
    </row>
    <row r="2310" spans="1:14" ht="17.5" thickBot="1" x14ac:dyDescent="0.45">
      <c r="A2310" s="4">
        <v>45167</v>
      </c>
      <c r="B2310" s="3">
        <v>123.61</v>
      </c>
      <c r="C2310" s="3">
        <v>301.75</v>
      </c>
      <c r="D2310" s="3">
        <v>106.14</v>
      </c>
      <c r="E2310" s="3">
        <v>1.3447</v>
      </c>
      <c r="F2310" s="3">
        <v>275.52999999999997</v>
      </c>
      <c r="G2310" s="3">
        <v>356.96</v>
      </c>
      <c r="H2310" s="3">
        <v>182.34</v>
      </c>
      <c r="I2310" s="3">
        <v>299.79000000000002</v>
      </c>
      <c r="J2310" s="3">
        <v>117.26</v>
      </c>
      <c r="K2310" s="3">
        <v>209.04</v>
      </c>
      <c r="L2310" s="3"/>
      <c r="N2310" s="4"/>
    </row>
    <row r="2311" spans="1:14" ht="17.5" thickBot="1" x14ac:dyDescent="0.45">
      <c r="A2311" s="4">
        <v>45168</v>
      </c>
      <c r="B2311" s="3">
        <v>123.45</v>
      </c>
      <c r="C2311" s="3">
        <v>303.39</v>
      </c>
      <c r="D2311" s="3">
        <v>106.46</v>
      </c>
      <c r="E2311" s="3">
        <v>1.3486</v>
      </c>
      <c r="F2311" s="3">
        <v>276.45</v>
      </c>
      <c r="G2311" s="3">
        <v>358.57</v>
      </c>
      <c r="H2311" s="3">
        <v>182.78</v>
      </c>
      <c r="I2311" s="3">
        <v>301.11</v>
      </c>
      <c r="J2311" s="3">
        <v>117.26</v>
      </c>
      <c r="K2311" s="3">
        <v>209.62</v>
      </c>
      <c r="L2311" s="3"/>
      <c r="N2311" s="4"/>
    </row>
    <row r="2312" spans="1:14" ht="17.5" thickBot="1" x14ac:dyDescent="0.45">
      <c r="A2312" s="4">
        <v>45169</v>
      </c>
      <c r="B2312" s="3">
        <v>122.99</v>
      </c>
      <c r="C2312" s="3">
        <v>303.07</v>
      </c>
      <c r="D2312" s="3">
        <v>106.54</v>
      </c>
      <c r="E2312" s="3">
        <v>1.3472999999999999</v>
      </c>
      <c r="F2312" s="3">
        <v>275.79000000000002</v>
      </c>
      <c r="G2312" s="3">
        <v>357.77</v>
      </c>
      <c r="H2312" s="3">
        <v>182.62</v>
      </c>
      <c r="I2312" s="3">
        <v>300.49</v>
      </c>
      <c r="J2312" s="3">
        <v>117.27</v>
      </c>
      <c r="K2312" s="3">
        <v>209.37</v>
      </c>
      <c r="L2312" s="3"/>
      <c r="N2312" s="4"/>
    </row>
    <row r="2313" spans="1:14" ht="17.5" thickBot="1" x14ac:dyDescent="0.45">
      <c r="A2313" s="4">
        <v>45170</v>
      </c>
      <c r="B2313" s="3">
        <v>122.99</v>
      </c>
      <c r="C2313" s="3">
        <v>303.07</v>
      </c>
      <c r="D2313" s="3">
        <v>106.54</v>
      </c>
      <c r="E2313" s="3">
        <v>1.3472999999999999</v>
      </c>
      <c r="F2313" s="3">
        <v>275.79000000000002</v>
      </c>
      <c r="G2313" s="3">
        <v>357.77</v>
      </c>
      <c r="H2313" s="3">
        <v>182.62</v>
      </c>
      <c r="I2313" s="3">
        <v>300.49</v>
      </c>
      <c r="J2313" s="3">
        <v>117.28</v>
      </c>
      <c r="K2313" s="3">
        <v>209.37</v>
      </c>
      <c r="L2313" s="3"/>
      <c r="N2313" s="4"/>
    </row>
    <row r="2314" spans="1:14" ht="17.5" thickBot="1" x14ac:dyDescent="0.45">
      <c r="A2314" s="4">
        <v>45171</v>
      </c>
      <c r="B2314" s="3">
        <v>122.99</v>
      </c>
      <c r="C2314" s="3">
        <v>303.07</v>
      </c>
      <c r="D2314" s="3">
        <v>106.54</v>
      </c>
      <c r="E2314" s="3">
        <v>1.3472999999999999</v>
      </c>
      <c r="F2314" s="3">
        <v>275.79000000000002</v>
      </c>
      <c r="G2314" s="3">
        <v>357.77</v>
      </c>
      <c r="H2314" s="3">
        <v>182.62</v>
      </c>
      <c r="I2314" s="3">
        <v>300.49</v>
      </c>
      <c r="J2314" s="3">
        <v>117.28</v>
      </c>
      <c r="K2314" s="3">
        <v>209.37</v>
      </c>
      <c r="L2314" s="3"/>
      <c r="N2314" s="4"/>
    </row>
    <row r="2315" spans="1:14" ht="17.5" thickBot="1" x14ac:dyDescent="0.45">
      <c r="A2315" s="4">
        <v>45172</v>
      </c>
      <c r="B2315" s="3">
        <v>122.99</v>
      </c>
      <c r="C2315" s="3">
        <v>303.07</v>
      </c>
      <c r="D2315" s="3">
        <v>106.54</v>
      </c>
      <c r="E2315" s="3">
        <v>1.3472999999999999</v>
      </c>
      <c r="F2315" s="3">
        <v>275.79000000000002</v>
      </c>
      <c r="G2315" s="3">
        <v>357.77</v>
      </c>
      <c r="H2315" s="3">
        <v>182.62</v>
      </c>
      <c r="I2315" s="3">
        <v>300.49</v>
      </c>
      <c r="J2315" s="3">
        <v>117.28</v>
      </c>
      <c r="K2315" s="3">
        <v>209.37</v>
      </c>
      <c r="L2315" s="3"/>
      <c r="N2315" s="4"/>
    </row>
    <row r="2316" spans="1:14" ht="17.5" thickBot="1" x14ac:dyDescent="0.45">
      <c r="A2316" s="4">
        <v>45173</v>
      </c>
      <c r="B2316" s="3">
        <v>126.14</v>
      </c>
      <c r="C2316" s="3">
        <v>307.08</v>
      </c>
      <c r="D2316" s="3">
        <v>106.2</v>
      </c>
      <c r="E2316" s="3">
        <v>1.347</v>
      </c>
      <c r="F2316" s="3">
        <v>278.27999999999997</v>
      </c>
      <c r="G2316" s="3">
        <v>357.93</v>
      </c>
      <c r="H2316" s="3">
        <v>183.04</v>
      </c>
      <c r="I2316" s="3">
        <v>300.91000000000003</v>
      </c>
      <c r="J2316" s="3">
        <v>117.34</v>
      </c>
      <c r="K2316" s="3">
        <v>209.92</v>
      </c>
      <c r="L2316" s="3"/>
      <c r="N2316" s="4"/>
    </row>
    <row r="2317" spans="1:14" ht="17.5" thickBot="1" x14ac:dyDescent="0.45">
      <c r="A2317" s="4">
        <v>45174</v>
      </c>
      <c r="B2317" s="3">
        <v>123.52</v>
      </c>
      <c r="C2317" s="3">
        <v>304.33</v>
      </c>
      <c r="D2317" s="3">
        <v>105.8</v>
      </c>
      <c r="E2317" s="3">
        <v>1.3405</v>
      </c>
      <c r="F2317" s="3">
        <v>275.77</v>
      </c>
      <c r="G2317" s="3">
        <v>356.64</v>
      </c>
      <c r="H2317" s="3">
        <v>181.87</v>
      </c>
      <c r="I2317" s="3">
        <v>299.57</v>
      </c>
      <c r="J2317" s="3">
        <v>117.34</v>
      </c>
      <c r="K2317" s="3">
        <v>208.4</v>
      </c>
      <c r="L2317" s="3"/>
      <c r="N2317" s="4"/>
    </row>
    <row r="2318" spans="1:14" ht="17.5" thickBot="1" x14ac:dyDescent="0.45">
      <c r="A2318" s="4">
        <v>45175</v>
      </c>
      <c r="B2318" s="3">
        <v>123.51</v>
      </c>
      <c r="C2318" s="3">
        <v>304.08999999999997</v>
      </c>
      <c r="D2318" s="3">
        <v>105.65</v>
      </c>
      <c r="E2318" s="3">
        <v>1.3355999999999999</v>
      </c>
      <c r="F2318" s="3">
        <v>275.10000000000002</v>
      </c>
      <c r="G2318" s="3">
        <v>354.27</v>
      </c>
      <c r="H2318" s="3">
        <v>181.55</v>
      </c>
      <c r="I2318" s="3">
        <v>297.66000000000003</v>
      </c>
      <c r="J2318" s="3">
        <v>117.34</v>
      </c>
      <c r="K2318" s="3">
        <v>207.99</v>
      </c>
      <c r="L2318" s="3"/>
      <c r="N2318" s="4"/>
    </row>
    <row r="2319" spans="1:14" ht="17.5" thickBot="1" x14ac:dyDescent="0.45">
      <c r="A2319" s="4">
        <v>45176</v>
      </c>
      <c r="B2319" s="3">
        <v>122.02</v>
      </c>
      <c r="C2319" s="3">
        <v>301.85000000000002</v>
      </c>
      <c r="D2319" s="3">
        <v>105.5</v>
      </c>
      <c r="E2319" s="3">
        <v>1.3333999999999999</v>
      </c>
      <c r="F2319" s="3">
        <v>273.27999999999997</v>
      </c>
      <c r="G2319" s="3">
        <v>352.67</v>
      </c>
      <c r="H2319" s="3">
        <v>180.92</v>
      </c>
      <c r="I2319" s="3">
        <v>296.7</v>
      </c>
      <c r="J2319" s="3">
        <v>117.41</v>
      </c>
      <c r="K2319" s="3">
        <v>207.25</v>
      </c>
      <c r="L2319" s="3"/>
      <c r="N2319" s="4"/>
    </row>
    <row r="2320" spans="1:14" ht="17.5" thickBot="1" x14ac:dyDescent="0.45">
      <c r="A2320" s="4">
        <v>45177</v>
      </c>
      <c r="B2320" s="3">
        <v>122.02</v>
      </c>
      <c r="C2320" s="3">
        <v>301.85000000000002</v>
      </c>
      <c r="D2320" s="3">
        <v>105.5</v>
      </c>
      <c r="E2320" s="3">
        <v>1.3333999999999999</v>
      </c>
      <c r="F2320" s="3">
        <v>273.27999999999997</v>
      </c>
      <c r="G2320" s="3">
        <v>352.67</v>
      </c>
      <c r="H2320" s="3">
        <v>180.92</v>
      </c>
      <c r="I2320" s="3">
        <v>296.7</v>
      </c>
      <c r="J2320" s="3">
        <v>117.41</v>
      </c>
      <c r="K2320" s="3">
        <v>207.25</v>
      </c>
      <c r="L2320" s="3"/>
      <c r="N2320" s="4"/>
    </row>
    <row r="2321" spans="1:14" ht="17.5" thickBot="1" x14ac:dyDescent="0.45">
      <c r="A2321" s="4">
        <v>45178</v>
      </c>
      <c r="B2321" s="3">
        <v>122.02</v>
      </c>
      <c r="C2321" s="3">
        <v>301.85000000000002</v>
      </c>
      <c r="D2321" s="3">
        <v>105.5</v>
      </c>
      <c r="E2321" s="3">
        <v>1.3333999999999999</v>
      </c>
      <c r="F2321" s="3">
        <v>273.27999999999997</v>
      </c>
      <c r="G2321" s="3">
        <v>352.67</v>
      </c>
      <c r="H2321" s="3">
        <v>180.92</v>
      </c>
      <c r="I2321" s="3">
        <v>296.7</v>
      </c>
      <c r="J2321" s="3">
        <v>117.41</v>
      </c>
      <c r="K2321" s="3">
        <v>207.25</v>
      </c>
      <c r="L2321" s="3"/>
      <c r="N2321" s="4"/>
    </row>
    <row r="2322" spans="1:14" ht="17.5" thickBot="1" x14ac:dyDescent="0.45">
      <c r="A2322" s="4">
        <v>45179</v>
      </c>
      <c r="B2322" s="3">
        <v>122.02</v>
      </c>
      <c r="C2322" s="3">
        <v>301.85000000000002</v>
      </c>
      <c r="D2322" s="3">
        <v>105.5</v>
      </c>
      <c r="E2322" s="3">
        <v>1.3333999999999999</v>
      </c>
      <c r="F2322" s="3">
        <v>273.27999999999997</v>
      </c>
      <c r="G2322" s="3">
        <v>352.67</v>
      </c>
      <c r="H2322" s="3">
        <v>180.92</v>
      </c>
      <c r="I2322" s="3">
        <v>296.7</v>
      </c>
      <c r="J2322" s="3">
        <v>117.41</v>
      </c>
      <c r="K2322" s="3">
        <v>207.25</v>
      </c>
      <c r="L2322" s="3"/>
      <c r="N2322" s="4"/>
    </row>
    <row r="2323" spans="1:14" ht="17.5" thickBot="1" x14ac:dyDescent="0.45">
      <c r="A2323" s="4">
        <v>45180</v>
      </c>
      <c r="B2323" s="3">
        <v>121.56</v>
      </c>
      <c r="C2323" s="3">
        <v>301.82</v>
      </c>
      <c r="D2323" s="3">
        <v>105.55</v>
      </c>
      <c r="E2323" s="3">
        <v>1.3375999999999999</v>
      </c>
      <c r="F2323" s="3">
        <v>273.51</v>
      </c>
      <c r="G2323" s="3">
        <v>355.23</v>
      </c>
      <c r="H2323" s="3">
        <v>180.93</v>
      </c>
      <c r="I2323" s="3">
        <v>299.01</v>
      </c>
      <c r="J2323" s="3">
        <v>117.42</v>
      </c>
      <c r="K2323" s="3">
        <v>207.26</v>
      </c>
      <c r="L2323" s="3"/>
      <c r="N2323" s="4"/>
    </row>
    <row r="2324" spans="1:14" ht="17.5" thickBot="1" x14ac:dyDescent="0.45">
      <c r="A2324" s="4">
        <v>45181</v>
      </c>
      <c r="B2324" s="3">
        <v>121.18</v>
      </c>
      <c r="C2324" s="3">
        <v>301.63</v>
      </c>
      <c r="D2324" s="3">
        <v>105.4</v>
      </c>
      <c r="E2324" s="3">
        <v>1.3341000000000001</v>
      </c>
      <c r="F2324" s="3">
        <v>272.68</v>
      </c>
      <c r="G2324" s="3">
        <v>353.28</v>
      </c>
      <c r="H2324" s="3">
        <v>180.64</v>
      </c>
      <c r="I2324" s="3">
        <v>297.14</v>
      </c>
      <c r="J2324" s="3">
        <v>117.42</v>
      </c>
      <c r="K2324" s="3">
        <v>206.87</v>
      </c>
      <c r="L2324" s="3"/>
      <c r="N2324" s="4"/>
    </row>
    <row r="2325" spans="1:14" ht="17.5" thickBot="1" x14ac:dyDescent="0.45">
      <c r="A2325" s="4">
        <v>45182</v>
      </c>
      <c r="B2325" s="3">
        <v>121.08</v>
      </c>
      <c r="C2325" s="3">
        <v>300.99</v>
      </c>
      <c r="D2325" s="3">
        <v>105.31</v>
      </c>
      <c r="E2325" s="3">
        <v>1.3342000000000001</v>
      </c>
      <c r="F2325" s="3">
        <v>272.29000000000002</v>
      </c>
      <c r="G2325" s="3">
        <v>353.4</v>
      </c>
      <c r="H2325" s="3">
        <v>180.53</v>
      </c>
      <c r="I2325" s="3">
        <v>297.27</v>
      </c>
      <c r="J2325" s="3">
        <v>117.46</v>
      </c>
      <c r="K2325" s="3">
        <v>206.79</v>
      </c>
      <c r="L2325" s="3"/>
      <c r="N2325" s="4"/>
    </row>
    <row r="2326" spans="1:14" ht="17.5" thickBot="1" x14ac:dyDescent="0.45">
      <c r="A2326" s="4">
        <v>45183</v>
      </c>
      <c r="B2326" s="3">
        <v>121.42</v>
      </c>
      <c r="C2326" s="3">
        <v>303.47000000000003</v>
      </c>
      <c r="D2326" s="3">
        <v>105.52</v>
      </c>
      <c r="E2326" s="3">
        <v>1.3419000000000001</v>
      </c>
      <c r="F2326" s="3">
        <v>273.98</v>
      </c>
      <c r="G2326" s="3">
        <v>356.42</v>
      </c>
      <c r="H2326" s="3">
        <v>181.08</v>
      </c>
      <c r="I2326" s="3">
        <v>299.87</v>
      </c>
      <c r="J2326" s="3">
        <v>117.47</v>
      </c>
      <c r="K2326" s="3">
        <v>207.47</v>
      </c>
      <c r="L2326" s="3"/>
      <c r="N2326" s="4"/>
    </row>
    <row r="2327" spans="1:14" ht="17.5" thickBot="1" x14ac:dyDescent="0.45">
      <c r="A2327" s="4">
        <v>45184</v>
      </c>
      <c r="B2327" s="3">
        <v>122.02</v>
      </c>
      <c r="C2327" s="3">
        <v>305.33</v>
      </c>
      <c r="D2327" s="3">
        <v>105.42</v>
      </c>
      <c r="E2327" s="3">
        <v>1.3354999999999999</v>
      </c>
      <c r="F2327" s="3">
        <v>274.20999999999998</v>
      </c>
      <c r="G2327" s="3">
        <v>352.41</v>
      </c>
      <c r="H2327" s="3">
        <v>180.99</v>
      </c>
      <c r="I2327" s="3">
        <v>296.05</v>
      </c>
      <c r="J2327" s="3">
        <v>117.47</v>
      </c>
      <c r="K2327" s="3">
        <v>207.34</v>
      </c>
      <c r="L2327" s="3"/>
      <c r="N2327" s="4"/>
    </row>
    <row r="2328" spans="1:14" ht="17.5" thickBot="1" x14ac:dyDescent="0.45">
      <c r="A2328" s="4">
        <v>45185</v>
      </c>
      <c r="B2328" s="3">
        <v>122.02</v>
      </c>
      <c r="C2328" s="3">
        <v>305.33</v>
      </c>
      <c r="D2328" s="3">
        <v>105.42</v>
      </c>
      <c r="E2328" s="3">
        <v>1.3354999999999999</v>
      </c>
      <c r="F2328" s="3">
        <v>274.20999999999998</v>
      </c>
      <c r="G2328" s="3">
        <v>352.41</v>
      </c>
      <c r="H2328" s="3">
        <v>180.99</v>
      </c>
      <c r="I2328" s="3">
        <v>296.05</v>
      </c>
      <c r="J2328" s="3">
        <v>117.47</v>
      </c>
      <c r="K2328" s="3">
        <v>207.34</v>
      </c>
      <c r="L2328" s="3"/>
      <c r="N2328" s="4"/>
    </row>
    <row r="2329" spans="1:14" ht="17.5" thickBot="1" x14ac:dyDescent="0.45">
      <c r="A2329" s="4">
        <v>45186</v>
      </c>
      <c r="B2329" s="3">
        <v>122.02</v>
      </c>
      <c r="C2329" s="3">
        <v>305.33</v>
      </c>
      <c r="D2329" s="3">
        <v>105.42</v>
      </c>
      <c r="E2329" s="3">
        <v>1.3354999999999999</v>
      </c>
      <c r="F2329" s="3">
        <v>274.20999999999998</v>
      </c>
      <c r="G2329" s="3">
        <v>352.41</v>
      </c>
      <c r="H2329" s="3">
        <v>180.99</v>
      </c>
      <c r="I2329" s="3">
        <v>296.05</v>
      </c>
      <c r="J2329" s="3">
        <v>117.48</v>
      </c>
      <c r="K2329" s="3">
        <v>207.34</v>
      </c>
      <c r="L2329" s="3"/>
      <c r="N2329" s="4"/>
    </row>
    <row r="2330" spans="1:14" ht="17.5" thickBot="1" x14ac:dyDescent="0.45">
      <c r="A2330" s="4">
        <v>45187</v>
      </c>
      <c r="B2330" s="3">
        <v>120.4</v>
      </c>
      <c r="C2330" s="3">
        <v>301.92</v>
      </c>
      <c r="D2330" s="3">
        <v>105.26</v>
      </c>
      <c r="E2330" s="3">
        <v>1.3322000000000001</v>
      </c>
      <c r="F2330" s="3">
        <v>272.10000000000002</v>
      </c>
      <c r="G2330" s="3">
        <v>352.5</v>
      </c>
      <c r="H2330" s="3">
        <v>180.15</v>
      </c>
      <c r="I2330" s="3">
        <v>296.33</v>
      </c>
      <c r="J2330" s="3">
        <v>117.53</v>
      </c>
      <c r="K2330" s="3">
        <v>206.36</v>
      </c>
      <c r="L2330" s="3"/>
      <c r="N2330" s="4"/>
    </row>
    <row r="2331" spans="1:14" ht="17.5" thickBot="1" x14ac:dyDescent="0.45">
      <c r="A2331" s="4">
        <v>45188</v>
      </c>
      <c r="B2331" s="3">
        <v>120.96</v>
      </c>
      <c r="C2331" s="3">
        <v>301.77999999999997</v>
      </c>
      <c r="D2331" s="3">
        <v>105.17</v>
      </c>
      <c r="E2331" s="3">
        <v>1.3302</v>
      </c>
      <c r="F2331" s="3">
        <v>272.14</v>
      </c>
      <c r="G2331" s="3">
        <v>352</v>
      </c>
      <c r="H2331" s="3">
        <v>180.11</v>
      </c>
      <c r="I2331" s="3">
        <v>295.5</v>
      </c>
      <c r="J2331" s="3">
        <v>117.53</v>
      </c>
      <c r="K2331" s="3">
        <v>206.24</v>
      </c>
      <c r="L2331" s="3"/>
      <c r="N2331" s="4"/>
    </row>
    <row r="2332" spans="1:14" ht="17.5" thickBot="1" x14ac:dyDescent="0.45">
      <c r="A2332" s="4">
        <v>45189</v>
      </c>
      <c r="B2332" s="3">
        <v>120.2</v>
      </c>
      <c r="C2332" s="3">
        <v>300.48</v>
      </c>
      <c r="D2332" s="3">
        <v>105.18</v>
      </c>
      <c r="E2332" s="3">
        <v>1.3270999999999999</v>
      </c>
      <c r="F2332" s="3">
        <v>271.25</v>
      </c>
      <c r="G2332" s="3">
        <v>348.9</v>
      </c>
      <c r="H2332" s="3">
        <v>179.91</v>
      </c>
      <c r="I2332" s="3">
        <v>292.89999999999998</v>
      </c>
      <c r="J2332" s="3">
        <v>117.53</v>
      </c>
      <c r="K2332" s="3">
        <v>205.96</v>
      </c>
      <c r="L2332" s="3"/>
      <c r="N2332" s="4"/>
    </row>
    <row r="2333" spans="1:14" ht="17.5" thickBot="1" x14ac:dyDescent="0.45">
      <c r="A2333" s="4">
        <v>45190</v>
      </c>
      <c r="B2333" s="3">
        <v>118.67</v>
      </c>
      <c r="C2333" s="3">
        <v>296.26</v>
      </c>
      <c r="D2333" s="3">
        <v>104.67</v>
      </c>
      <c r="E2333" s="3">
        <v>1.3118000000000001</v>
      </c>
      <c r="F2333" s="3">
        <v>267.76</v>
      </c>
      <c r="G2333" s="3">
        <v>343.66</v>
      </c>
      <c r="H2333" s="3">
        <v>178.28</v>
      </c>
      <c r="I2333" s="3">
        <v>288.05</v>
      </c>
      <c r="J2333" s="3">
        <v>117.53</v>
      </c>
      <c r="K2333" s="3">
        <v>203.96</v>
      </c>
      <c r="L2333" s="3"/>
      <c r="N2333" s="4"/>
    </row>
    <row r="2334" spans="1:14" ht="17.5" thickBot="1" x14ac:dyDescent="0.45">
      <c r="A2334" s="4">
        <v>45191</v>
      </c>
      <c r="B2334" s="3">
        <v>121.43</v>
      </c>
      <c r="C2334" s="3">
        <v>298.22000000000003</v>
      </c>
      <c r="D2334" s="3">
        <v>104.74</v>
      </c>
      <c r="E2334" s="3">
        <v>1.3113999999999999</v>
      </c>
      <c r="F2334" s="3">
        <v>269.42</v>
      </c>
      <c r="G2334" s="3">
        <v>343.03</v>
      </c>
      <c r="H2334" s="3">
        <v>179.03</v>
      </c>
      <c r="I2334" s="3">
        <v>287.33999999999997</v>
      </c>
      <c r="J2334" s="3">
        <v>117.54</v>
      </c>
      <c r="K2334" s="3">
        <v>204.83</v>
      </c>
      <c r="L2334" s="3"/>
      <c r="N2334" s="4"/>
    </row>
    <row r="2335" spans="1:14" ht="17.5" thickBot="1" x14ac:dyDescent="0.45">
      <c r="A2335" s="4">
        <v>45192</v>
      </c>
      <c r="B2335" s="3">
        <v>121.43</v>
      </c>
      <c r="C2335" s="3">
        <v>298.22000000000003</v>
      </c>
      <c r="D2335" s="3">
        <v>104.74</v>
      </c>
      <c r="E2335" s="3">
        <v>1.3113999999999999</v>
      </c>
      <c r="F2335" s="3">
        <v>269.42</v>
      </c>
      <c r="G2335" s="3">
        <v>343.03</v>
      </c>
      <c r="H2335" s="3">
        <v>179.03</v>
      </c>
      <c r="I2335" s="3">
        <v>287.33999999999997</v>
      </c>
      <c r="J2335" s="3">
        <v>117.54</v>
      </c>
      <c r="K2335" s="3">
        <v>204.83</v>
      </c>
      <c r="L2335" s="3"/>
      <c r="N2335" s="4"/>
    </row>
    <row r="2336" spans="1:14" ht="17.5" thickBot="1" x14ac:dyDescent="0.45">
      <c r="A2336" s="4">
        <v>45193</v>
      </c>
      <c r="B2336" s="3">
        <v>121.43</v>
      </c>
      <c r="C2336" s="3">
        <v>298.22000000000003</v>
      </c>
      <c r="D2336" s="3">
        <v>104.74</v>
      </c>
      <c r="E2336" s="3">
        <v>1.3113999999999999</v>
      </c>
      <c r="F2336" s="3">
        <v>269.42</v>
      </c>
      <c r="G2336" s="3">
        <v>343.03</v>
      </c>
      <c r="H2336" s="3">
        <v>179.03</v>
      </c>
      <c r="I2336" s="3">
        <v>287.33999999999997</v>
      </c>
      <c r="J2336" s="3">
        <v>117.54</v>
      </c>
      <c r="K2336" s="3">
        <v>204.83</v>
      </c>
      <c r="L2336" s="3"/>
      <c r="N2336" s="4"/>
    </row>
    <row r="2337" spans="1:14" ht="17.5" thickBot="1" x14ac:dyDescent="0.45">
      <c r="A2337" s="4">
        <v>45194</v>
      </c>
      <c r="B2337" s="3">
        <v>119.05</v>
      </c>
      <c r="C2337" s="3">
        <v>296.64999999999998</v>
      </c>
      <c r="D2337" s="3">
        <v>104.56</v>
      </c>
      <c r="E2337" s="3">
        <v>1.3083</v>
      </c>
      <c r="F2337" s="3">
        <v>267.32</v>
      </c>
      <c r="G2337" s="3">
        <v>344.36</v>
      </c>
      <c r="H2337" s="3">
        <v>177.86</v>
      </c>
      <c r="I2337" s="3">
        <v>288.35000000000002</v>
      </c>
      <c r="J2337" s="3">
        <v>117.56</v>
      </c>
      <c r="K2337" s="3">
        <v>203.39</v>
      </c>
      <c r="L2337" s="3"/>
      <c r="N2337" s="4"/>
    </row>
    <row r="2338" spans="1:14" ht="17.5" thickBot="1" x14ac:dyDescent="0.45">
      <c r="A2338" s="4">
        <v>45195</v>
      </c>
      <c r="B2338" s="3">
        <v>117.43</v>
      </c>
      <c r="C2338" s="3">
        <v>293.94</v>
      </c>
      <c r="D2338" s="3">
        <v>104.41</v>
      </c>
      <c r="E2338" s="3">
        <v>1.2991999999999999</v>
      </c>
      <c r="F2338" s="3">
        <v>265.01</v>
      </c>
      <c r="G2338" s="3">
        <v>339.56</v>
      </c>
      <c r="H2338" s="3">
        <v>177</v>
      </c>
      <c r="I2338" s="3">
        <v>283.95</v>
      </c>
      <c r="J2338" s="3">
        <v>117.56</v>
      </c>
      <c r="K2338" s="3">
        <v>202.33</v>
      </c>
      <c r="L2338" s="3"/>
      <c r="N2338" s="4"/>
    </row>
    <row r="2339" spans="1:14" ht="17.5" thickBot="1" x14ac:dyDescent="0.45">
      <c r="A2339" s="4">
        <v>45196</v>
      </c>
      <c r="B2339" s="3">
        <v>118.44</v>
      </c>
      <c r="C2339" s="3">
        <v>294.58</v>
      </c>
      <c r="D2339" s="3">
        <v>104.31</v>
      </c>
      <c r="E2339" s="3">
        <v>1.2971999999999999</v>
      </c>
      <c r="F2339" s="3">
        <v>265.10000000000002</v>
      </c>
      <c r="G2339" s="3">
        <v>339.77</v>
      </c>
      <c r="H2339" s="3">
        <v>176.77</v>
      </c>
      <c r="I2339" s="3">
        <v>284.07</v>
      </c>
      <c r="J2339" s="3">
        <v>117.57</v>
      </c>
      <c r="K2339" s="3">
        <v>202.03</v>
      </c>
      <c r="L2339" s="3"/>
      <c r="N2339" s="4"/>
    </row>
    <row r="2340" spans="1:14" ht="17.5" thickBot="1" x14ac:dyDescent="0.45">
      <c r="A2340" s="4">
        <v>45197</v>
      </c>
      <c r="B2340" s="3">
        <v>116.81</v>
      </c>
      <c r="C2340" s="3">
        <v>293.37</v>
      </c>
      <c r="D2340" s="3">
        <v>104.22</v>
      </c>
      <c r="E2340" s="3">
        <v>1.3004</v>
      </c>
      <c r="F2340" s="3">
        <v>264.7</v>
      </c>
      <c r="G2340" s="3">
        <v>342.17</v>
      </c>
      <c r="H2340" s="3">
        <v>176.52</v>
      </c>
      <c r="I2340" s="3">
        <v>285.82</v>
      </c>
      <c r="J2340" s="3">
        <v>117.57</v>
      </c>
      <c r="K2340" s="3">
        <v>201.78</v>
      </c>
      <c r="L2340" s="3"/>
      <c r="N2340" s="4"/>
    </row>
    <row r="2341" spans="1:14" ht="17.5" thickBot="1" x14ac:dyDescent="0.45">
      <c r="A2341" s="4">
        <v>45198</v>
      </c>
      <c r="B2341" s="3">
        <v>119.69</v>
      </c>
      <c r="C2341" s="3">
        <v>295.64999999999998</v>
      </c>
      <c r="D2341" s="3">
        <v>104.56</v>
      </c>
      <c r="E2341" s="3">
        <v>1.3024</v>
      </c>
      <c r="F2341" s="3">
        <v>266.77</v>
      </c>
      <c r="G2341" s="3">
        <v>341.05</v>
      </c>
      <c r="H2341" s="3">
        <v>177.59</v>
      </c>
      <c r="I2341" s="3">
        <v>285.26</v>
      </c>
      <c r="J2341" s="3">
        <v>117.65</v>
      </c>
      <c r="K2341" s="3">
        <v>203.02</v>
      </c>
      <c r="L2341" s="3"/>
      <c r="N2341" s="4"/>
    </row>
    <row r="2342" spans="1:14" ht="17.5" thickBot="1" x14ac:dyDescent="0.45">
      <c r="A2342" s="4">
        <v>45199</v>
      </c>
      <c r="B2342" s="3">
        <v>119.69</v>
      </c>
      <c r="C2342" s="3">
        <v>295.64999999999998</v>
      </c>
      <c r="D2342" s="3">
        <v>104.56</v>
      </c>
      <c r="E2342" s="3">
        <v>1.3024</v>
      </c>
      <c r="F2342" s="3">
        <v>266.77</v>
      </c>
      <c r="G2342" s="3">
        <v>341.05</v>
      </c>
      <c r="H2342" s="3">
        <v>177.59</v>
      </c>
      <c r="I2342" s="3">
        <v>285.26</v>
      </c>
      <c r="J2342" s="3">
        <v>117.65</v>
      </c>
      <c r="K2342" s="3">
        <v>203.02</v>
      </c>
      <c r="L2342" s="3"/>
      <c r="N2342" s="4"/>
    </row>
    <row r="2343" spans="1:14" ht="17.5" thickBot="1" x14ac:dyDescent="0.45">
      <c r="A2343" s="4">
        <v>45200</v>
      </c>
      <c r="B2343" s="3">
        <v>119.69</v>
      </c>
      <c r="C2343" s="3">
        <v>295.64999999999998</v>
      </c>
      <c r="D2343" s="3">
        <v>104.56</v>
      </c>
      <c r="E2343" s="3">
        <v>1.3024</v>
      </c>
      <c r="F2343" s="3">
        <v>266.77</v>
      </c>
      <c r="G2343" s="3">
        <v>341.05</v>
      </c>
      <c r="H2343" s="3">
        <v>177.59</v>
      </c>
      <c r="I2343" s="3">
        <v>285.26</v>
      </c>
      <c r="J2343" s="3">
        <v>117.65</v>
      </c>
      <c r="K2343" s="3">
        <v>203.02</v>
      </c>
      <c r="L2343" s="3"/>
      <c r="N2343" s="4"/>
    </row>
    <row r="2344" spans="1:14" ht="17.5" thickBot="1" x14ac:dyDescent="0.45">
      <c r="A2344" s="4">
        <v>45201</v>
      </c>
      <c r="B2344" s="3">
        <v>119.69</v>
      </c>
      <c r="C2344" s="3">
        <v>295.64999999999998</v>
      </c>
      <c r="D2344" s="3">
        <v>104.56</v>
      </c>
      <c r="E2344" s="3">
        <v>1.3024</v>
      </c>
      <c r="F2344" s="3">
        <v>266.77</v>
      </c>
      <c r="G2344" s="3">
        <v>341.05</v>
      </c>
      <c r="H2344" s="3">
        <v>177.59</v>
      </c>
      <c r="I2344" s="3">
        <v>285.26</v>
      </c>
      <c r="J2344" s="3">
        <v>117.65</v>
      </c>
      <c r="K2344" s="3">
        <v>203.02</v>
      </c>
      <c r="L2344" s="3"/>
      <c r="N2344" s="4"/>
    </row>
    <row r="2345" spans="1:14" ht="17.5" thickBot="1" x14ac:dyDescent="0.45">
      <c r="A2345" s="4">
        <v>45202</v>
      </c>
      <c r="B2345" s="3">
        <v>116.39</v>
      </c>
      <c r="C2345" s="3">
        <v>291.39</v>
      </c>
      <c r="D2345" s="3">
        <v>103.87</v>
      </c>
      <c r="E2345" s="3">
        <v>1.2836000000000001</v>
      </c>
      <c r="F2345" s="3">
        <v>261.51</v>
      </c>
      <c r="G2345" s="3">
        <v>336.77</v>
      </c>
      <c r="H2345" s="3">
        <v>174.95</v>
      </c>
      <c r="I2345" s="3">
        <v>281.44</v>
      </c>
      <c r="J2345" s="3">
        <v>117.66</v>
      </c>
      <c r="K2345" s="3">
        <v>199.81</v>
      </c>
      <c r="L2345" s="3"/>
      <c r="N2345" s="4"/>
    </row>
    <row r="2346" spans="1:14" ht="17.5" thickBot="1" x14ac:dyDescent="0.45">
      <c r="A2346" s="4">
        <v>45203</v>
      </c>
      <c r="B2346" s="3">
        <v>115.57</v>
      </c>
      <c r="C2346" s="3">
        <v>288.13</v>
      </c>
      <c r="D2346" s="3">
        <v>103.27</v>
      </c>
      <c r="E2346" s="3">
        <v>1.2862</v>
      </c>
      <c r="F2346" s="3">
        <v>260.16000000000003</v>
      </c>
      <c r="G2346" s="3">
        <v>339.39</v>
      </c>
      <c r="H2346" s="3">
        <v>174.54</v>
      </c>
      <c r="I2346" s="3">
        <v>283.48</v>
      </c>
      <c r="J2346" s="3">
        <v>117.71</v>
      </c>
      <c r="K2346" s="3">
        <v>199.35</v>
      </c>
      <c r="L2346" s="3"/>
      <c r="N2346" s="4"/>
    </row>
    <row r="2347" spans="1:14" ht="17.5" thickBot="1" x14ac:dyDescent="0.45">
      <c r="A2347" s="4">
        <v>45204</v>
      </c>
      <c r="B2347" s="3">
        <v>115.76</v>
      </c>
      <c r="C2347" s="3">
        <v>290.42</v>
      </c>
      <c r="D2347" s="3">
        <v>103.73</v>
      </c>
      <c r="E2347" s="3">
        <v>1.2887</v>
      </c>
      <c r="F2347" s="3">
        <v>261.44</v>
      </c>
      <c r="G2347" s="3">
        <v>338.95</v>
      </c>
      <c r="H2347" s="3">
        <v>175.13</v>
      </c>
      <c r="I2347" s="3">
        <v>283.24</v>
      </c>
      <c r="J2347" s="3">
        <v>117.71</v>
      </c>
      <c r="K2347" s="3">
        <v>200.08</v>
      </c>
      <c r="L2347" s="3"/>
      <c r="N2347" s="4"/>
    </row>
    <row r="2348" spans="1:14" ht="17.5" thickBot="1" x14ac:dyDescent="0.45">
      <c r="A2348" s="4">
        <v>45205</v>
      </c>
      <c r="B2348" s="3">
        <v>117.7</v>
      </c>
      <c r="C2348" s="3">
        <v>292.37</v>
      </c>
      <c r="D2348" s="3">
        <v>103.83</v>
      </c>
      <c r="E2348" s="3">
        <v>1.2951999999999999</v>
      </c>
      <c r="F2348" s="3">
        <v>263.48</v>
      </c>
      <c r="G2348" s="3">
        <v>342.76</v>
      </c>
      <c r="H2348" s="3">
        <v>175.64</v>
      </c>
      <c r="I2348" s="3">
        <v>286.62</v>
      </c>
      <c r="J2348" s="3">
        <v>117.71</v>
      </c>
      <c r="K2348" s="3">
        <v>200.7</v>
      </c>
      <c r="L2348" s="3"/>
      <c r="N2348" s="4"/>
    </row>
    <row r="2349" spans="1:14" ht="17.5" thickBot="1" x14ac:dyDescent="0.45">
      <c r="A2349" s="4">
        <v>45206</v>
      </c>
      <c r="B2349" s="3">
        <v>117.7</v>
      </c>
      <c r="C2349" s="3">
        <v>292.37</v>
      </c>
      <c r="D2349" s="3">
        <v>103.83</v>
      </c>
      <c r="E2349" s="3">
        <v>1.2951999999999999</v>
      </c>
      <c r="F2349" s="3">
        <v>263.48</v>
      </c>
      <c r="G2349" s="3">
        <v>342.76</v>
      </c>
      <c r="H2349" s="3">
        <v>175.64</v>
      </c>
      <c r="I2349" s="3">
        <v>286.62</v>
      </c>
      <c r="J2349" s="3">
        <v>117.72</v>
      </c>
      <c r="K2349" s="3">
        <v>200.7</v>
      </c>
      <c r="L2349" s="3"/>
      <c r="N2349" s="4"/>
    </row>
    <row r="2350" spans="1:14" ht="17.5" thickBot="1" x14ac:dyDescent="0.45">
      <c r="A2350" s="4">
        <v>45207</v>
      </c>
      <c r="B2350" s="3">
        <v>117.7</v>
      </c>
      <c r="C2350" s="3">
        <v>292.37</v>
      </c>
      <c r="D2350" s="3">
        <v>103.83</v>
      </c>
      <c r="E2350" s="3">
        <v>1.2951999999999999</v>
      </c>
      <c r="F2350" s="3">
        <v>263.48</v>
      </c>
      <c r="G2350" s="3">
        <v>342.76</v>
      </c>
      <c r="H2350" s="3">
        <v>175.64</v>
      </c>
      <c r="I2350" s="3">
        <v>286.62</v>
      </c>
      <c r="J2350" s="3">
        <v>117.72</v>
      </c>
      <c r="K2350" s="3">
        <v>200.7</v>
      </c>
      <c r="L2350" s="3"/>
      <c r="N2350" s="4"/>
    </row>
    <row r="2351" spans="1:14" ht="17.5" thickBot="1" x14ac:dyDescent="0.45">
      <c r="A2351" s="4">
        <v>45208</v>
      </c>
      <c r="B2351" s="3">
        <v>117.9</v>
      </c>
      <c r="C2351" s="3">
        <v>292.27999999999997</v>
      </c>
      <c r="D2351" s="3">
        <v>104</v>
      </c>
      <c r="E2351" s="3">
        <v>1.2950999999999999</v>
      </c>
      <c r="F2351" s="3">
        <v>263.99</v>
      </c>
      <c r="G2351" s="3">
        <v>344.88</v>
      </c>
      <c r="H2351" s="3">
        <v>176.32</v>
      </c>
      <c r="I2351" s="3">
        <v>288.44</v>
      </c>
      <c r="J2351" s="3">
        <v>117.77</v>
      </c>
      <c r="K2351" s="3">
        <v>201.41</v>
      </c>
      <c r="L2351" s="3"/>
      <c r="N2351" s="4"/>
    </row>
    <row r="2352" spans="1:14" ht="17.5" thickBot="1" x14ac:dyDescent="0.45">
      <c r="A2352" s="4">
        <v>45209</v>
      </c>
      <c r="B2352" s="3">
        <v>118.89</v>
      </c>
      <c r="C2352" s="3">
        <v>294.81</v>
      </c>
      <c r="D2352" s="3">
        <v>104.22</v>
      </c>
      <c r="E2352" s="3">
        <v>1.3085</v>
      </c>
      <c r="F2352" s="3">
        <v>266.45999999999998</v>
      </c>
      <c r="G2352" s="3">
        <v>346.18</v>
      </c>
      <c r="H2352" s="3">
        <v>177.17</v>
      </c>
      <c r="I2352" s="3">
        <v>289.67</v>
      </c>
      <c r="J2352" s="3">
        <v>117.77</v>
      </c>
      <c r="K2352" s="3">
        <v>202.62</v>
      </c>
      <c r="L2352" s="3"/>
      <c r="N2352" s="4"/>
    </row>
    <row r="2353" spans="1:14" ht="17.5" thickBot="1" x14ac:dyDescent="0.45">
      <c r="A2353" s="4">
        <v>45210</v>
      </c>
      <c r="B2353" s="3">
        <v>120.41</v>
      </c>
      <c r="C2353" s="3">
        <v>297.95999999999998</v>
      </c>
      <c r="D2353" s="3">
        <v>104.5</v>
      </c>
      <c r="E2353" s="3">
        <v>1.3145</v>
      </c>
      <c r="F2353" s="3">
        <v>268.35000000000002</v>
      </c>
      <c r="G2353" s="3">
        <v>347.26</v>
      </c>
      <c r="H2353" s="3">
        <v>178.28</v>
      </c>
      <c r="I2353" s="3">
        <v>290.86</v>
      </c>
      <c r="J2353" s="3">
        <v>117.77</v>
      </c>
      <c r="K2353" s="3">
        <v>203.86</v>
      </c>
      <c r="L2353" s="3"/>
      <c r="N2353" s="4"/>
    </row>
    <row r="2354" spans="1:14" ht="17.5" thickBot="1" x14ac:dyDescent="0.45">
      <c r="A2354" s="4">
        <v>45211</v>
      </c>
      <c r="B2354" s="3">
        <v>122.41</v>
      </c>
      <c r="C2354" s="3">
        <v>299.8</v>
      </c>
      <c r="D2354" s="3">
        <v>104.4</v>
      </c>
      <c r="E2354" s="3">
        <v>1.3092999999999999</v>
      </c>
      <c r="F2354" s="3">
        <v>269.61</v>
      </c>
      <c r="G2354" s="3">
        <v>345.51</v>
      </c>
      <c r="H2354" s="3">
        <v>178.32</v>
      </c>
      <c r="I2354" s="3">
        <v>289.14999999999998</v>
      </c>
      <c r="J2354" s="3">
        <v>117.78</v>
      </c>
      <c r="K2354" s="3">
        <v>203.77</v>
      </c>
      <c r="L2354" s="3"/>
      <c r="N2354" s="4"/>
    </row>
    <row r="2355" spans="1:14" ht="17.5" thickBot="1" x14ac:dyDescent="0.45">
      <c r="A2355" s="4">
        <v>45212</v>
      </c>
      <c r="B2355" s="3">
        <v>119.65</v>
      </c>
      <c r="C2355" s="3">
        <v>296.48</v>
      </c>
      <c r="D2355" s="3">
        <v>104.15</v>
      </c>
      <c r="E2355" s="3">
        <v>1.3042</v>
      </c>
      <c r="F2355" s="3">
        <v>266.36</v>
      </c>
      <c r="G2355" s="3">
        <v>343.8</v>
      </c>
      <c r="H2355" s="3">
        <v>177.33</v>
      </c>
      <c r="I2355" s="3">
        <v>287.69</v>
      </c>
      <c r="J2355" s="3">
        <v>117.78</v>
      </c>
      <c r="K2355" s="3">
        <v>202.59</v>
      </c>
      <c r="L2355" s="3"/>
      <c r="N2355" s="4"/>
    </row>
    <row r="2356" spans="1:14" ht="17.5" thickBot="1" x14ac:dyDescent="0.45">
      <c r="A2356" s="4">
        <v>45213</v>
      </c>
      <c r="B2356" s="3">
        <v>119.65</v>
      </c>
      <c r="C2356" s="3">
        <v>296.48</v>
      </c>
      <c r="D2356" s="3">
        <v>104.15</v>
      </c>
      <c r="E2356" s="3">
        <v>1.3042</v>
      </c>
      <c r="F2356" s="3">
        <v>266.36</v>
      </c>
      <c r="G2356" s="3">
        <v>343.8</v>
      </c>
      <c r="H2356" s="3">
        <v>177.33</v>
      </c>
      <c r="I2356" s="3">
        <v>287.69</v>
      </c>
      <c r="J2356" s="3">
        <v>117.78</v>
      </c>
      <c r="K2356" s="3">
        <v>202.59</v>
      </c>
      <c r="L2356" s="3"/>
      <c r="N2356" s="4"/>
    </row>
    <row r="2357" spans="1:14" ht="17.5" thickBot="1" x14ac:dyDescent="0.45">
      <c r="A2357" s="4">
        <v>45214</v>
      </c>
      <c r="B2357" s="3">
        <v>119.65</v>
      </c>
      <c r="C2357" s="3">
        <v>296.48</v>
      </c>
      <c r="D2357" s="3">
        <v>104.15</v>
      </c>
      <c r="E2357" s="3">
        <v>1.3042</v>
      </c>
      <c r="F2357" s="3">
        <v>266.36</v>
      </c>
      <c r="G2357" s="3">
        <v>343.8</v>
      </c>
      <c r="H2357" s="3">
        <v>177.33</v>
      </c>
      <c r="I2357" s="3">
        <v>287.69</v>
      </c>
      <c r="J2357" s="3">
        <v>117.79</v>
      </c>
      <c r="K2357" s="3">
        <v>202.59</v>
      </c>
      <c r="L2357" s="3"/>
      <c r="N2357" s="4"/>
    </row>
    <row r="2358" spans="1:14" ht="17.5" thickBot="1" x14ac:dyDescent="0.45">
      <c r="A2358" s="4">
        <v>45215</v>
      </c>
      <c r="B2358" s="3">
        <v>118.54</v>
      </c>
      <c r="C2358" s="3">
        <v>294.29000000000002</v>
      </c>
      <c r="D2358" s="3">
        <v>104.07</v>
      </c>
      <c r="E2358" s="3">
        <v>1.3071999999999999</v>
      </c>
      <c r="F2358" s="3">
        <v>265.26</v>
      </c>
      <c r="G2358" s="3">
        <v>347.41</v>
      </c>
      <c r="H2358" s="3">
        <v>176.59</v>
      </c>
      <c r="I2358" s="3">
        <v>290.56</v>
      </c>
      <c r="J2358" s="3">
        <v>117.83</v>
      </c>
      <c r="K2358" s="3">
        <v>201.84</v>
      </c>
      <c r="L2358" s="3"/>
      <c r="N2358" s="4"/>
    </row>
    <row r="2359" spans="1:14" ht="17.5" thickBot="1" x14ac:dyDescent="0.45">
      <c r="A2359" s="4">
        <v>45216</v>
      </c>
      <c r="B2359" s="3">
        <v>119.38</v>
      </c>
      <c r="C2359" s="3">
        <v>296.32</v>
      </c>
      <c r="D2359" s="3">
        <v>103.93</v>
      </c>
      <c r="E2359" s="3">
        <v>1.3063</v>
      </c>
      <c r="F2359" s="3">
        <v>266.32</v>
      </c>
      <c r="G2359" s="3">
        <v>347.64</v>
      </c>
      <c r="H2359" s="3">
        <v>176.59</v>
      </c>
      <c r="I2359" s="3">
        <v>290.67</v>
      </c>
      <c r="J2359" s="3">
        <v>117.83</v>
      </c>
      <c r="K2359" s="3">
        <v>201.84</v>
      </c>
      <c r="L2359" s="3"/>
      <c r="N2359" s="4"/>
    </row>
    <row r="2360" spans="1:14" ht="17.5" thickBot="1" x14ac:dyDescent="0.45">
      <c r="A2360" s="4">
        <v>45217</v>
      </c>
      <c r="B2360" s="3">
        <v>119.28</v>
      </c>
      <c r="C2360" s="3">
        <v>295.67</v>
      </c>
      <c r="D2360" s="3">
        <v>103.69</v>
      </c>
      <c r="E2360" s="3">
        <v>1.2959000000000001</v>
      </c>
      <c r="F2360" s="3">
        <v>264.31</v>
      </c>
      <c r="G2360" s="3">
        <v>343.39</v>
      </c>
      <c r="H2360" s="3">
        <v>175.62</v>
      </c>
      <c r="I2360" s="3">
        <v>287.02</v>
      </c>
      <c r="J2360" s="3">
        <v>117.83</v>
      </c>
      <c r="K2360" s="3">
        <v>200.69</v>
      </c>
      <c r="L2360" s="3"/>
      <c r="N2360" s="4"/>
    </row>
    <row r="2361" spans="1:14" ht="17.5" thickBot="1" x14ac:dyDescent="0.45">
      <c r="A2361" s="4">
        <v>45218</v>
      </c>
      <c r="B2361" s="3">
        <v>116.21</v>
      </c>
      <c r="C2361" s="3">
        <v>291.27999999999997</v>
      </c>
      <c r="D2361" s="3">
        <v>103.21</v>
      </c>
      <c r="E2361" s="3">
        <v>1.2867999999999999</v>
      </c>
      <c r="F2361" s="3">
        <v>260.61</v>
      </c>
      <c r="G2361" s="3">
        <v>340.31</v>
      </c>
      <c r="H2361" s="3">
        <v>174.01</v>
      </c>
      <c r="I2361" s="3">
        <v>284.42</v>
      </c>
      <c r="J2361" s="3">
        <v>117.83</v>
      </c>
      <c r="K2361" s="3">
        <v>198.8</v>
      </c>
      <c r="L2361" s="3"/>
      <c r="N2361" s="4"/>
    </row>
    <row r="2362" spans="1:14" ht="17.5" thickBot="1" x14ac:dyDescent="0.45">
      <c r="A2362" s="4">
        <v>45219</v>
      </c>
      <c r="B2362" s="3">
        <v>115.4</v>
      </c>
      <c r="C2362" s="3">
        <v>290</v>
      </c>
      <c r="D2362" s="3">
        <v>103.32</v>
      </c>
      <c r="E2362" s="3">
        <v>1.2795000000000001</v>
      </c>
      <c r="F2362" s="3">
        <v>258.77</v>
      </c>
      <c r="G2362" s="3">
        <v>336.21</v>
      </c>
      <c r="H2362" s="3">
        <v>173.59</v>
      </c>
      <c r="I2362" s="3">
        <v>280.8</v>
      </c>
      <c r="J2362" s="3">
        <v>117.86</v>
      </c>
      <c r="K2362" s="3">
        <v>198.25</v>
      </c>
      <c r="L2362" s="3"/>
      <c r="N2362" s="4"/>
    </row>
    <row r="2363" spans="1:14" ht="17.5" thickBot="1" x14ac:dyDescent="0.45">
      <c r="A2363" s="4">
        <v>45220</v>
      </c>
      <c r="B2363" s="3">
        <v>115.4</v>
      </c>
      <c r="C2363" s="3">
        <v>290</v>
      </c>
      <c r="D2363" s="3">
        <v>103.32</v>
      </c>
      <c r="E2363" s="3">
        <v>1.2795000000000001</v>
      </c>
      <c r="F2363" s="3">
        <v>258.77</v>
      </c>
      <c r="G2363" s="3">
        <v>336.21</v>
      </c>
      <c r="H2363" s="3">
        <v>173.59</v>
      </c>
      <c r="I2363" s="3">
        <v>280.8</v>
      </c>
      <c r="J2363" s="3">
        <v>117.86</v>
      </c>
      <c r="K2363" s="3">
        <v>198.25</v>
      </c>
      <c r="L2363" s="3"/>
      <c r="N2363" s="4"/>
    </row>
    <row r="2364" spans="1:14" ht="17.5" thickBot="1" x14ac:dyDescent="0.45">
      <c r="A2364" s="4">
        <v>45221</v>
      </c>
      <c r="B2364" s="3">
        <v>115.4</v>
      </c>
      <c r="C2364" s="3">
        <v>290</v>
      </c>
      <c r="D2364" s="3">
        <v>103.32</v>
      </c>
      <c r="E2364" s="3">
        <v>1.2795000000000001</v>
      </c>
      <c r="F2364" s="3">
        <v>258.77</v>
      </c>
      <c r="G2364" s="3">
        <v>336.21</v>
      </c>
      <c r="H2364" s="3">
        <v>173.59</v>
      </c>
      <c r="I2364" s="3">
        <v>280.8</v>
      </c>
      <c r="J2364" s="3">
        <v>117.87</v>
      </c>
      <c r="K2364" s="3">
        <v>198.25</v>
      </c>
      <c r="L2364" s="3"/>
      <c r="N2364" s="4"/>
    </row>
    <row r="2365" spans="1:14" ht="17.5" thickBot="1" x14ac:dyDescent="0.45">
      <c r="A2365" s="4">
        <v>45222</v>
      </c>
      <c r="B2365" s="3">
        <v>115.4</v>
      </c>
      <c r="C2365" s="3">
        <v>290</v>
      </c>
      <c r="D2365" s="3">
        <v>103.32</v>
      </c>
      <c r="E2365" s="3">
        <v>1.2795000000000001</v>
      </c>
      <c r="F2365" s="3">
        <v>258.77</v>
      </c>
      <c r="G2365" s="3">
        <v>336.21</v>
      </c>
      <c r="H2365" s="3">
        <v>173.59</v>
      </c>
      <c r="I2365" s="3">
        <v>280.8</v>
      </c>
      <c r="J2365" s="3">
        <v>117.87</v>
      </c>
      <c r="K2365" s="3">
        <v>198.25</v>
      </c>
      <c r="L2365" s="3"/>
      <c r="N2365" s="4"/>
    </row>
    <row r="2366" spans="1:14" ht="17.5" thickBot="1" x14ac:dyDescent="0.45">
      <c r="A2366" s="4">
        <v>45223</v>
      </c>
      <c r="B2366" s="3">
        <v>114.21</v>
      </c>
      <c r="C2366" s="3">
        <v>288.01</v>
      </c>
      <c r="D2366" s="3">
        <v>103.7</v>
      </c>
      <c r="E2366" s="3">
        <v>1.2833000000000001</v>
      </c>
      <c r="F2366" s="3">
        <v>258.81</v>
      </c>
      <c r="G2366" s="3">
        <v>338.02</v>
      </c>
      <c r="H2366" s="3">
        <v>174.23</v>
      </c>
      <c r="I2366" s="3">
        <v>282.39999999999998</v>
      </c>
      <c r="J2366" s="3">
        <v>117.87</v>
      </c>
      <c r="K2366" s="3">
        <v>198.84</v>
      </c>
      <c r="L2366" s="3"/>
      <c r="N2366" s="4"/>
    </row>
    <row r="2367" spans="1:14" ht="17.5" thickBot="1" x14ac:dyDescent="0.45">
      <c r="A2367" s="4">
        <v>45224</v>
      </c>
      <c r="B2367" s="3">
        <v>115.04</v>
      </c>
      <c r="C2367" s="3">
        <v>288.14</v>
      </c>
      <c r="D2367" s="3">
        <v>103.58</v>
      </c>
      <c r="E2367" s="3">
        <v>1.2744</v>
      </c>
      <c r="F2367" s="3">
        <v>258.52</v>
      </c>
      <c r="G2367" s="3">
        <v>333.3</v>
      </c>
      <c r="H2367" s="3">
        <v>173.68</v>
      </c>
      <c r="I2367" s="3">
        <v>278.39</v>
      </c>
      <c r="J2367" s="3">
        <v>117.92</v>
      </c>
      <c r="K2367" s="3">
        <v>198.17</v>
      </c>
      <c r="L2367" s="3"/>
      <c r="N2367" s="4"/>
    </row>
    <row r="2368" spans="1:14" ht="17.5" thickBot="1" x14ac:dyDescent="0.45">
      <c r="A2368" s="4">
        <v>45225</v>
      </c>
      <c r="B2368" s="3">
        <v>114.73</v>
      </c>
      <c r="C2368" s="3">
        <v>284.08</v>
      </c>
      <c r="D2368" s="3">
        <v>103.35</v>
      </c>
      <c r="E2368" s="3">
        <v>1.2673000000000001</v>
      </c>
      <c r="F2368" s="3">
        <v>256.42</v>
      </c>
      <c r="G2368" s="3">
        <v>328.68</v>
      </c>
      <c r="H2368" s="3">
        <v>173.16</v>
      </c>
      <c r="I2368" s="3">
        <v>275.02</v>
      </c>
      <c r="J2368" s="3">
        <v>117.92</v>
      </c>
      <c r="K2368" s="3">
        <v>197.48</v>
      </c>
      <c r="L2368" s="3"/>
      <c r="N2368" s="4"/>
    </row>
    <row r="2369" spans="1:14" ht="17.5" thickBot="1" x14ac:dyDescent="0.45">
      <c r="A2369" s="4">
        <v>45226</v>
      </c>
      <c r="B2369" s="3">
        <v>117.27</v>
      </c>
      <c r="C2369" s="3">
        <v>287.39999999999998</v>
      </c>
      <c r="D2369" s="3">
        <v>103.63</v>
      </c>
      <c r="E2369" s="3">
        <v>1.2666999999999999</v>
      </c>
      <c r="F2369" s="3">
        <v>258.29000000000002</v>
      </c>
      <c r="G2369" s="3">
        <v>327</v>
      </c>
      <c r="H2369" s="3">
        <v>174</v>
      </c>
      <c r="I2369" s="3">
        <v>273.72000000000003</v>
      </c>
      <c r="J2369" s="3">
        <v>117.93</v>
      </c>
      <c r="K2369" s="3">
        <v>198.41</v>
      </c>
      <c r="L2369" s="3"/>
      <c r="N2369" s="4"/>
    </row>
    <row r="2370" spans="1:14" ht="17.5" thickBot="1" x14ac:dyDescent="0.45">
      <c r="A2370" s="4">
        <v>45227</v>
      </c>
      <c r="B2370" s="3">
        <v>117.27</v>
      </c>
      <c r="C2370" s="3">
        <v>287.39999999999998</v>
      </c>
      <c r="D2370" s="3">
        <v>103.63</v>
      </c>
      <c r="E2370" s="3">
        <v>1.2666999999999999</v>
      </c>
      <c r="F2370" s="3">
        <v>258.29000000000002</v>
      </c>
      <c r="G2370" s="3">
        <v>327</v>
      </c>
      <c r="H2370" s="3">
        <v>174</v>
      </c>
      <c r="I2370" s="3">
        <v>273.72000000000003</v>
      </c>
      <c r="J2370" s="3">
        <v>117.93</v>
      </c>
      <c r="K2370" s="3">
        <v>198.41</v>
      </c>
      <c r="L2370" s="3"/>
      <c r="N2370" s="4"/>
    </row>
    <row r="2371" spans="1:14" ht="17.5" thickBot="1" x14ac:dyDescent="0.45">
      <c r="A2371" s="4">
        <v>45228</v>
      </c>
      <c r="B2371" s="3">
        <v>117.27</v>
      </c>
      <c r="C2371" s="3">
        <v>287.39999999999998</v>
      </c>
      <c r="D2371" s="3">
        <v>103.63</v>
      </c>
      <c r="E2371" s="3">
        <v>1.2666999999999999</v>
      </c>
      <c r="F2371" s="3">
        <v>258.29000000000002</v>
      </c>
      <c r="G2371" s="3">
        <v>327</v>
      </c>
      <c r="H2371" s="3">
        <v>174</v>
      </c>
      <c r="I2371" s="3">
        <v>273.72000000000003</v>
      </c>
      <c r="J2371" s="3">
        <v>117.93</v>
      </c>
      <c r="K2371" s="3">
        <v>198.41</v>
      </c>
      <c r="L2371" s="3"/>
      <c r="N2371" s="4"/>
    </row>
    <row r="2372" spans="1:14" ht="17.5" thickBot="1" x14ac:dyDescent="0.45">
      <c r="A2372" s="4">
        <v>45229</v>
      </c>
      <c r="B2372" s="3">
        <v>117.23</v>
      </c>
      <c r="C2372" s="3">
        <v>287.48</v>
      </c>
      <c r="D2372" s="3">
        <v>103.73</v>
      </c>
      <c r="E2372" s="3">
        <v>1.2718</v>
      </c>
      <c r="F2372" s="3">
        <v>259.27999999999997</v>
      </c>
      <c r="G2372" s="3">
        <v>331.43</v>
      </c>
      <c r="H2372" s="3">
        <v>174.37</v>
      </c>
      <c r="I2372" s="3">
        <v>277</v>
      </c>
      <c r="J2372" s="3">
        <v>117.98</v>
      </c>
      <c r="K2372" s="3">
        <v>198.86</v>
      </c>
      <c r="L2372" s="3"/>
      <c r="N2372" s="4"/>
    </row>
    <row r="2373" spans="1:14" ht="17.5" thickBot="1" x14ac:dyDescent="0.45">
      <c r="A2373" s="4">
        <v>45230</v>
      </c>
      <c r="B2373" s="3">
        <v>115.21</v>
      </c>
      <c r="C2373" s="3">
        <v>284.85000000000002</v>
      </c>
      <c r="D2373" s="3">
        <v>103.71</v>
      </c>
      <c r="E2373" s="3">
        <v>1.2750999999999999</v>
      </c>
      <c r="F2373" s="3">
        <v>257.72000000000003</v>
      </c>
      <c r="G2373" s="3">
        <v>332.8</v>
      </c>
      <c r="H2373" s="3">
        <v>173.69</v>
      </c>
      <c r="I2373" s="3">
        <v>278.69</v>
      </c>
      <c r="J2373" s="3">
        <v>118.01</v>
      </c>
      <c r="K2373" s="3">
        <v>198.04</v>
      </c>
      <c r="L2373" s="3"/>
      <c r="N2373" s="4"/>
    </row>
    <row r="2374" spans="1:14" ht="17.5" thickBot="1" x14ac:dyDescent="0.45">
      <c r="A2374" s="4">
        <v>45231</v>
      </c>
      <c r="B2374" s="3">
        <v>115.05</v>
      </c>
      <c r="C2374" s="3">
        <v>286.58999999999997</v>
      </c>
      <c r="D2374" s="3">
        <v>103.68</v>
      </c>
      <c r="E2374" s="3">
        <v>1.2848999999999999</v>
      </c>
      <c r="F2374" s="3">
        <v>259.29000000000002</v>
      </c>
      <c r="G2374" s="3">
        <v>336.07</v>
      </c>
      <c r="H2374" s="3">
        <v>174.42</v>
      </c>
      <c r="I2374" s="3">
        <v>281.75</v>
      </c>
      <c r="J2374" s="3">
        <v>118.01</v>
      </c>
      <c r="K2374" s="3">
        <v>198.97</v>
      </c>
      <c r="L2374" s="3"/>
      <c r="N2374" s="4"/>
    </row>
    <row r="2375" spans="1:14" ht="17.5" thickBot="1" x14ac:dyDescent="0.45">
      <c r="A2375" s="4">
        <v>45232</v>
      </c>
      <c r="B2375" s="3">
        <v>115.96</v>
      </c>
      <c r="C2375" s="3">
        <v>290.67</v>
      </c>
      <c r="D2375" s="3">
        <v>104.44</v>
      </c>
      <c r="E2375" s="3">
        <v>1.3012999999999999</v>
      </c>
      <c r="F2375" s="3">
        <v>262.54000000000002</v>
      </c>
      <c r="G2375" s="3">
        <v>341.51</v>
      </c>
      <c r="H2375" s="3">
        <v>176.17</v>
      </c>
      <c r="I2375" s="3">
        <v>287.14999999999998</v>
      </c>
      <c r="J2375" s="3">
        <v>118.02</v>
      </c>
      <c r="K2375" s="3">
        <v>201.05</v>
      </c>
      <c r="L2375" s="3"/>
      <c r="N2375" s="4"/>
    </row>
    <row r="2376" spans="1:14" ht="17.5" thickBot="1" x14ac:dyDescent="0.45">
      <c r="A2376" s="4">
        <v>45233</v>
      </c>
      <c r="B2376" s="3">
        <v>118.78</v>
      </c>
      <c r="C2376" s="3">
        <v>294.95999999999998</v>
      </c>
      <c r="D2376" s="3">
        <v>105.03</v>
      </c>
      <c r="E2376" s="3">
        <v>1.3125</v>
      </c>
      <c r="F2376" s="3">
        <v>265.99</v>
      </c>
      <c r="G2376" s="3">
        <v>344.49</v>
      </c>
      <c r="H2376" s="3">
        <v>177.95</v>
      </c>
      <c r="I2376" s="3">
        <v>289.8</v>
      </c>
      <c r="J2376" s="3">
        <v>118.02</v>
      </c>
      <c r="K2376" s="3">
        <v>203.2</v>
      </c>
      <c r="L2376" s="3"/>
      <c r="N2376" s="4"/>
    </row>
    <row r="2377" spans="1:14" ht="17.5" thickBot="1" x14ac:dyDescent="0.45">
      <c r="A2377" s="4">
        <v>45234</v>
      </c>
      <c r="B2377" s="3">
        <v>118.78</v>
      </c>
      <c r="C2377" s="3">
        <v>294.95999999999998</v>
      </c>
      <c r="D2377" s="3">
        <v>105.03</v>
      </c>
      <c r="E2377" s="3">
        <v>1.3125</v>
      </c>
      <c r="F2377" s="3">
        <v>265.99</v>
      </c>
      <c r="G2377" s="3">
        <v>344.49</v>
      </c>
      <c r="H2377" s="3">
        <v>177.95</v>
      </c>
      <c r="I2377" s="3">
        <v>289.8</v>
      </c>
      <c r="J2377" s="3">
        <v>118.02</v>
      </c>
      <c r="K2377" s="3">
        <v>203.2</v>
      </c>
      <c r="L2377" s="3"/>
      <c r="N2377" s="4"/>
    </row>
    <row r="2378" spans="1:14" ht="17.5" thickBot="1" x14ac:dyDescent="0.45">
      <c r="A2378" s="4">
        <v>45235</v>
      </c>
      <c r="B2378" s="3">
        <v>118.78</v>
      </c>
      <c r="C2378" s="3">
        <v>294.95999999999998</v>
      </c>
      <c r="D2378" s="3">
        <v>105.03</v>
      </c>
      <c r="E2378" s="3">
        <v>1.3125</v>
      </c>
      <c r="F2378" s="3">
        <v>265.99</v>
      </c>
      <c r="G2378" s="3">
        <v>344.49</v>
      </c>
      <c r="H2378" s="3">
        <v>177.95</v>
      </c>
      <c r="I2378" s="3">
        <v>289.8</v>
      </c>
      <c r="J2378" s="3">
        <v>118.02</v>
      </c>
      <c r="K2378" s="3">
        <v>203.2</v>
      </c>
      <c r="L2378" s="3"/>
      <c r="N2378" s="4"/>
    </row>
    <row r="2379" spans="1:14" ht="17.5" thickBot="1" x14ac:dyDescent="0.45">
      <c r="A2379" s="4">
        <v>45236</v>
      </c>
      <c r="B2379" s="3">
        <v>120.75</v>
      </c>
      <c r="C2379" s="3">
        <v>299.94</v>
      </c>
      <c r="D2379" s="3">
        <v>105.52</v>
      </c>
      <c r="E2379" s="3">
        <v>1.3136000000000001</v>
      </c>
      <c r="F2379" s="3">
        <v>268.62</v>
      </c>
      <c r="G2379" s="3">
        <v>344.71</v>
      </c>
      <c r="H2379" s="3">
        <v>178.7</v>
      </c>
      <c r="I2379" s="3">
        <v>290.25</v>
      </c>
      <c r="J2379" s="3">
        <v>118.07</v>
      </c>
      <c r="K2379" s="3">
        <v>204.06</v>
      </c>
      <c r="L2379" s="3"/>
      <c r="N2379" s="4"/>
    </row>
    <row r="2380" spans="1:14" ht="17.5" thickBot="1" x14ac:dyDescent="0.45">
      <c r="A2380" s="4">
        <v>45237</v>
      </c>
      <c r="B2380" s="3">
        <v>118.78</v>
      </c>
      <c r="C2380" s="3">
        <v>296.48</v>
      </c>
      <c r="D2380" s="3">
        <v>105.22</v>
      </c>
      <c r="E2380" s="3">
        <v>1.3140000000000001</v>
      </c>
      <c r="F2380" s="3">
        <v>266.45</v>
      </c>
      <c r="G2380" s="3">
        <v>345.8</v>
      </c>
      <c r="H2380" s="3">
        <v>178.14</v>
      </c>
      <c r="I2380" s="3">
        <v>290.99</v>
      </c>
      <c r="J2380" s="3">
        <v>118.07</v>
      </c>
      <c r="K2380" s="3">
        <v>203.36</v>
      </c>
      <c r="L2380" s="3"/>
      <c r="N2380" s="4"/>
    </row>
    <row r="2381" spans="1:14" ht="17.5" thickBot="1" x14ac:dyDescent="0.45">
      <c r="A2381" s="4">
        <v>45238</v>
      </c>
      <c r="B2381" s="3">
        <v>118.07</v>
      </c>
      <c r="C2381" s="3">
        <v>294.72000000000003</v>
      </c>
      <c r="D2381" s="3">
        <v>105.4</v>
      </c>
      <c r="E2381" s="3">
        <v>1.3150999999999999</v>
      </c>
      <c r="F2381" s="3">
        <v>265.79000000000002</v>
      </c>
      <c r="G2381" s="3">
        <v>345.69</v>
      </c>
      <c r="H2381" s="3">
        <v>178.22</v>
      </c>
      <c r="I2381" s="3">
        <v>291.13</v>
      </c>
      <c r="J2381" s="3">
        <v>118.07</v>
      </c>
      <c r="K2381" s="3">
        <v>203.39</v>
      </c>
      <c r="L2381" s="3"/>
      <c r="N2381" s="4"/>
    </row>
    <row r="2382" spans="1:14" ht="17.5" thickBot="1" x14ac:dyDescent="0.45">
      <c r="A2382" s="4">
        <v>45239</v>
      </c>
      <c r="B2382" s="3">
        <v>117.92</v>
      </c>
      <c r="C2382" s="3">
        <v>295.2</v>
      </c>
      <c r="D2382" s="3">
        <v>105.37</v>
      </c>
      <c r="E2382" s="3">
        <v>1.3102</v>
      </c>
      <c r="F2382" s="3">
        <v>265.57</v>
      </c>
      <c r="G2382" s="3">
        <v>343.04</v>
      </c>
      <c r="H2382" s="3">
        <v>177.74</v>
      </c>
      <c r="I2382" s="3">
        <v>288.75</v>
      </c>
      <c r="J2382" s="3">
        <v>118.08</v>
      </c>
      <c r="K2382" s="3">
        <v>202.88</v>
      </c>
      <c r="L2382" s="3"/>
      <c r="N2382" s="4"/>
    </row>
    <row r="2383" spans="1:14" ht="17.5" thickBot="1" x14ac:dyDescent="0.45">
      <c r="A2383" s="4">
        <v>45240</v>
      </c>
      <c r="B2383" s="3">
        <v>115.83</v>
      </c>
      <c r="C2383" s="3">
        <v>292.60000000000002</v>
      </c>
      <c r="D2383" s="3">
        <v>104.97</v>
      </c>
      <c r="E2383" s="3">
        <v>1.3147</v>
      </c>
      <c r="F2383" s="3">
        <v>264.29000000000002</v>
      </c>
      <c r="G2383" s="3">
        <v>348.69</v>
      </c>
      <c r="H2383" s="3">
        <v>177.14</v>
      </c>
      <c r="I2383" s="3">
        <v>293.23</v>
      </c>
      <c r="J2383" s="3">
        <v>118.13</v>
      </c>
      <c r="K2383" s="3">
        <v>202.1</v>
      </c>
      <c r="L2383" s="3"/>
      <c r="N2383" s="4"/>
    </row>
    <row r="2384" spans="1:14" ht="17.5" thickBot="1" x14ac:dyDescent="0.45">
      <c r="A2384" s="4">
        <v>45241</v>
      </c>
      <c r="B2384" s="3">
        <v>115.83</v>
      </c>
      <c r="C2384" s="3">
        <v>292.60000000000002</v>
      </c>
      <c r="D2384" s="3">
        <v>104.97</v>
      </c>
      <c r="E2384" s="3">
        <v>1.3147</v>
      </c>
      <c r="F2384" s="3">
        <v>264.29000000000002</v>
      </c>
      <c r="G2384" s="3">
        <v>348.69</v>
      </c>
      <c r="H2384" s="3">
        <v>177.14</v>
      </c>
      <c r="I2384" s="3">
        <v>293.23</v>
      </c>
      <c r="J2384" s="3">
        <v>118.13</v>
      </c>
      <c r="K2384" s="3">
        <v>202.1</v>
      </c>
      <c r="L2384" s="3"/>
      <c r="N2384" s="4"/>
    </row>
    <row r="2385" spans="1:14" ht="17.5" thickBot="1" x14ac:dyDescent="0.45">
      <c r="A2385" s="4">
        <v>45242</v>
      </c>
      <c r="B2385" s="3">
        <v>115.83</v>
      </c>
      <c r="C2385" s="3">
        <v>292.60000000000002</v>
      </c>
      <c r="D2385" s="3">
        <v>104.97</v>
      </c>
      <c r="E2385" s="3">
        <v>1.3147</v>
      </c>
      <c r="F2385" s="3">
        <v>264.29000000000002</v>
      </c>
      <c r="G2385" s="3">
        <v>348.69</v>
      </c>
      <c r="H2385" s="3">
        <v>177.14</v>
      </c>
      <c r="I2385" s="3">
        <v>293.23</v>
      </c>
      <c r="J2385" s="3">
        <v>118.14</v>
      </c>
      <c r="K2385" s="3">
        <v>202.1</v>
      </c>
      <c r="L2385" s="3"/>
      <c r="N2385" s="4"/>
    </row>
    <row r="2386" spans="1:14" ht="17.5" thickBot="1" x14ac:dyDescent="0.45">
      <c r="A2386" s="4">
        <v>45243</v>
      </c>
      <c r="B2386" s="3">
        <v>117.44</v>
      </c>
      <c r="C2386" s="3">
        <v>294.02</v>
      </c>
      <c r="D2386" s="3">
        <v>104.88</v>
      </c>
      <c r="E2386" s="3">
        <v>1.3157000000000001</v>
      </c>
      <c r="F2386" s="3">
        <v>265.64999999999998</v>
      </c>
      <c r="G2386" s="3">
        <v>348.2</v>
      </c>
      <c r="H2386" s="3">
        <v>177.68</v>
      </c>
      <c r="I2386" s="3">
        <v>292.91000000000003</v>
      </c>
      <c r="J2386" s="3">
        <v>118.14</v>
      </c>
      <c r="K2386" s="3">
        <v>202.72</v>
      </c>
      <c r="L2386" s="3"/>
      <c r="N2386" s="4"/>
    </row>
    <row r="2387" spans="1:14" ht="17.5" thickBot="1" x14ac:dyDescent="0.45">
      <c r="A2387" s="4">
        <v>45244</v>
      </c>
      <c r="B2387" s="3">
        <v>117.26</v>
      </c>
      <c r="C2387" s="3">
        <v>295.64999999999998</v>
      </c>
      <c r="D2387" s="3">
        <v>105.19</v>
      </c>
      <c r="E2387" s="3">
        <v>1.3349</v>
      </c>
      <c r="F2387" s="3">
        <v>268.76</v>
      </c>
      <c r="G2387" s="3">
        <v>354.55</v>
      </c>
      <c r="H2387" s="3">
        <v>179.72</v>
      </c>
      <c r="I2387" s="3">
        <v>298.52999999999997</v>
      </c>
      <c r="J2387" s="3">
        <v>118.14</v>
      </c>
      <c r="K2387" s="3">
        <v>205.12</v>
      </c>
      <c r="L2387" s="3"/>
      <c r="N2387" s="4"/>
    </row>
    <row r="2388" spans="1:14" ht="17.5" thickBot="1" x14ac:dyDescent="0.45">
      <c r="A2388" s="4">
        <v>45245</v>
      </c>
      <c r="B2388" s="3">
        <v>121.6</v>
      </c>
      <c r="C2388" s="3">
        <v>301.98</v>
      </c>
      <c r="D2388" s="3">
        <v>105.94</v>
      </c>
      <c r="E2388" s="3">
        <v>1.3382000000000001</v>
      </c>
      <c r="F2388" s="3">
        <v>272.31</v>
      </c>
      <c r="G2388" s="3">
        <v>354.97</v>
      </c>
      <c r="H2388" s="3">
        <v>180.76</v>
      </c>
      <c r="I2388" s="3">
        <v>299.10000000000002</v>
      </c>
      <c r="J2388" s="3">
        <v>118.19</v>
      </c>
      <c r="K2388" s="3">
        <v>206.44</v>
      </c>
      <c r="L2388" s="3"/>
      <c r="N2388" s="4"/>
    </row>
    <row r="2389" spans="1:14" ht="17.5" thickBot="1" x14ac:dyDescent="0.45">
      <c r="A2389" s="4">
        <v>45246</v>
      </c>
      <c r="B2389" s="3">
        <v>119.97</v>
      </c>
      <c r="C2389" s="3">
        <v>301.23</v>
      </c>
      <c r="D2389" s="3">
        <v>105.94</v>
      </c>
      <c r="E2389" s="3">
        <v>1.3393999999999999</v>
      </c>
      <c r="F2389" s="3">
        <v>271.41000000000003</v>
      </c>
      <c r="G2389" s="3">
        <v>355.11</v>
      </c>
      <c r="H2389" s="3">
        <v>180.73</v>
      </c>
      <c r="I2389" s="3">
        <v>299.45999999999998</v>
      </c>
      <c r="J2389" s="3">
        <v>118.2</v>
      </c>
      <c r="K2389" s="3">
        <v>206.36</v>
      </c>
      <c r="L2389" s="3"/>
      <c r="N2389" s="4"/>
    </row>
    <row r="2390" spans="1:14" ht="17.5" thickBot="1" x14ac:dyDescent="0.45">
      <c r="A2390" s="4">
        <v>45247</v>
      </c>
      <c r="B2390" s="3">
        <v>117.49</v>
      </c>
      <c r="C2390" s="3">
        <v>300.19</v>
      </c>
      <c r="D2390" s="3">
        <v>106.21</v>
      </c>
      <c r="E2390" s="3">
        <v>1.3418000000000001</v>
      </c>
      <c r="F2390" s="3">
        <v>271.02</v>
      </c>
      <c r="G2390" s="3">
        <v>355.58</v>
      </c>
      <c r="H2390" s="3">
        <v>180.63</v>
      </c>
      <c r="I2390" s="3">
        <v>299.54000000000002</v>
      </c>
      <c r="J2390" s="3">
        <v>118.2</v>
      </c>
      <c r="K2390" s="3">
        <v>206.27</v>
      </c>
      <c r="L2390" s="3"/>
      <c r="N2390" s="4"/>
    </row>
    <row r="2391" spans="1:14" ht="17.5" thickBot="1" x14ac:dyDescent="0.45">
      <c r="A2391" s="4">
        <v>45248</v>
      </c>
      <c r="B2391" s="3">
        <v>117.49</v>
      </c>
      <c r="C2391" s="3">
        <v>300.19</v>
      </c>
      <c r="D2391" s="3">
        <v>106.21</v>
      </c>
      <c r="E2391" s="3">
        <v>1.3418000000000001</v>
      </c>
      <c r="F2391" s="3">
        <v>271.02</v>
      </c>
      <c r="G2391" s="3">
        <v>355.58</v>
      </c>
      <c r="H2391" s="3">
        <v>180.63</v>
      </c>
      <c r="I2391" s="3">
        <v>299.54000000000002</v>
      </c>
      <c r="J2391" s="3">
        <v>118.2</v>
      </c>
      <c r="K2391" s="3">
        <v>206.27</v>
      </c>
      <c r="L2391" s="3"/>
      <c r="N2391" s="4"/>
    </row>
    <row r="2392" spans="1:14" ht="17.5" thickBot="1" x14ac:dyDescent="0.45">
      <c r="A2392" s="4">
        <v>45249</v>
      </c>
      <c r="B2392" s="3">
        <v>117.49</v>
      </c>
      <c r="C2392" s="3">
        <v>300.19</v>
      </c>
      <c r="D2392" s="3">
        <v>106.21</v>
      </c>
      <c r="E2392" s="3">
        <v>1.3418000000000001</v>
      </c>
      <c r="F2392" s="3">
        <v>271.02</v>
      </c>
      <c r="G2392" s="3">
        <v>355.58</v>
      </c>
      <c r="H2392" s="3">
        <v>180.63</v>
      </c>
      <c r="I2392" s="3">
        <v>299.54000000000002</v>
      </c>
      <c r="J2392" s="3">
        <v>118.2</v>
      </c>
      <c r="K2392" s="3">
        <v>206.27</v>
      </c>
      <c r="L2392" s="3"/>
      <c r="N2392" s="4"/>
    </row>
    <row r="2393" spans="1:14" ht="17.5" thickBot="1" x14ac:dyDescent="0.45">
      <c r="A2393" s="4">
        <v>45250</v>
      </c>
      <c r="B2393" s="3">
        <v>119.6</v>
      </c>
      <c r="C2393" s="3">
        <v>302.14</v>
      </c>
      <c r="D2393" s="3">
        <v>106.24</v>
      </c>
      <c r="E2393" s="3">
        <v>1.3469</v>
      </c>
      <c r="F2393" s="3">
        <v>273.08999999999997</v>
      </c>
      <c r="G2393" s="3">
        <v>357.74</v>
      </c>
      <c r="H2393" s="3">
        <v>181.49</v>
      </c>
      <c r="I2393" s="3">
        <v>301.81</v>
      </c>
      <c r="J2393" s="3">
        <v>118.25</v>
      </c>
      <c r="K2393" s="3">
        <v>207.33</v>
      </c>
      <c r="L2393" s="3"/>
      <c r="N2393" s="4"/>
    </row>
    <row r="2394" spans="1:14" ht="17.5" thickBot="1" x14ac:dyDescent="0.45">
      <c r="A2394" s="4">
        <v>45251</v>
      </c>
      <c r="B2394" s="3">
        <v>119.24</v>
      </c>
      <c r="C2394" s="3">
        <v>303.20999999999998</v>
      </c>
      <c r="D2394" s="3">
        <v>106.5</v>
      </c>
      <c r="E2394" s="3">
        <v>1.3472</v>
      </c>
      <c r="F2394" s="3">
        <v>273.29000000000002</v>
      </c>
      <c r="G2394" s="3">
        <v>356.96</v>
      </c>
      <c r="H2394" s="3">
        <v>181.75</v>
      </c>
      <c r="I2394" s="3">
        <v>301.08</v>
      </c>
      <c r="J2394" s="3">
        <v>118.26</v>
      </c>
      <c r="K2394" s="3">
        <v>207.6</v>
      </c>
      <c r="L2394" s="3"/>
      <c r="N2394" s="4"/>
    </row>
    <row r="2395" spans="1:14" ht="17.5" thickBot="1" x14ac:dyDescent="0.45">
      <c r="A2395" s="4">
        <v>45252</v>
      </c>
      <c r="B2395" s="3">
        <v>119.36</v>
      </c>
      <c r="C2395" s="3">
        <v>302.02</v>
      </c>
      <c r="D2395" s="3">
        <v>106.37</v>
      </c>
      <c r="E2395" s="3">
        <v>1.3476999999999999</v>
      </c>
      <c r="F2395" s="3">
        <v>272.75</v>
      </c>
      <c r="G2395" s="3">
        <v>358.46</v>
      </c>
      <c r="H2395" s="3">
        <v>181.43</v>
      </c>
      <c r="I2395" s="3">
        <v>302.35000000000002</v>
      </c>
      <c r="J2395" s="3">
        <v>118.26</v>
      </c>
      <c r="K2395" s="3">
        <v>207.22</v>
      </c>
      <c r="L2395" s="3"/>
      <c r="N2395" s="4"/>
    </row>
    <row r="2396" spans="1:14" ht="17.5" thickBot="1" x14ac:dyDescent="0.45">
      <c r="A2396" s="4">
        <v>45253</v>
      </c>
      <c r="B2396" s="3">
        <v>120.65</v>
      </c>
      <c r="C2396" s="3">
        <v>302.7</v>
      </c>
      <c r="D2396" s="3">
        <v>106.44</v>
      </c>
      <c r="E2396" s="3">
        <v>1.3478000000000001</v>
      </c>
      <c r="F2396" s="3">
        <v>274.01</v>
      </c>
      <c r="G2396" s="3">
        <v>358.5</v>
      </c>
      <c r="H2396" s="3">
        <v>181.88</v>
      </c>
      <c r="I2396" s="3">
        <v>302.32</v>
      </c>
      <c r="J2396" s="3">
        <v>118.26</v>
      </c>
      <c r="K2396" s="3">
        <v>207.75</v>
      </c>
      <c r="L2396" s="3"/>
      <c r="N2396" s="4"/>
    </row>
    <row r="2397" spans="1:14" ht="17.5" thickBot="1" x14ac:dyDescent="0.45">
      <c r="A2397" s="4">
        <v>45254</v>
      </c>
      <c r="B2397" s="3">
        <v>118.31</v>
      </c>
      <c r="C2397" s="3">
        <v>300.79000000000002</v>
      </c>
      <c r="D2397" s="3">
        <v>106.16</v>
      </c>
      <c r="E2397" s="3">
        <v>1.3476999999999999</v>
      </c>
      <c r="F2397" s="3">
        <v>272.62</v>
      </c>
      <c r="G2397" s="3">
        <v>358.22</v>
      </c>
      <c r="H2397" s="3">
        <v>181.09</v>
      </c>
      <c r="I2397" s="3">
        <v>302.35000000000002</v>
      </c>
      <c r="J2397" s="3">
        <v>118.27</v>
      </c>
      <c r="K2397" s="3">
        <v>206.9</v>
      </c>
      <c r="L2397" s="3"/>
      <c r="N2397" s="4"/>
    </row>
    <row r="2398" spans="1:14" ht="17.5" thickBot="1" x14ac:dyDescent="0.45">
      <c r="A2398" s="4">
        <v>45255</v>
      </c>
      <c r="B2398" s="3">
        <v>118.31</v>
      </c>
      <c r="C2398" s="3">
        <v>300.79000000000002</v>
      </c>
      <c r="D2398" s="3">
        <v>106.16</v>
      </c>
      <c r="E2398" s="3">
        <v>1.3476999999999999</v>
      </c>
      <c r="F2398" s="3">
        <v>272.62</v>
      </c>
      <c r="G2398" s="3">
        <v>358.22</v>
      </c>
      <c r="H2398" s="3">
        <v>181.09</v>
      </c>
      <c r="I2398" s="3">
        <v>302.35000000000002</v>
      </c>
      <c r="J2398" s="3">
        <v>118.27</v>
      </c>
      <c r="K2398" s="3">
        <v>206.9</v>
      </c>
      <c r="L2398" s="3"/>
      <c r="N2398" s="4"/>
    </row>
    <row r="2399" spans="1:14" ht="17.5" thickBot="1" x14ac:dyDescent="0.45">
      <c r="A2399" s="4">
        <v>45256</v>
      </c>
      <c r="B2399" s="3">
        <v>118.31</v>
      </c>
      <c r="C2399" s="3">
        <v>300.79000000000002</v>
      </c>
      <c r="D2399" s="3">
        <v>106.16</v>
      </c>
      <c r="E2399" s="3">
        <v>1.3476999999999999</v>
      </c>
      <c r="F2399" s="3">
        <v>272.62</v>
      </c>
      <c r="G2399" s="3">
        <v>358.22</v>
      </c>
      <c r="H2399" s="3">
        <v>181.09</v>
      </c>
      <c r="I2399" s="3">
        <v>302.35000000000002</v>
      </c>
      <c r="J2399" s="3">
        <v>118.27</v>
      </c>
      <c r="K2399" s="3">
        <v>206.9</v>
      </c>
      <c r="L2399" s="3"/>
      <c r="N2399" s="4"/>
    </row>
    <row r="2400" spans="1:14" ht="17.5" thickBot="1" x14ac:dyDescent="0.45">
      <c r="A2400" s="4">
        <v>45257</v>
      </c>
      <c r="B2400" s="3">
        <v>118.09</v>
      </c>
      <c r="C2400" s="3">
        <v>300.01</v>
      </c>
      <c r="D2400" s="3">
        <v>106.3</v>
      </c>
      <c r="E2400" s="3">
        <v>1.3476999999999999</v>
      </c>
      <c r="F2400" s="3">
        <v>272.22000000000003</v>
      </c>
      <c r="G2400" s="3">
        <v>357.46</v>
      </c>
      <c r="H2400" s="3">
        <v>181.35</v>
      </c>
      <c r="I2400" s="3">
        <v>301.68</v>
      </c>
      <c r="J2400" s="3">
        <v>118.29</v>
      </c>
      <c r="K2400" s="3">
        <v>207.16</v>
      </c>
      <c r="L2400" s="3"/>
      <c r="N2400" s="4"/>
    </row>
    <row r="2401" spans="1:14" ht="17.5" thickBot="1" x14ac:dyDescent="0.45">
      <c r="A2401" s="4">
        <v>45258</v>
      </c>
      <c r="B2401" s="3">
        <v>117.01</v>
      </c>
      <c r="C2401" s="3">
        <v>301.52999999999997</v>
      </c>
      <c r="D2401" s="3">
        <v>106.72</v>
      </c>
      <c r="E2401" s="3">
        <v>1.3513999999999999</v>
      </c>
      <c r="F2401" s="3">
        <v>272.64</v>
      </c>
      <c r="G2401" s="3">
        <v>358.19</v>
      </c>
      <c r="H2401" s="3">
        <v>181.86</v>
      </c>
      <c r="I2401" s="3">
        <v>302.06</v>
      </c>
      <c r="J2401" s="3">
        <v>118.3</v>
      </c>
      <c r="K2401" s="3">
        <v>207.74</v>
      </c>
      <c r="L2401" s="3"/>
      <c r="N2401" s="4"/>
    </row>
    <row r="2402" spans="1:14" ht="17.5" thickBot="1" x14ac:dyDescent="0.45">
      <c r="A2402" s="4">
        <v>45259</v>
      </c>
      <c r="B2402" s="3">
        <v>114.59</v>
      </c>
      <c r="C2402" s="3">
        <v>300.60000000000002</v>
      </c>
      <c r="D2402" s="3">
        <v>107.25</v>
      </c>
      <c r="E2402" s="3">
        <v>1.3545</v>
      </c>
      <c r="F2402" s="3">
        <v>271.74</v>
      </c>
      <c r="G2402" s="3">
        <v>357.87</v>
      </c>
      <c r="H2402" s="3">
        <v>182.05</v>
      </c>
      <c r="I2402" s="3">
        <v>302</v>
      </c>
      <c r="J2402" s="3">
        <v>118.3</v>
      </c>
      <c r="K2402" s="3">
        <v>207.9</v>
      </c>
      <c r="L2402" s="3"/>
      <c r="N2402" s="4"/>
    </row>
    <row r="2403" spans="1:14" ht="17.5" thickBot="1" x14ac:dyDescent="0.45">
      <c r="A2403" s="4">
        <v>45260</v>
      </c>
      <c r="B2403" s="3">
        <v>114.97</v>
      </c>
      <c r="C2403" s="3">
        <v>301.64999999999998</v>
      </c>
      <c r="D2403" s="3">
        <v>107.27</v>
      </c>
      <c r="E2403" s="3">
        <v>1.3561000000000001</v>
      </c>
      <c r="F2403" s="3">
        <v>272.31</v>
      </c>
      <c r="G2403" s="3">
        <v>359.31</v>
      </c>
      <c r="H2403" s="3">
        <v>181.95</v>
      </c>
      <c r="I2403" s="3">
        <v>303.35000000000002</v>
      </c>
      <c r="J2403" s="3">
        <v>118.38</v>
      </c>
      <c r="K2403" s="3">
        <v>207.83</v>
      </c>
      <c r="L2403" s="3"/>
      <c r="N2403" s="4"/>
    </row>
    <row r="2404" spans="1:14" ht="17.5" thickBot="1" x14ac:dyDescent="0.45">
      <c r="A2404" s="4">
        <v>45261</v>
      </c>
      <c r="B2404" s="3">
        <v>113.56</v>
      </c>
      <c r="C2404" s="3">
        <v>300.87</v>
      </c>
      <c r="D2404" s="3">
        <v>107.27</v>
      </c>
      <c r="E2404" s="3">
        <v>1.363</v>
      </c>
      <c r="F2404" s="3">
        <v>272.24</v>
      </c>
      <c r="G2404" s="3">
        <v>361.85</v>
      </c>
      <c r="H2404" s="3">
        <v>182.28</v>
      </c>
      <c r="I2404" s="3">
        <v>305.18</v>
      </c>
      <c r="J2404" s="3">
        <v>118.38</v>
      </c>
      <c r="K2404" s="3">
        <v>208.14</v>
      </c>
      <c r="L2404" s="3"/>
      <c r="N2404" s="4"/>
    </row>
    <row r="2405" spans="1:14" ht="17.5" thickBot="1" x14ac:dyDescent="0.45">
      <c r="A2405" s="4">
        <v>45262</v>
      </c>
      <c r="B2405" s="3">
        <v>113.56</v>
      </c>
      <c r="C2405" s="3">
        <v>300.87</v>
      </c>
      <c r="D2405" s="3">
        <v>107.27</v>
      </c>
      <c r="E2405" s="3">
        <v>1.363</v>
      </c>
      <c r="F2405" s="3">
        <v>272.24</v>
      </c>
      <c r="G2405" s="3">
        <v>361.85</v>
      </c>
      <c r="H2405" s="3">
        <v>182.28</v>
      </c>
      <c r="I2405" s="3">
        <v>305.18</v>
      </c>
      <c r="J2405" s="3">
        <v>118.38</v>
      </c>
      <c r="K2405" s="3">
        <v>208.14</v>
      </c>
      <c r="L2405" s="3"/>
      <c r="N2405" s="4"/>
    </row>
    <row r="2406" spans="1:14" ht="17.5" thickBot="1" x14ac:dyDescent="0.45">
      <c r="A2406" s="4">
        <v>45263</v>
      </c>
      <c r="B2406" s="3">
        <v>113.56</v>
      </c>
      <c r="C2406" s="3">
        <v>300.87</v>
      </c>
      <c r="D2406" s="3">
        <v>107.27</v>
      </c>
      <c r="E2406" s="3">
        <v>1.363</v>
      </c>
      <c r="F2406" s="3">
        <v>272.24</v>
      </c>
      <c r="G2406" s="3">
        <v>361.85</v>
      </c>
      <c r="H2406" s="3">
        <v>182.28</v>
      </c>
      <c r="I2406" s="3">
        <v>305.18</v>
      </c>
      <c r="J2406" s="3">
        <v>118.39</v>
      </c>
      <c r="K2406" s="3">
        <v>208.14</v>
      </c>
      <c r="L2406" s="3"/>
      <c r="N2406" s="4"/>
    </row>
    <row r="2407" spans="1:14" ht="17.5" thickBot="1" x14ac:dyDescent="0.45">
      <c r="A2407" s="4">
        <v>45264</v>
      </c>
      <c r="B2407" s="3">
        <v>112.37</v>
      </c>
      <c r="C2407" s="3">
        <v>300.70999999999998</v>
      </c>
      <c r="D2407" s="3">
        <v>107.46</v>
      </c>
      <c r="E2407" s="3">
        <v>1.3593</v>
      </c>
      <c r="F2407" s="3">
        <v>270.93</v>
      </c>
      <c r="G2407" s="3">
        <v>360.15</v>
      </c>
      <c r="H2407" s="3">
        <v>181.77</v>
      </c>
      <c r="I2407" s="3">
        <v>303.72000000000003</v>
      </c>
      <c r="J2407" s="3">
        <v>118.39</v>
      </c>
      <c r="K2407" s="3">
        <v>207.53</v>
      </c>
      <c r="L2407" s="3"/>
      <c r="N2407" s="4"/>
    </row>
    <row r="2408" spans="1:14" ht="17.5" thickBot="1" x14ac:dyDescent="0.45">
      <c r="A2408" s="4">
        <v>45265</v>
      </c>
      <c r="B2408" s="3">
        <v>110.18</v>
      </c>
      <c r="C2408" s="3">
        <v>297.27</v>
      </c>
      <c r="D2408" s="3">
        <v>107.59</v>
      </c>
      <c r="E2408" s="3">
        <v>1.3611</v>
      </c>
      <c r="F2408" s="3">
        <v>268.99</v>
      </c>
      <c r="G2408" s="3">
        <v>359.91</v>
      </c>
      <c r="H2408" s="3">
        <v>181.57</v>
      </c>
      <c r="I2408" s="3">
        <v>303.75</v>
      </c>
      <c r="J2408" s="3">
        <v>118.44</v>
      </c>
      <c r="K2408" s="3">
        <v>207.19</v>
      </c>
      <c r="L2408" s="3"/>
      <c r="N2408" s="4"/>
    </row>
    <row r="2409" spans="1:14" ht="17.5" thickBot="1" x14ac:dyDescent="0.45">
      <c r="A2409" s="4">
        <v>45266</v>
      </c>
      <c r="B2409" s="3">
        <v>111.08</v>
      </c>
      <c r="C2409" s="3">
        <v>299.23</v>
      </c>
      <c r="D2409" s="3">
        <v>107.73</v>
      </c>
      <c r="E2409" s="3">
        <v>1.3619000000000001</v>
      </c>
      <c r="F2409" s="3">
        <v>270.33</v>
      </c>
      <c r="G2409" s="3">
        <v>358.41</v>
      </c>
      <c r="H2409" s="3">
        <v>182.22</v>
      </c>
      <c r="I2409" s="3">
        <v>302.33999999999997</v>
      </c>
      <c r="J2409" s="3">
        <v>118.44</v>
      </c>
      <c r="K2409" s="3">
        <v>207.98</v>
      </c>
      <c r="L2409" s="3"/>
      <c r="N2409" s="4"/>
    </row>
    <row r="2410" spans="1:14" ht="17.5" thickBot="1" x14ac:dyDescent="0.45">
      <c r="A2410" s="4">
        <v>45267</v>
      </c>
      <c r="B2410" s="3">
        <v>110.29</v>
      </c>
      <c r="C2410" s="3">
        <v>298.39</v>
      </c>
      <c r="D2410" s="3">
        <v>107.84</v>
      </c>
      <c r="E2410" s="3">
        <v>1.3653999999999999</v>
      </c>
      <c r="F2410" s="3">
        <v>270.27999999999997</v>
      </c>
      <c r="G2410" s="3">
        <v>361.68</v>
      </c>
      <c r="H2410" s="3">
        <v>182.2</v>
      </c>
      <c r="I2410" s="3">
        <v>304.7</v>
      </c>
      <c r="J2410" s="3">
        <v>118.44</v>
      </c>
      <c r="K2410" s="3">
        <v>207.98</v>
      </c>
      <c r="L2410" s="3"/>
      <c r="N2410" s="4"/>
    </row>
    <row r="2411" spans="1:14" ht="17.5" thickBot="1" x14ac:dyDescent="0.45">
      <c r="A2411" s="4">
        <v>45268</v>
      </c>
      <c r="B2411" s="3">
        <v>110.21</v>
      </c>
      <c r="C2411" s="3">
        <v>299.13</v>
      </c>
      <c r="D2411" s="3">
        <v>107.69</v>
      </c>
      <c r="E2411" s="3">
        <v>1.3653999999999999</v>
      </c>
      <c r="F2411" s="3">
        <v>270.08999999999997</v>
      </c>
      <c r="G2411" s="3">
        <v>363.14</v>
      </c>
      <c r="H2411" s="3">
        <v>181.77</v>
      </c>
      <c r="I2411" s="3">
        <v>305.94</v>
      </c>
      <c r="J2411" s="3">
        <v>118.45</v>
      </c>
      <c r="K2411" s="3">
        <v>207.49</v>
      </c>
      <c r="L2411" s="3"/>
      <c r="N2411" s="4"/>
    </row>
    <row r="2412" spans="1:14" ht="17.5" thickBot="1" x14ac:dyDescent="0.45">
      <c r="A2412" s="4">
        <v>45269</v>
      </c>
      <c r="B2412" s="3">
        <v>110.21</v>
      </c>
      <c r="C2412" s="3">
        <v>299.13</v>
      </c>
      <c r="D2412" s="3">
        <v>107.69</v>
      </c>
      <c r="E2412" s="3">
        <v>1.3653999999999999</v>
      </c>
      <c r="F2412" s="3">
        <v>270.08999999999997</v>
      </c>
      <c r="G2412" s="3">
        <v>363.14</v>
      </c>
      <c r="H2412" s="3">
        <v>181.77</v>
      </c>
      <c r="I2412" s="3">
        <v>305.94</v>
      </c>
      <c r="J2412" s="3">
        <v>118.45</v>
      </c>
      <c r="K2412" s="3">
        <v>207.49</v>
      </c>
      <c r="L2412" s="3"/>
      <c r="N2412" s="4"/>
    </row>
    <row r="2413" spans="1:14" ht="17.5" thickBot="1" x14ac:dyDescent="0.45">
      <c r="A2413" s="4">
        <v>45270</v>
      </c>
      <c r="B2413" s="3">
        <v>110.21</v>
      </c>
      <c r="C2413" s="3">
        <v>299.13</v>
      </c>
      <c r="D2413" s="3">
        <v>107.69</v>
      </c>
      <c r="E2413" s="3">
        <v>1.3653999999999999</v>
      </c>
      <c r="F2413" s="3">
        <v>270.08999999999997</v>
      </c>
      <c r="G2413" s="3">
        <v>363.14</v>
      </c>
      <c r="H2413" s="3">
        <v>181.77</v>
      </c>
      <c r="I2413" s="3">
        <v>305.94</v>
      </c>
      <c r="J2413" s="3">
        <v>118.45</v>
      </c>
      <c r="K2413" s="3">
        <v>207.49</v>
      </c>
      <c r="L2413" s="3"/>
      <c r="N2413" s="4"/>
    </row>
    <row r="2414" spans="1:14" ht="17.5" thickBot="1" x14ac:dyDescent="0.45">
      <c r="A2414" s="4">
        <v>45271</v>
      </c>
      <c r="B2414" s="3">
        <v>109.37</v>
      </c>
      <c r="C2414" s="3">
        <v>298.2</v>
      </c>
      <c r="D2414" s="3">
        <v>107.46</v>
      </c>
      <c r="E2414" s="3">
        <v>1.3666</v>
      </c>
      <c r="F2414" s="3">
        <v>269.64999999999998</v>
      </c>
      <c r="G2414" s="3">
        <v>364.35</v>
      </c>
      <c r="H2414" s="3">
        <v>181.5</v>
      </c>
      <c r="I2414" s="3">
        <v>307.05</v>
      </c>
      <c r="J2414" s="3">
        <v>118.5</v>
      </c>
      <c r="K2414" s="3">
        <v>207.12</v>
      </c>
      <c r="L2414" s="3"/>
      <c r="N2414" s="4"/>
    </row>
    <row r="2415" spans="1:14" ht="17.5" thickBot="1" x14ac:dyDescent="0.45">
      <c r="A2415" s="4">
        <v>45272</v>
      </c>
      <c r="B2415" s="3">
        <v>110.53</v>
      </c>
      <c r="C2415" s="3">
        <v>299.27</v>
      </c>
      <c r="D2415" s="3">
        <v>107.64</v>
      </c>
      <c r="E2415" s="3">
        <v>1.3714</v>
      </c>
      <c r="F2415" s="3">
        <v>271.07</v>
      </c>
      <c r="G2415" s="3">
        <v>366.26</v>
      </c>
      <c r="H2415" s="3">
        <v>182.28</v>
      </c>
      <c r="I2415" s="3">
        <v>308.52</v>
      </c>
      <c r="J2415" s="3">
        <v>118.5</v>
      </c>
      <c r="K2415" s="3">
        <v>208.05</v>
      </c>
      <c r="L2415" s="3"/>
      <c r="N2415" s="4"/>
    </row>
    <row r="2416" spans="1:14" ht="17.5" thickBot="1" x14ac:dyDescent="0.45">
      <c r="A2416" s="4">
        <v>45273</v>
      </c>
      <c r="B2416" s="3">
        <v>109.54</v>
      </c>
      <c r="C2416" s="3">
        <v>298.69</v>
      </c>
      <c r="D2416" s="3">
        <v>107.87</v>
      </c>
      <c r="E2416" s="3">
        <v>1.3834</v>
      </c>
      <c r="F2416" s="3">
        <v>271.5</v>
      </c>
      <c r="G2416" s="3">
        <v>370.9</v>
      </c>
      <c r="H2416" s="3">
        <v>183.08</v>
      </c>
      <c r="I2416" s="3">
        <v>312.85000000000002</v>
      </c>
      <c r="J2416" s="3">
        <v>118.5</v>
      </c>
      <c r="K2416" s="3">
        <v>208.97</v>
      </c>
      <c r="L2416" s="3"/>
      <c r="N2416" s="4"/>
    </row>
    <row r="2417" spans="1:14" ht="17.5" thickBot="1" x14ac:dyDescent="0.45">
      <c r="A2417" s="4">
        <v>45274</v>
      </c>
      <c r="B2417" s="3">
        <v>110.67</v>
      </c>
      <c r="C2417" s="3">
        <v>303.89999999999998</v>
      </c>
      <c r="D2417" s="3">
        <v>109</v>
      </c>
      <c r="E2417" s="3">
        <v>1.3939999999999999</v>
      </c>
      <c r="F2417" s="3">
        <v>274.39999999999998</v>
      </c>
      <c r="G2417" s="3">
        <v>371.61</v>
      </c>
      <c r="H2417" s="3">
        <v>185</v>
      </c>
      <c r="I2417" s="3">
        <v>313.76</v>
      </c>
      <c r="J2417" s="3">
        <v>118.51</v>
      </c>
      <c r="K2417" s="3">
        <v>211.3</v>
      </c>
      <c r="L2417" s="3"/>
      <c r="N2417" s="4"/>
    </row>
    <row r="2418" spans="1:14" ht="17.5" thickBot="1" x14ac:dyDescent="0.45">
      <c r="A2418" s="4">
        <v>45275</v>
      </c>
      <c r="B2418" s="3">
        <v>113.33</v>
      </c>
      <c r="C2418" s="3">
        <v>307.36</v>
      </c>
      <c r="D2418" s="3">
        <v>109.12</v>
      </c>
      <c r="E2418" s="3">
        <v>1.3948</v>
      </c>
      <c r="F2418" s="3">
        <v>276.01</v>
      </c>
      <c r="G2418" s="3">
        <v>371.29</v>
      </c>
      <c r="H2418" s="3">
        <v>185.64</v>
      </c>
      <c r="I2418" s="3">
        <v>313.02999999999997</v>
      </c>
      <c r="J2418" s="3">
        <v>118.56</v>
      </c>
      <c r="K2418" s="3">
        <v>212.07</v>
      </c>
      <c r="L2418" s="3"/>
      <c r="N2418" s="4"/>
    </row>
    <row r="2419" spans="1:14" ht="17.5" thickBot="1" x14ac:dyDescent="0.45">
      <c r="A2419" s="4">
        <v>45276</v>
      </c>
      <c r="B2419" s="3">
        <v>113.33</v>
      </c>
      <c r="C2419" s="3">
        <v>307.36</v>
      </c>
      <c r="D2419" s="3">
        <v>109.12</v>
      </c>
      <c r="E2419" s="3">
        <v>1.3948</v>
      </c>
      <c r="F2419" s="3">
        <v>276.01</v>
      </c>
      <c r="G2419" s="3">
        <v>371.29</v>
      </c>
      <c r="H2419" s="3">
        <v>185.64</v>
      </c>
      <c r="I2419" s="3">
        <v>313.02999999999997</v>
      </c>
      <c r="J2419" s="3">
        <v>118.56</v>
      </c>
      <c r="K2419" s="3">
        <v>212.07</v>
      </c>
      <c r="L2419" s="3"/>
      <c r="N2419" s="4"/>
    </row>
    <row r="2420" spans="1:14" ht="17.5" thickBot="1" x14ac:dyDescent="0.45">
      <c r="A2420" s="4">
        <v>45277</v>
      </c>
      <c r="B2420" s="3">
        <v>113.33</v>
      </c>
      <c r="C2420" s="3">
        <v>307.36</v>
      </c>
      <c r="D2420" s="3">
        <v>109.12</v>
      </c>
      <c r="E2420" s="3">
        <v>1.3948</v>
      </c>
      <c r="F2420" s="3">
        <v>276.01</v>
      </c>
      <c r="G2420" s="3">
        <v>371.29</v>
      </c>
      <c r="H2420" s="3">
        <v>185.64</v>
      </c>
      <c r="I2420" s="3">
        <v>313.02999999999997</v>
      </c>
      <c r="J2420" s="3">
        <v>118.57</v>
      </c>
      <c r="K2420" s="3">
        <v>212.07</v>
      </c>
      <c r="L2420" s="3"/>
      <c r="N2420" s="4"/>
    </row>
    <row r="2421" spans="1:14" ht="17.5" thickBot="1" x14ac:dyDescent="0.45">
      <c r="A2421" s="4">
        <v>45278</v>
      </c>
      <c r="B2421" s="3">
        <v>112.17</v>
      </c>
      <c r="C2421" s="3">
        <v>305.01</v>
      </c>
      <c r="D2421" s="3">
        <v>109.03</v>
      </c>
      <c r="E2421" s="3">
        <v>1.3937999999999999</v>
      </c>
      <c r="F2421" s="3">
        <v>274.33</v>
      </c>
      <c r="G2421" s="3">
        <v>373.07</v>
      </c>
      <c r="H2421" s="3">
        <v>184.81</v>
      </c>
      <c r="I2421" s="3">
        <v>314.58999999999997</v>
      </c>
      <c r="J2421" s="3">
        <v>118.57</v>
      </c>
      <c r="K2421" s="3">
        <v>211.06</v>
      </c>
      <c r="L2421" s="3"/>
      <c r="N2421" s="4"/>
    </row>
    <row r="2422" spans="1:14" ht="17.5" thickBot="1" x14ac:dyDescent="0.45">
      <c r="A2422" s="4">
        <v>45279</v>
      </c>
      <c r="B2422" s="3">
        <v>111.3</v>
      </c>
      <c r="C2422" s="3">
        <v>305.06</v>
      </c>
      <c r="D2422" s="3">
        <v>109.14</v>
      </c>
      <c r="E2422" s="3">
        <v>1.4009</v>
      </c>
      <c r="F2422" s="3">
        <v>274.76</v>
      </c>
      <c r="G2422" s="3">
        <v>375.28</v>
      </c>
      <c r="H2422" s="3">
        <v>185.21</v>
      </c>
      <c r="I2422" s="3">
        <v>316.39</v>
      </c>
      <c r="J2422" s="3">
        <v>118.57</v>
      </c>
      <c r="K2422" s="3">
        <v>211.56</v>
      </c>
      <c r="L2422" s="3"/>
      <c r="N2422" s="4"/>
    </row>
    <row r="2423" spans="1:14" ht="17.5" thickBot="1" x14ac:dyDescent="0.45">
      <c r="A2423" s="4">
        <v>45280</v>
      </c>
      <c r="B2423" s="3">
        <v>112.15</v>
      </c>
      <c r="C2423" s="3">
        <v>306.74</v>
      </c>
      <c r="D2423" s="3">
        <v>109.47</v>
      </c>
      <c r="E2423" s="3">
        <v>1.3965000000000001</v>
      </c>
      <c r="F2423" s="3">
        <v>275.25</v>
      </c>
      <c r="G2423" s="3">
        <v>370.48</v>
      </c>
      <c r="H2423" s="3">
        <v>185.7</v>
      </c>
      <c r="I2423" s="3">
        <v>311.76</v>
      </c>
      <c r="J2423" s="3">
        <v>118.62</v>
      </c>
      <c r="K2423" s="3">
        <v>212.11</v>
      </c>
      <c r="L2423" s="3"/>
      <c r="N2423" s="4"/>
    </row>
    <row r="2424" spans="1:14" ht="17.5" thickBot="1" x14ac:dyDescent="0.45">
      <c r="A2424" s="4">
        <v>45281</v>
      </c>
      <c r="B2424" s="3">
        <v>112.28</v>
      </c>
      <c r="C2424" s="3">
        <v>306.61</v>
      </c>
      <c r="D2424" s="3">
        <v>109.54</v>
      </c>
      <c r="E2424" s="3">
        <v>1.4021999999999999</v>
      </c>
      <c r="F2424" s="3">
        <v>275.97000000000003</v>
      </c>
      <c r="G2424" s="3">
        <v>374.02</v>
      </c>
      <c r="H2424" s="3">
        <v>185.98</v>
      </c>
      <c r="I2424" s="3">
        <v>314.93</v>
      </c>
      <c r="J2424" s="3">
        <v>118.63</v>
      </c>
      <c r="K2424" s="3">
        <v>212.45</v>
      </c>
      <c r="L2424" s="3"/>
      <c r="N2424" s="4"/>
    </row>
    <row r="2425" spans="1:14" ht="17.5" thickBot="1" x14ac:dyDescent="0.45">
      <c r="A2425" s="4">
        <v>45282</v>
      </c>
      <c r="B2425" s="3">
        <v>110.22</v>
      </c>
      <c r="C2425" s="3">
        <v>306.77999999999997</v>
      </c>
      <c r="D2425" s="3">
        <v>109.71</v>
      </c>
      <c r="E2425" s="3">
        <v>1.4037999999999999</v>
      </c>
      <c r="F2425" s="3">
        <v>274.67</v>
      </c>
      <c r="G2425" s="3">
        <v>374.92</v>
      </c>
      <c r="H2425" s="3">
        <v>185.51</v>
      </c>
      <c r="I2425" s="3">
        <v>315.73</v>
      </c>
      <c r="J2425" s="3">
        <v>118.63</v>
      </c>
      <c r="K2425" s="3">
        <v>211.89</v>
      </c>
      <c r="L2425" s="3"/>
      <c r="N2425" s="4"/>
    </row>
    <row r="2426" spans="1:14" ht="17.5" thickBot="1" x14ac:dyDescent="0.45">
      <c r="A2426" s="4">
        <v>45283</v>
      </c>
      <c r="B2426" s="3">
        <v>110.22</v>
      </c>
      <c r="C2426" s="3">
        <v>306.77999999999997</v>
      </c>
      <c r="D2426" s="3">
        <v>109.71</v>
      </c>
      <c r="E2426" s="3">
        <v>1.4037999999999999</v>
      </c>
      <c r="F2426" s="3">
        <v>274.67</v>
      </c>
      <c r="G2426" s="3">
        <v>374.92</v>
      </c>
      <c r="H2426" s="3">
        <v>185.51</v>
      </c>
      <c r="I2426" s="3">
        <v>315.73</v>
      </c>
      <c r="J2426" s="3">
        <v>118.63</v>
      </c>
      <c r="K2426" s="3">
        <v>211.89</v>
      </c>
      <c r="L2426" s="3"/>
      <c r="N2426" s="4"/>
    </row>
    <row r="2427" spans="1:14" ht="17.5" thickBot="1" x14ac:dyDescent="0.45">
      <c r="A2427" s="4">
        <v>45284</v>
      </c>
      <c r="B2427" s="3">
        <v>110.22</v>
      </c>
      <c r="C2427" s="3">
        <v>306.77999999999997</v>
      </c>
      <c r="D2427" s="3">
        <v>109.71</v>
      </c>
      <c r="E2427" s="3">
        <v>1.4037999999999999</v>
      </c>
      <c r="F2427" s="3">
        <v>274.67</v>
      </c>
      <c r="G2427" s="3">
        <v>374.92</v>
      </c>
      <c r="H2427" s="3">
        <v>185.51</v>
      </c>
      <c r="I2427" s="3">
        <v>315.73</v>
      </c>
      <c r="J2427" s="3">
        <v>118.63</v>
      </c>
      <c r="K2427" s="3">
        <v>211.89</v>
      </c>
      <c r="L2427" s="3"/>
      <c r="N2427" s="4"/>
    </row>
    <row r="2428" spans="1:14" ht="17.5" thickBot="1" x14ac:dyDescent="0.45">
      <c r="A2428" s="4">
        <v>45285</v>
      </c>
      <c r="B2428" s="3">
        <v>110.22</v>
      </c>
      <c r="C2428" s="3">
        <v>306.77999999999997</v>
      </c>
      <c r="D2428" s="3">
        <v>109.71</v>
      </c>
      <c r="E2428" s="3">
        <v>1.4037999999999999</v>
      </c>
      <c r="F2428" s="3">
        <v>274.67</v>
      </c>
      <c r="G2428" s="3">
        <v>374.92</v>
      </c>
      <c r="H2428" s="3">
        <v>185.51</v>
      </c>
      <c r="I2428" s="3">
        <v>315.73</v>
      </c>
      <c r="J2428" s="3">
        <v>118.64</v>
      </c>
      <c r="K2428" s="3">
        <v>211.89</v>
      </c>
      <c r="L2428" s="3"/>
      <c r="N2428" s="4"/>
    </row>
    <row r="2429" spans="1:14" ht="17.5" thickBot="1" x14ac:dyDescent="0.45">
      <c r="A2429" s="4">
        <v>45286</v>
      </c>
      <c r="B2429" s="3">
        <v>110.22</v>
      </c>
      <c r="C2429" s="3">
        <v>306.77999999999997</v>
      </c>
      <c r="D2429" s="3">
        <v>109.71</v>
      </c>
      <c r="E2429" s="3">
        <v>1.4037999999999999</v>
      </c>
      <c r="F2429" s="3">
        <v>274.67</v>
      </c>
      <c r="G2429" s="3">
        <v>374.92</v>
      </c>
      <c r="H2429" s="3">
        <v>185.51</v>
      </c>
      <c r="I2429" s="3">
        <v>315.73</v>
      </c>
      <c r="J2429" s="3">
        <v>118.64</v>
      </c>
      <c r="K2429" s="3">
        <v>211.89</v>
      </c>
      <c r="L2429" s="3"/>
      <c r="N2429" s="4"/>
    </row>
    <row r="2430" spans="1:14" ht="17.5" thickBot="1" x14ac:dyDescent="0.45">
      <c r="A2430" s="4">
        <v>45287</v>
      </c>
      <c r="B2430" s="3">
        <v>112.17</v>
      </c>
      <c r="C2430" s="3">
        <v>311.31</v>
      </c>
      <c r="D2430" s="3">
        <v>109.99</v>
      </c>
      <c r="E2430" s="3">
        <v>1.4135</v>
      </c>
      <c r="F2430" s="3">
        <v>277.54000000000002</v>
      </c>
      <c r="G2430" s="3">
        <v>376.22</v>
      </c>
      <c r="H2430" s="3">
        <v>187.09</v>
      </c>
      <c r="I2430" s="3">
        <v>317.60000000000002</v>
      </c>
      <c r="J2430" s="3">
        <v>118.67</v>
      </c>
      <c r="K2430" s="3">
        <v>213.74</v>
      </c>
      <c r="L2430" s="3"/>
      <c r="N2430" s="4"/>
    </row>
    <row r="2431" spans="1:14" ht="17.5" thickBot="1" x14ac:dyDescent="0.45">
      <c r="A2431" s="4">
        <v>45288</v>
      </c>
      <c r="B2431" s="3">
        <v>115.24</v>
      </c>
      <c r="C2431" s="3">
        <v>315.62</v>
      </c>
      <c r="D2431" s="3">
        <v>110.22</v>
      </c>
      <c r="E2431" s="3">
        <v>1.4140999999999999</v>
      </c>
      <c r="F2431" s="3">
        <v>280.23</v>
      </c>
      <c r="G2431" s="3">
        <v>376.27</v>
      </c>
      <c r="H2431" s="3">
        <v>187.95</v>
      </c>
      <c r="I2431" s="3">
        <v>317.77</v>
      </c>
      <c r="J2431" s="3">
        <v>118.67</v>
      </c>
      <c r="K2431" s="3">
        <v>214.77</v>
      </c>
      <c r="L2431" s="3"/>
      <c r="N2431" s="4"/>
    </row>
    <row r="2432" spans="1:14" ht="17.5" thickBot="1" x14ac:dyDescent="0.45">
      <c r="A2432" s="4">
        <v>45289</v>
      </c>
      <c r="B2432" s="3">
        <v>114.97</v>
      </c>
      <c r="C2432" s="3">
        <v>315.27</v>
      </c>
      <c r="D2432" s="3">
        <v>110.14</v>
      </c>
      <c r="E2432" s="3">
        <v>1.4100999999999999</v>
      </c>
      <c r="F2432" s="3">
        <v>280.01</v>
      </c>
      <c r="G2432" s="3">
        <v>375.13</v>
      </c>
      <c r="H2432" s="3">
        <v>187.63</v>
      </c>
      <c r="I2432" s="3">
        <v>316.88</v>
      </c>
      <c r="J2432" s="3">
        <v>118.67</v>
      </c>
      <c r="K2432" s="3">
        <v>214.34</v>
      </c>
      <c r="L2432" s="3"/>
      <c r="N2432" s="4"/>
    </row>
    <row r="2433" spans="1:14" ht="17.5" thickBot="1" x14ac:dyDescent="0.45">
      <c r="A2433" s="4">
        <v>45290</v>
      </c>
      <c r="B2433" s="3">
        <v>114.97</v>
      </c>
      <c r="C2433" s="3">
        <v>315.27</v>
      </c>
      <c r="D2433" s="3">
        <v>110.14</v>
      </c>
      <c r="E2433" s="3">
        <v>1.4100999999999999</v>
      </c>
      <c r="F2433" s="3">
        <v>280.01</v>
      </c>
      <c r="G2433" s="3">
        <v>375.13</v>
      </c>
      <c r="H2433" s="3">
        <v>187.63</v>
      </c>
      <c r="I2433" s="3">
        <v>316.88</v>
      </c>
      <c r="J2433" s="3">
        <v>118.68</v>
      </c>
      <c r="K2433" s="3">
        <v>214.34</v>
      </c>
      <c r="L2433" s="3"/>
      <c r="N2433" s="4"/>
    </row>
    <row r="2434" spans="1:14" ht="17.5" thickBot="1" x14ac:dyDescent="0.45">
      <c r="A2434" s="4">
        <v>45291</v>
      </c>
      <c r="B2434" s="3">
        <v>114.97</v>
      </c>
      <c r="C2434" s="3">
        <v>315.27</v>
      </c>
      <c r="D2434" s="3">
        <v>110.14</v>
      </c>
      <c r="E2434" s="3">
        <v>1.4100999999999999</v>
      </c>
      <c r="F2434" s="3">
        <v>280.01</v>
      </c>
      <c r="G2434" s="3">
        <v>375.13</v>
      </c>
      <c r="H2434" s="3">
        <v>187.63</v>
      </c>
      <c r="I2434" s="3">
        <v>316.88</v>
      </c>
      <c r="J2434" s="3">
        <v>118.68</v>
      </c>
      <c r="K2434" s="3">
        <v>214.34</v>
      </c>
      <c r="L2434" s="3"/>
      <c r="N2434" s="4"/>
    </row>
    <row r="2435" spans="1:14" ht="17.5" thickBot="1" x14ac:dyDescent="0.45">
      <c r="A2435" s="4">
        <v>45292</v>
      </c>
      <c r="B2435" s="3">
        <v>114.97</v>
      </c>
      <c r="C2435" s="3">
        <v>315.27</v>
      </c>
      <c r="D2435" s="3">
        <v>110.14</v>
      </c>
      <c r="E2435" s="3">
        <v>1.4100999999999999</v>
      </c>
      <c r="F2435" s="3">
        <v>280.01</v>
      </c>
      <c r="G2435" s="3">
        <v>375.13</v>
      </c>
      <c r="H2435" s="3">
        <v>187.63</v>
      </c>
      <c r="I2435" s="3">
        <v>316.88</v>
      </c>
      <c r="J2435" s="3">
        <v>118.68</v>
      </c>
      <c r="K2435" s="3">
        <v>214.34</v>
      </c>
      <c r="L2435" s="3"/>
      <c r="N2435" s="4"/>
    </row>
    <row r="2436" spans="1:14" ht="17.5" thickBot="1" x14ac:dyDescent="0.45">
      <c r="A2436" s="4">
        <v>45293</v>
      </c>
      <c r="B2436" s="3">
        <v>113.28</v>
      </c>
      <c r="C2436" s="3">
        <v>312.91000000000003</v>
      </c>
      <c r="D2436" s="3">
        <v>109.81</v>
      </c>
      <c r="E2436" s="3">
        <v>1.4032</v>
      </c>
      <c r="F2436" s="3">
        <v>277.82</v>
      </c>
      <c r="G2436" s="3">
        <v>373.13</v>
      </c>
      <c r="H2436" s="3">
        <v>186.43</v>
      </c>
      <c r="I2436" s="3">
        <v>315.05</v>
      </c>
      <c r="J2436" s="3">
        <v>118.74</v>
      </c>
      <c r="K2436" s="3">
        <v>212.88</v>
      </c>
      <c r="L2436" s="3"/>
      <c r="N2436" s="4"/>
    </row>
    <row r="2437" spans="1:14" ht="17.5" thickBot="1" x14ac:dyDescent="0.45">
      <c r="A2437" s="4">
        <v>45294</v>
      </c>
      <c r="B2437" s="3">
        <v>112.28</v>
      </c>
      <c r="C2437" s="3">
        <v>308.75</v>
      </c>
      <c r="D2437" s="3">
        <v>109.43</v>
      </c>
      <c r="E2437" s="3">
        <v>1.3943000000000001</v>
      </c>
      <c r="F2437" s="3">
        <v>275.33</v>
      </c>
      <c r="G2437" s="3">
        <v>370.06</v>
      </c>
      <c r="H2437" s="3">
        <v>185.34</v>
      </c>
      <c r="I2437" s="3">
        <v>312.44</v>
      </c>
      <c r="J2437" s="3">
        <v>118.81</v>
      </c>
      <c r="K2437" s="3">
        <v>211.61</v>
      </c>
      <c r="L2437" s="3"/>
      <c r="N2437" s="4"/>
    </row>
    <row r="2438" spans="1:14" ht="17.5" thickBot="1" x14ac:dyDescent="0.45">
      <c r="A2438" s="4">
        <v>45295</v>
      </c>
      <c r="B2438" s="3">
        <v>112.42</v>
      </c>
      <c r="C2438" s="3">
        <v>307.69</v>
      </c>
      <c r="D2438" s="3">
        <v>109.35</v>
      </c>
      <c r="E2438" s="3">
        <v>1.3924000000000001</v>
      </c>
      <c r="F2438" s="3">
        <v>275.04000000000002</v>
      </c>
      <c r="G2438" s="3">
        <v>368.78</v>
      </c>
      <c r="H2438" s="3">
        <v>184.99</v>
      </c>
      <c r="I2438" s="3">
        <v>311.33999999999997</v>
      </c>
      <c r="J2438" s="3">
        <v>118.81</v>
      </c>
      <c r="K2438" s="3">
        <v>211.18</v>
      </c>
      <c r="L2438" s="3"/>
      <c r="N2438" s="4"/>
    </row>
    <row r="2439" spans="1:14" ht="17.5" thickBot="1" x14ac:dyDescent="0.45">
      <c r="A2439" s="4">
        <v>45296</v>
      </c>
      <c r="B2439" s="3">
        <v>111.56</v>
      </c>
      <c r="C2439" s="3">
        <v>307.38</v>
      </c>
      <c r="D2439" s="3">
        <v>109.05</v>
      </c>
      <c r="E2439" s="3">
        <v>1.3927</v>
      </c>
      <c r="F2439" s="3">
        <v>274.52999999999997</v>
      </c>
      <c r="G2439" s="3">
        <v>369.54</v>
      </c>
      <c r="H2439" s="3">
        <v>184.64</v>
      </c>
      <c r="I2439" s="3">
        <v>311.77</v>
      </c>
      <c r="J2439" s="3">
        <v>118.81</v>
      </c>
      <c r="K2439" s="3">
        <v>210.78</v>
      </c>
      <c r="L2439" s="3"/>
      <c r="N2439" s="4"/>
    </row>
    <row r="2440" spans="1:14" ht="17.5" thickBot="1" x14ac:dyDescent="0.45">
      <c r="A2440" s="4">
        <v>45297</v>
      </c>
      <c r="B2440" s="3">
        <v>111.56</v>
      </c>
      <c r="C2440" s="3">
        <v>307.38</v>
      </c>
      <c r="D2440" s="3">
        <v>109.05</v>
      </c>
      <c r="E2440" s="3">
        <v>1.3927</v>
      </c>
      <c r="F2440" s="3">
        <v>274.52999999999997</v>
      </c>
      <c r="G2440" s="3">
        <v>369.54</v>
      </c>
      <c r="H2440" s="3">
        <v>184.64</v>
      </c>
      <c r="I2440" s="3">
        <v>311.77</v>
      </c>
      <c r="J2440" s="3">
        <v>118.82</v>
      </c>
      <c r="K2440" s="3">
        <v>210.78</v>
      </c>
      <c r="L2440" s="3"/>
      <c r="N2440" s="4"/>
    </row>
    <row r="2441" spans="1:14" ht="17.5" thickBot="1" x14ac:dyDescent="0.45">
      <c r="A2441" s="4">
        <v>45298</v>
      </c>
      <c r="B2441" s="3">
        <v>111.56</v>
      </c>
      <c r="C2441" s="3">
        <v>307.38</v>
      </c>
      <c r="D2441" s="3">
        <v>109.05</v>
      </c>
      <c r="E2441" s="3">
        <v>1.3927</v>
      </c>
      <c r="F2441" s="3">
        <v>274.52999999999997</v>
      </c>
      <c r="G2441" s="3">
        <v>369.54</v>
      </c>
      <c r="H2441" s="3">
        <v>184.64</v>
      </c>
      <c r="I2441" s="3">
        <v>311.77</v>
      </c>
      <c r="J2441" s="3">
        <v>118.82</v>
      </c>
      <c r="K2441" s="3">
        <v>210.78</v>
      </c>
      <c r="L2441" s="3"/>
      <c r="N2441" s="4"/>
    </row>
    <row r="2442" spans="1:14" ht="17.5" thickBot="1" x14ac:dyDescent="0.45">
      <c r="A2442" s="4">
        <v>45299</v>
      </c>
      <c r="B2442" s="3">
        <v>109.43</v>
      </c>
      <c r="C2442" s="3">
        <v>305.18</v>
      </c>
      <c r="D2442" s="3">
        <v>108.94</v>
      </c>
      <c r="E2442" s="3">
        <v>1.4003000000000001</v>
      </c>
      <c r="F2442" s="3">
        <v>273.63</v>
      </c>
      <c r="G2442" s="3">
        <v>374.44</v>
      </c>
      <c r="H2442" s="3">
        <v>184.38</v>
      </c>
      <c r="I2442" s="3">
        <v>316.07</v>
      </c>
      <c r="J2442" s="3">
        <v>118.87</v>
      </c>
      <c r="K2442" s="3">
        <v>210.45</v>
      </c>
      <c r="L2442" s="3"/>
      <c r="N2442" s="4"/>
    </row>
    <row r="2443" spans="1:14" ht="17.5" thickBot="1" x14ac:dyDescent="0.45">
      <c r="A2443" s="4">
        <v>45300</v>
      </c>
      <c r="B2443" s="3">
        <v>109.36</v>
      </c>
      <c r="C2443" s="3">
        <v>305.7</v>
      </c>
      <c r="D2443" s="3">
        <v>109.05</v>
      </c>
      <c r="E2443" s="3">
        <v>1.399</v>
      </c>
      <c r="F2443" s="3">
        <v>273.56</v>
      </c>
      <c r="G2443" s="3">
        <v>374.56</v>
      </c>
      <c r="H2443" s="3">
        <v>184.32</v>
      </c>
      <c r="I2443" s="3">
        <v>315.83999999999997</v>
      </c>
      <c r="J2443" s="3">
        <v>118.87</v>
      </c>
      <c r="K2443" s="3">
        <v>210.36</v>
      </c>
      <c r="L2443" s="3"/>
      <c r="N2443" s="4"/>
    </row>
    <row r="2444" spans="1:14" ht="17.5" thickBot="1" x14ac:dyDescent="0.45">
      <c r="A2444" s="4">
        <v>45301</v>
      </c>
      <c r="B2444" s="3">
        <v>108.75</v>
      </c>
      <c r="C2444" s="3">
        <v>304.8</v>
      </c>
      <c r="D2444" s="3">
        <v>109.2</v>
      </c>
      <c r="E2444" s="3">
        <v>1.4019999999999999</v>
      </c>
      <c r="F2444" s="3">
        <v>273.83</v>
      </c>
      <c r="G2444" s="3">
        <v>376.79</v>
      </c>
      <c r="H2444" s="3">
        <v>184.43</v>
      </c>
      <c r="I2444" s="3">
        <v>317.76</v>
      </c>
      <c r="J2444" s="3">
        <v>118.88</v>
      </c>
      <c r="K2444" s="3">
        <v>210.49</v>
      </c>
      <c r="L2444" s="3"/>
      <c r="N2444" s="4"/>
    </row>
    <row r="2445" spans="1:14" ht="17.5" thickBot="1" x14ac:dyDescent="0.45">
      <c r="A2445" s="4">
        <v>45302</v>
      </c>
      <c r="B2445" s="3">
        <v>110.12</v>
      </c>
      <c r="C2445" s="3">
        <v>307.24</v>
      </c>
      <c r="D2445" s="3">
        <v>109.35</v>
      </c>
      <c r="E2445" s="3">
        <v>1.4024000000000001</v>
      </c>
      <c r="F2445" s="3">
        <v>275.05</v>
      </c>
      <c r="G2445" s="3">
        <v>376.83</v>
      </c>
      <c r="H2445" s="3">
        <v>185</v>
      </c>
      <c r="I2445" s="3">
        <v>317.54000000000002</v>
      </c>
      <c r="J2445" s="3">
        <v>118.88</v>
      </c>
      <c r="K2445" s="3">
        <v>211.15</v>
      </c>
      <c r="L2445" s="3"/>
      <c r="N2445" s="4"/>
    </row>
    <row r="2446" spans="1:14" ht="17.5" thickBot="1" x14ac:dyDescent="0.45">
      <c r="A2446" s="4">
        <v>45303</v>
      </c>
      <c r="B2446" s="3">
        <v>109.65</v>
      </c>
      <c r="C2446" s="3">
        <v>308.44</v>
      </c>
      <c r="D2446" s="3">
        <v>109.5</v>
      </c>
      <c r="E2446" s="3">
        <v>1.4066000000000001</v>
      </c>
      <c r="F2446" s="3">
        <v>275.97000000000003</v>
      </c>
      <c r="G2446" s="3">
        <v>376.95</v>
      </c>
      <c r="H2446" s="3">
        <v>185.49</v>
      </c>
      <c r="I2446" s="3">
        <v>317.82</v>
      </c>
      <c r="J2446" s="3">
        <v>118.88</v>
      </c>
      <c r="K2446" s="3">
        <v>211.75</v>
      </c>
      <c r="L2446" s="3"/>
      <c r="N2446" s="4"/>
    </row>
    <row r="2447" spans="1:14" ht="17.5" thickBot="1" x14ac:dyDescent="0.45">
      <c r="A2447" s="4">
        <v>45304</v>
      </c>
      <c r="B2447" s="3">
        <v>109.65</v>
      </c>
      <c r="C2447" s="3">
        <v>308.44</v>
      </c>
      <c r="D2447" s="3">
        <v>109.5</v>
      </c>
      <c r="E2447" s="3">
        <v>1.4066000000000001</v>
      </c>
      <c r="F2447" s="3">
        <v>275.97000000000003</v>
      </c>
      <c r="G2447" s="3">
        <v>376.95</v>
      </c>
      <c r="H2447" s="3">
        <v>185.49</v>
      </c>
      <c r="I2447" s="3">
        <v>317.82</v>
      </c>
      <c r="J2447" s="3">
        <v>118.88</v>
      </c>
      <c r="K2447" s="3">
        <v>211.75</v>
      </c>
      <c r="L2447" s="3"/>
      <c r="N2447" s="4"/>
    </row>
    <row r="2448" spans="1:14" ht="17.5" thickBot="1" x14ac:dyDescent="0.45">
      <c r="A2448" s="4">
        <v>45305</v>
      </c>
      <c r="B2448" s="3">
        <v>109.65</v>
      </c>
      <c r="C2448" s="3">
        <v>308.44</v>
      </c>
      <c r="D2448" s="3">
        <v>109.5</v>
      </c>
      <c r="E2448" s="3">
        <v>1.4066000000000001</v>
      </c>
      <c r="F2448" s="3">
        <v>275.97000000000003</v>
      </c>
      <c r="G2448" s="3">
        <v>376.95</v>
      </c>
      <c r="H2448" s="3">
        <v>185.49</v>
      </c>
      <c r="I2448" s="3">
        <v>317.82</v>
      </c>
      <c r="J2448" s="3">
        <v>118.89</v>
      </c>
      <c r="K2448" s="3">
        <v>211.75</v>
      </c>
      <c r="L2448" s="3"/>
      <c r="N2448" s="4"/>
    </row>
    <row r="2449" spans="1:14" ht="17.5" thickBot="1" x14ac:dyDescent="0.45">
      <c r="A2449" s="4">
        <v>45306</v>
      </c>
      <c r="B2449" s="3">
        <v>109.57</v>
      </c>
      <c r="C2449" s="3">
        <v>308.82</v>
      </c>
      <c r="D2449" s="3">
        <v>109.53</v>
      </c>
      <c r="E2449" s="3">
        <v>1.4064000000000001</v>
      </c>
      <c r="F2449" s="3">
        <v>275.55</v>
      </c>
      <c r="G2449" s="3">
        <v>376.99</v>
      </c>
      <c r="H2449" s="3">
        <v>185.29</v>
      </c>
      <c r="I2449" s="3">
        <v>317.86</v>
      </c>
      <c r="J2449" s="3">
        <v>118.93</v>
      </c>
      <c r="K2449" s="3">
        <v>211.47</v>
      </c>
      <c r="L2449" s="3"/>
      <c r="N2449" s="4"/>
    </row>
    <row r="2450" spans="1:14" ht="17.5" thickBot="1" x14ac:dyDescent="0.45">
      <c r="A2450" s="4">
        <v>45307</v>
      </c>
      <c r="B2450" s="3">
        <v>107.09</v>
      </c>
      <c r="C2450" s="3">
        <v>303.74</v>
      </c>
      <c r="D2450" s="3">
        <v>109.2</v>
      </c>
      <c r="E2450" s="3">
        <v>1.3982000000000001</v>
      </c>
      <c r="F2450" s="3">
        <v>272.47000000000003</v>
      </c>
      <c r="G2450" s="3">
        <v>375.83</v>
      </c>
      <c r="H2450" s="3">
        <v>183.79</v>
      </c>
      <c r="I2450" s="3">
        <v>316.74</v>
      </c>
      <c r="J2450" s="3">
        <v>118.93</v>
      </c>
      <c r="K2450" s="3">
        <v>209.66</v>
      </c>
      <c r="L2450" s="3"/>
      <c r="N2450" s="4"/>
    </row>
    <row r="2451" spans="1:14" ht="17.5" thickBot="1" x14ac:dyDescent="0.45">
      <c r="A2451" s="4">
        <v>45308</v>
      </c>
      <c r="B2451" s="3">
        <v>103.11</v>
      </c>
      <c r="C2451" s="3">
        <v>297.47000000000003</v>
      </c>
      <c r="D2451" s="3">
        <v>108.79</v>
      </c>
      <c r="E2451" s="3">
        <v>1.3879999999999999</v>
      </c>
      <c r="F2451" s="3">
        <v>267.51</v>
      </c>
      <c r="G2451" s="3">
        <v>373.69</v>
      </c>
      <c r="H2451" s="3">
        <v>181.64</v>
      </c>
      <c r="I2451" s="3">
        <v>315.05</v>
      </c>
      <c r="J2451" s="3">
        <v>118.93</v>
      </c>
      <c r="K2451" s="3">
        <v>207.13</v>
      </c>
      <c r="L2451" s="3"/>
      <c r="N2451" s="4"/>
    </row>
    <row r="2452" spans="1:14" ht="17.5" thickBot="1" x14ac:dyDescent="0.45">
      <c r="A2452" s="4">
        <v>45309</v>
      </c>
      <c r="B2452" s="3">
        <v>103.98</v>
      </c>
      <c r="C2452" s="3">
        <v>298.01</v>
      </c>
      <c r="D2452" s="3">
        <v>108.71</v>
      </c>
      <c r="E2452" s="3">
        <v>1.3927</v>
      </c>
      <c r="F2452" s="3">
        <v>268.82</v>
      </c>
      <c r="G2452" s="3">
        <v>376.94</v>
      </c>
      <c r="H2452" s="3">
        <v>181.98</v>
      </c>
      <c r="I2452" s="3">
        <v>317.64999999999998</v>
      </c>
      <c r="J2452" s="3">
        <v>118.99</v>
      </c>
      <c r="K2452" s="3">
        <v>207.54</v>
      </c>
      <c r="L2452" s="3"/>
      <c r="N2452" s="4"/>
    </row>
    <row r="2453" spans="1:14" ht="17.5" thickBot="1" x14ac:dyDescent="0.45">
      <c r="A2453" s="4">
        <v>45310</v>
      </c>
      <c r="B2453" s="3">
        <v>103.34</v>
      </c>
      <c r="C2453" s="3">
        <v>302.04000000000002</v>
      </c>
      <c r="D2453" s="3">
        <v>108.58</v>
      </c>
      <c r="E2453" s="3">
        <v>1.4012</v>
      </c>
      <c r="F2453" s="3">
        <v>269.95</v>
      </c>
      <c r="G2453" s="3">
        <v>381.48</v>
      </c>
      <c r="H2453" s="3">
        <v>182.42</v>
      </c>
      <c r="I2453" s="3">
        <v>321.61</v>
      </c>
      <c r="J2453" s="3">
        <v>118.99</v>
      </c>
      <c r="K2453" s="3">
        <v>208.07</v>
      </c>
      <c r="L2453" s="3"/>
      <c r="N2453" s="4"/>
    </row>
    <row r="2454" spans="1:14" ht="17.5" thickBot="1" x14ac:dyDescent="0.45">
      <c r="A2454" s="4">
        <v>45311</v>
      </c>
      <c r="B2454" s="3">
        <v>103.34</v>
      </c>
      <c r="C2454" s="3">
        <v>302.04000000000002</v>
      </c>
      <c r="D2454" s="3">
        <v>108.58</v>
      </c>
      <c r="E2454" s="3">
        <v>1.4012</v>
      </c>
      <c r="F2454" s="3">
        <v>269.95</v>
      </c>
      <c r="G2454" s="3">
        <v>381.48</v>
      </c>
      <c r="H2454" s="3">
        <v>182.42</v>
      </c>
      <c r="I2454" s="3">
        <v>321.61</v>
      </c>
      <c r="J2454" s="3">
        <v>119</v>
      </c>
      <c r="K2454" s="3">
        <v>208.07</v>
      </c>
      <c r="L2454" s="3"/>
      <c r="N2454" s="4"/>
    </row>
    <row r="2455" spans="1:14" ht="17.5" thickBot="1" x14ac:dyDescent="0.45">
      <c r="A2455" s="4">
        <v>45312</v>
      </c>
      <c r="B2455" s="3">
        <v>103.34</v>
      </c>
      <c r="C2455" s="3">
        <v>302.04000000000002</v>
      </c>
      <c r="D2455" s="3">
        <v>108.58</v>
      </c>
      <c r="E2455" s="3">
        <v>1.4012</v>
      </c>
      <c r="F2455" s="3">
        <v>269.95</v>
      </c>
      <c r="G2455" s="3">
        <v>381.48</v>
      </c>
      <c r="H2455" s="3">
        <v>182.42</v>
      </c>
      <c r="I2455" s="3">
        <v>321.61</v>
      </c>
      <c r="J2455" s="3">
        <v>119</v>
      </c>
      <c r="K2455" s="3">
        <v>208.07</v>
      </c>
      <c r="L2455" s="3"/>
      <c r="N2455" s="4"/>
    </row>
    <row r="2456" spans="1:14" ht="17.5" thickBot="1" x14ac:dyDescent="0.45">
      <c r="A2456" s="4">
        <v>45313</v>
      </c>
      <c r="B2456" s="3">
        <v>101.17</v>
      </c>
      <c r="C2456" s="3">
        <v>301.83999999999997</v>
      </c>
      <c r="D2456" s="3">
        <v>108.72</v>
      </c>
      <c r="E2456" s="3">
        <v>1.4048</v>
      </c>
      <c r="F2456" s="3">
        <v>269.11</v>
      </c>
      <c r="G2456" s="3">
        <v>382.23</v>
      </c>
      <c r="H2456" s="3">
        <v>182.3</v>
      </c>
      <c r="I2456" s="3">
        <v>322.19</v>
      </c>
      <c r="J2456" s="3">
        <v>119</v>
      </c>
      <c r="K2456" s="3">
        <v>207.88</v>
      </c>
      <c r="L2456" s="3"/>
      <c r="N2456" s="4"/>
    </row>
    <row r="2457" spans="1:14" ht="17.5" thickBot="1" x14ac:dyDescent="0.45">
      <c r="A2457" s="4">
        <v>45314</v>
      </c>
      <c r="B2457" s="3">
        <v>103.63</v>
      </c>
      <c r="C2457" s="3">
        <v>302.67</v>
      </c>
      <c r="D2457" s="3">
        <v>108.75</v>
      </c>
      <c r="E2457" s="3">
        <v>1.4048</v>
      </c>
      <c r="F2457" s="3">
        <v>270.7</v>
      </c>
      <c r="G2457" s="3">
        <v>383.94</v>
      </c>
      <c r="H2457" s="3">
        <v>182.7</v>
      </c>
      <c r="I2457" s="3">
        <v>323.3</v>
      </c>
      <c r="J2457" s="3">
        <v>119.05</v>
      </c>
      <c r="K2457" s="3">
        <v>208.32</v>
      </c>
      <c r="L2457" s="3"/>
      <c r="N2457" s="4"/>
    </row>
    <row r="2458" spans="1:14" ht="17.5" thickBot="1" x14ac:dyDescent="0.45">
      <c r="A2458" s="4">
        <v>45315</v>
      </c>
      <c r="B2458" s="3">
        <v>107.44</v>
      </c>
      <c r="C2458" s="3">
        <v>305.54000000000002</v>
      </c>
      <c r="D2458" s="3">
        <v>108.8</v>
      </c>
      <c r="E2458" s="3">
        <v>1.4078999999999999</v>
      </c>
      <c r="F2458" s="3">
        <v>274.42</v>
      </c>
      <c r="G2458" s="3">
        <v>384.42</v>
      </c>
      <c r="H2458" s="3">
        <v>184.06</v>
      </c>
      <c r="I2458" s="3">
        <v>323.52</v>
      </c>
      <c r="J2458" s="3">
        <v>119.06</v>
      </c>
      <c r="K2458" s="3">
        <v>209.9</v>
      </c>
      <c r="L2458" s="3"/>
      <c r="N2458" s="4"/>
    </row>
    <row r="2459" spans="1:14" ht="17.5" thickBot="1" x14ac:dyDescent="0.45">
      <c r="A2459" s="4">
        <v>45316</v>
      </c>
      <c r="B2459" s="3">
        <v>109.37</v>
      </c>
      <c r="C2459" s="3">
        <v>306.92</v>
      </c>
      <c r="D2459" s="3">
        <v>108.71</v>
      </c>
      <c r="E2459" s="3">
        <v>1.4117999999999999</v>
      </c>
      <c r="F2459" s="3">
        <v>276.17</v>
      </c>
      <c r="G2459" s="3">
        <v>386.77</v>
      </c>
      <c r="H2459" s="3">
        <v>184.79</v>
      </c>
      <c r="I2459" s="3">
        <v>325.22000000000003</v>
      </c>
      <c r="J2459" s="3">
        <v>119.06</v>
      </c>
      <c r="K2459" s="3">
        <v>210.72</v>
      </c>
      <c r="L2459" s="3"/>
      <c r="N2459" s="4"/>
    </row>
    <row r="2460" spans="1:14" ht="17.5" thickBot="1" x14ac:dyDescent="0.45">
      <c r="A2460" s="4">
        <v>45317</v>
      </c>
      <c r="B2460" s="3">
        <v>107.7</v>
      </c>
      <c r="C2460" s="3">
        <v>304.8</v>
      </c>
      <c r="D2460" s="3">
        <v>108.81</v>
      </c>
      <c r="E2460" s="3">
        <v>1.4114</v>
      </c>
      <c r="F2460" s="3">
        <v>274.41000000000003</v>
      </c>
      <c r="G2460" s="3">
        <v>386.59</v>
      </c>
      <c r="H2460" s="3">
        <v>184.08</v>
      </c>
      <c r="I2460" s="3">
        <v>324.75</v>
      </c>
      <c r="J2460" s="3">
        <v>119.06</v>
      </c>
      <c r="K2460" s="3">
        <v>209.94</v>
      </c>
      <c r="L2460" s="3"/>
      <c r="N2460" s="4"/>
    </row>
    <row r="2461" spans="1:14" ht="17.5" thickBot="1" x14ac:dyDescent="0.45">
      <c r="A2461" s="4">
        <v>45318</v>
      </c>
      <c r="B2461" s="3">
        <v>107.7</v>
      </c>
      <c r="C2461" s="3">
        <v>304.8</v>
      </c>
      <c r="D2461" s="3">
        <v>108.81</v>
      </c>
      <c r="E2461" s="3">
        <v>1.4114</v>
      </c>
      <c r="F2461" s="3">
        <v>274.41000000000003</v>
      </c>
      <c r="G2461" s="3">
        <v>386.59</v>
      </c>
      <c r="H2461" s="3">
        <v>184.08</v>
      </c>
      <c r="I2461" s="3">
        <v>324.75</v>
      </c>
      <c r="J2461" s="3">
        <v>119.06</v>
      </c>
      <c r="K2461" s="3">
        <v>209.94</v>
      </c>
      <c r="L2461" s="3"/>
      <c r="N2461" s="4"/>
    </row>
    <row r="2462" spans="1:14" ht="17.5" thickBot="1" x14ac:dyDescent="0.45">
      <c r="A2462" s="4">
        <v>45319</v>
      </c>
      <c r="B2462" s="3">
        <v>107.7</v>
      </c>
      <c r="C2462" s="3">
        <v>304.8</v>
      </c>
      <c r="D2462" s="3">
        <v>108.81</v>
      </c>
      <c r="E2462" s="3">
        <v>1.4114</v>
      </c>
      <c r="F2462" s="3">
        <v>274.41000000000003</v>
      </c>
      <c r="G2462" s="3">
        <v>386.59</v>
      </c>
      <c r="H2462" s="3">
        <v>184.08</v>
      </c>
      <c r="I2462" s="3">
        <v>324.75</v>
      </c>
      <c r="J2462" s="3">
        <v>119.06</v>
      </c>
      <c r="K2462" s="3">
        <v>209.94</v>
      </c>
      <c r="L2462" s="3"/>
      <c r="N2462" s="4"/>
    </row>
    <row r="2463" spans="1:14" ht="17.5" thickBot="1" x14ac:dyDescent="0.45">
      <c r="A2463" s="4">
        <v>45320</v>
      </c>
      <c r="B2463" s="3">
        <v>108.55</v>
      </c>
      <c r="C2463" s="3">
        <v>308.18</v>
      </c>
      <c r="D2463" s="3">
        <v>108.88</v>
      </c>
      <c r="E2463" s="3">
        <v>1.4187000000000001</v>
      </c>
      <c r="F2463" s="3">
        <v>275.86</v>
      </c>
      <c r="G2463" s="3">
        <v>389.28</v>
      </c>
      <c r="H2463" s="3">
        <v>184.8</v>
      </c>
      <c r="I2463" s="3">
        <v>327.25</v>
      </c>
      <c r="J2463" s="3">
        <v>119.1</v>
      </c>
      <c r="K2463" s="3">
        <v>210.78</v>
      </c>
      <c r="L2463" s="3"/>
      <c r="N2463" s="4"/>
    </row>
    <row r="2464" spans="1:14" ht="17.5" thickBot="1" x14ac:dyDescent="0.45">
      <c r="A2464" s="4">
        <v>45321</v>
      </c>
      <c r="B2464" s="3">
        <v>105.88</v>
      </c>
      <c r="C2464" s="3">
        <v>306.14999999999998</v>
      </c>
      <c r="D2464" s="3">
        <v>109.17</v>
      </c>
      <c r="E2464" s="3">
        <v>1.4182999999999999</v>
      </c>
      <c r="F2464" s="3">
        <v>274.27</v>
      </c>
      <c r="G2464" s="3">
        <v>388.9</v>
      </c>
      <c r="H2464" s="3">
        <v>184.34</v>
      </c>
      <c r="I2464" s="3">
        <v>327.02</v>
      </c>
      <c r="J2464" s="3">
        <v>119.1</v>
      </c>
      <c r="K2464" s="3">
        <v>210.23</v>
      </c>
      <c r="L2464" s="3"/>
      <c r="N2464" s="4"/>
    </row>
    <row r="2465" spans="1:14" ht="17.5" thickBot="1" x14ac:dyDescent="0.45">
      <c r="A2465" s="4">
        <v>45322</v>
      </c>
      <c r="B2465" s="3">
        <v>104.49</v>
      </c>
      <c r="C2465" s="3">
        <v>306.57</v>
      </c>
      <c r="D2465" s="3">
        <v>109.36</v>
      </c>
      <c r="E2465" s="3">
        <v>1.4134</v>
      </c>
      <c r="F2465" s="3">
        <v>273.18</v>
      </c>
      <c r="G2465" s="3">
        <v>382.38</v>
      </c>
      <c r="H2465" s="3">
        <v>184.37</v>
      </c>
      <c r="I2465" s="3">
        <v>321.77</v>
      </c>
      <c r="J2465" s="3">
        <v>119.11</v>
      </c>
      <c r="K2465" s="3">
        <v>210.31</v>
      </c>
      <c r="L2465" s="3"/>
      <c r="N2465" s="4"/>
    </row>
    <row r="2466" spans="1:14" ht="17.5" thickBot="1" x14ac:dyDescent="0.45">
      <c r="A2466" s="4">
        <v>45323</v>
      </c>
      <c r="B2466" s="3">
        <v>105.27</v>
      </c>
      <c r="C2466" s="3">
        <v>306.58</v>
      </c>
      <c r="D2466" s="3">
        <v>109.59</v>
      </c>
      <c r="E2466" s="3">
        <v>1.4211</v>
      </c>
      <c r="F2466" s="3">
        <v>274.04000000000002</v>
      </c>
      <c r="G2466" s="3">
        <v>386.9</v>
      </c>
      <c r="H2466" s="3">
        <v>185.01</v>
      </c>
      <c r="I2466" s="3">
        <v>326</v>
      </c>
      <c r="J2466" s="3">
        <v>119.11</v>
      </c>
      <c r="K2466" s="3">
        <v>211</v>
      </c>
      <c r="L2466" s="3"/>
      <c r="N2466" s="4"/>
    </row>
    <row r="2467" spans="1:14" ht="17.5" thickBot="1" x14ac:dyDescent="0.45">
      <c r="A2467" s="4">
        <v>45324</v>
      </c>
      <c r="B2467" s="3">
        <v>104.78</v>
      </c>
      <c r="C2467" s="3">
        <v>308.95999999999998</v>
      </c>
      <c r="D2467" s="3">
        <v>109.61</v>
      </c>
      <c r="E2467" s="3">
        <v>1.4228000000000001</v>
      </c>
      <c r="F2467" s="3">
        <v>274.18</v>
      </c>
      <c r="G2467" s="3">
        <v>391.26</v>
      </c>
      <c r="H2467" s="3">
        <v>184.53</v>
      </c>
      <c r="I2467" s="3">
        <v>329.38</v>
      </c>
      <c r="J2467" s="3">
        <v>119.18</v>
      </c>
      <c r="K2467" s="3">
        <v>210.37</v>
      </c>
      <c r="L2467" s="3"/>
      <c r="N2467" s="4"/>
    </row>
    <row r="2468" spans="1:14" ht="17.5" thickBot="1" x14ac:dyDescent="0.45">
      <c r="A2468" s="4">
        <v>45325</v>
      </c>
      <c r="B2468" s="3">
        <v>104.78</v>
      </c>
      <c r="C2468" s="3">
        <v>308.95999999999998</v>
      </c>
      <c r="D2468" s="3">
        <v>109.61</v>
      </c>
      <c r="E2468" s="3">
        <v>1.4228000000000001</v>
      </c>
      <c r="F2468" s="3">
        <v>274.18</v>
      </c>
      <c r="G2468" s="3">
        <v>391.26</v>
      </c>
      <c r="H2468" s="3">
        <v>184.53</v>
      </c>
      <c r="I2468" s="3">
        <v>329.38</v>
      </c>
      <c r="J2468" s="3">
        <v>119.18</v>
      </c>
      <c r="K2468" s="3">
        <v>210.37</v>
      </c>
      <c r="L2468" s="3"/>
      <c r="N2468" s="4"/>
    </row>
    <row r="2469" spans="1:14" ht="17.5" thickBot="1" x14ac:dyDescent="0.45">
      <c r="A2469" s="4">
        <v>45326</v>
      </c>
      <c r="B2469" s="3">
        <v>104.78</v>
      </c>
      <c r="C2469" s="3">
        <v>308.95999999999998</v>
      </c>
      <c r="D2469" s="3">
        <v>109.61</v>
      </c>
      <c r="E2469" s="3">
        <v>1.4228000000000001</v>
      </c>
      <c r="F2469" s="3">
        <v>274.18</v>
      </c>
      <c r="G2469" s="3">
        <v>391.26</v>
      </c>
      <c r="H2469" s="3">
        <v>184.53</v>
      </c>
      <c r="I2469" s="3">
        <v>329.38</v>
      </c>
      <c r="J2469" s="3">
        <v>119.18</v>
      </c>
      <c r="K2469" s="3">
        <v>210.37</v>
      </c>
      <c r="L2469" s="3"/>
      <c r="N2469" s="4"/>
    </row>
    <row r="2470" spans="1:14" ht="17.5" thickBot="1" x14ac:dyDescent="0.45">
      <c r="A2470" s="4">
        <v>45327</v>
      </c>
      <c r="B2470" s="3">
        <v>104.58</v>
      </c>
      <c r="C2470" s="3">
        <v>306.89999999999998</v>
      </c>
      <c r="D2470" s="3">
        <v>108.9</v>
      </c>
      <c r="E2470" s="3">
        <v>1.4160999999999999</v>
      </c>
      <c r="F2470" s="3">
        <v>273.02</v>
      </c>
      <c r="G2470" s="3">
        <v>390.31</v>
      </c>
      <c r="H2470" s="3">
        <v>183.48</v>
      </c>
      <c r="I2470" s="3">
        <v>328.29</v>
      </c>
      <c r="J2470" s="3">
        <v>119.18</v>
      </c>
      <c r="K2470" s="3">
        <v>209.1</v>
      </c>
      <c r="L2470" s="3"/>
      <c r="N2470" s="4"/>
    </row>
    <row r="2471" spans="1:14" ht="17.5" thickBot="1" x14ac:dyDescent="0.45">
      <c r="A2471" s="4">
        <v>45328</v>
      </c>
      <c r="B2471" s="3">
        <v>108.87</v>
      </c>
      <c r="C2471" s="3">
        <v>309.77999999999997</v>
      </c>
      <c r="D2471" s="3">
        <v>108.99</v>
      </c>
      <c r="E2471" s="3">
        <v>1.4217</v>
      </c>
      <c r="F2471" s="3">
        <v>276.91000000000003</v>
      </c>
      <c r="G2471" s="3">
        <v>391.12</v>
      </c>
      <c r="H2471" s="3">
        <v>185.19</v>
      </c>
      <c r="I2471" s="3">
        <v>329.22</v>
      </c>
      <c r="J2471" s="3">
        <v>119.19</v>
      </c>
      <c r="K2471" s="3">
        <v>211.1</v>
      </c>
      <c r="L2471" s="3"/>
      <c r="N2471" s="4"/>
    </row>
    <row r="2472" spans="1:14" ht="17.5" thickBot="1" x14ac:dyDescent="0.45">
      <c r="A2472" s="4">
        <v>45329</v>
      </c>
      <c r="B2472" s="3">
        <v>108.35</v>
      </c>
      <c r="C2472" s="3">
        <v>310.92</v>
      </c>
      <c r="D2472" s="3">
        <v>109.06</v>
      </c>
      <c r="E2472" s="3">
        <v>1.4260999999999999</v>
      </c>
      <c r="F2472" s="3">
        <v>277.27</v>
      </c>
      <c r="G2472" s="3">
        <v>393.94</v>
      </c>
      <c r="H2472" s="3">
        <v>185.28</v>
      </c>
      <c r="I2472" s="3">
        <v>331.82</v>
      </c>
      <c r="J2472" s="3">
        <v>119.24</v>
      </c>
      <c r="K2472" s="3">
        <v>211.15</v>
      </c>
      <c r="L2472" s="3"/>
      <c r="N2472" s="4"/>
    </row>
    <row r="2473" spans="1:14" ht="17.5" thickBot="1" x14ac:dyDescent="0.45">
      <c r="A2473" s="4">
        <v>45330</v>
      </c>
      <c r="B2473" s="3">
        <v>107.02</v>
      </c>
      <c r="C2473" s="3">
        <v>308.99</v>
      </c>
      <c r="D2473" s="3">
        <v>108.94</v>
      </c>
      <c r="E2473" s="3">
        <v>1.4246000000000001</v>
      </c>
      <c r="F2473" s="3">
        <v>276.2</v>
      </c>
      <c r="G2473" s="3">
        <v>394.15</v>
      </c>
      <c r="H2473" s="3">
        <v>184.66</v>
      </c>
      <c r="I2473" s="3">
        <v>331.98</v>
      </c>
      <c r="J2473" s="3">
        <v>119.24</v>
      </c>
      <c r="K2473" s="3">
        <v>210.43</v>
      </c>
      <c r="L2473" s="3"/>
      <c r="N2473" s="4"/>
    </row>
    <row r="2474" spans="1:14" ht="17.5" thickBot="1" x14ac:dyDescent="0.45">
      <c r="A2474" s="4">
        <v>45331</v>
      </c>
      <c r="B2474" s="3">
        <v>106.07</v>
      </c>
      <c r="C2474" s="3">
        <v>308.43</v>
      </c>
      <c r="D2474" s="3">
        <v>108.87</v>
      </c>
      <c r="E2474" s="3">
        <v>1.4274</v>
      </c>
      <c r="F2474" s="3">
        <v>276.02</v>
      </c>
      <c r="G2474" s="3">
        <v>396.56</v>
      </c>
      <c r="H2474" s="3">
        <v>184.56</v>
      </c>
      <c r="I2474" s="3">
        <v>333.92</v>
      </c>
      <c r="J2474" s="3">
        <v>119.24</v>
      </c>
      <c r="K2474" s="3">
        <v>210.32</v>
      </c>
      <c r="L2474" s="3"/>
      <c r="N2474" s="4"/>
    </row>
    <row r="2475" spans="1:14" ht="17.5" thickBot="1" x14ac:dyDescent="0.45">
      <c r="A2475" s="4">
        <v>45332</v>
      </c>
      <c r="B2475" s="3">
        <v>106.07</v>
      </c>
      <c r="C2475" s="3">
        <v>308.43</v>
      </c>
      <c r="D2475" s="3">
        <v>108.87</v>
      </c>
      <c r="E2475" s="3">
        <v>1.4274</v>
      </c>
      <c r="F2475" s="3">
        <v>276.02</v>
      </c>
      <c r="G2475" s="3">
        <v>396.56</v>
      </c>
      <c r="H2475" s="3">
        <v>184.56</v>
      </c>
      <c r="I2475" s="3">
        <v>333.92</v>
      </c>
      <c r="J2475" s="3">
        <v>119.24</v>
      </c>
      <c r="K2475" s="3">
        <v>210.32</v>
      </c>
      <c r="L2475" s="3"/>
      <c r="N2475" s="4"/>
    </row>
    <row r="2476" spans="1:14" ht="17.5" thickBot="1" x14ac:dyDescent="0.45">
      <c r="A2476" s="4">
        <v>45333</v>
      </c>
      <c r="B2476" s="3">
        <v>106.07</v>
      </c>
      <c r="C2476" s="3">
        <v>308.43</v>
      </c>
      <c r="D2476" s="3">
        <v>108.87</v>
      </c>
      <c r="E2476" s="3">
        <v>1.4274</v>
      </c>
      <c r="F2476" s="3">
        <v>276.02</v>
      </c>
      <c r="G2476" s="3">
        <v>396.56</v>
      </c>
      <c r="H2476" s="3">
        <v>184.56</v>
      </c>
      <c r="I2476" s="3">
        <v>333.92</v>
      </c>
      <c r="J2476" s="3">
        <v>119.25</v>
      </c>
      <c r="K2476" s="3">
        <v>210.32</v>
      </c>
      <c r="L2476" s="3"/>
      <c r="N2476" s="4"/>
    </row>
    <row r="2477" spans="1:14" ht="17.5" thickBot="1" x14ac:dyDescent="0.45">
      <c r="A2477" s="4">
        <v>45334</v>
      </c>
      <c r="B2477" s="3">
        <v>106.07</v>
      </c>
      <c r="C2477" s="3">
        <v>308.43</v>
      </c>
      <c r="D2477" s="3">
        <v>108.87</v>
      </c>
      <c r="E2477" s="3">
        <v>1.4274</v>
      </c>
      <c r="F2477" s="3">
        <v>276.02</v>
      </c>
      <c r="G2477" s="3">
        <v>396.56</v>
      </c>
      <c r="H2477" s="3">
        <v>184.56</v>
      </c>
      <c r="I2477" s="3">
        <v>333.92</v>
      </c>
      <c r="J2477" s="3">
        <v>119.25</v>
      </c>
      <c r="K2477" s="3">
        <v>210.32</v>
      </c>
      <c r="L2477" s="3"/>
      <c r="N2477" s="4"/>
    </row>
    <row r="2478" spans="1:14" ht="17.5" thickBot="1" x14ac:dyDescent="0.45">
      <c r="A2478" s="4">
        <v>45335</v>
      </c>
      <c r="B2478" s="3">
        <v>106.07</v>
      </c>
      <c r="C2478" s="3">
        <v>308.43</v>
      </c>
      <c r="D2478" s="3">
        <v>108.87</v>
      </c>
      <c r="E2478" s="3">
        <v>1.4274</v>
      </c>
      <c r="F2478" s="3">
        <v>276.02</v>
      </c>
      <c r="G2478" s="3">
        <v>396.56</v>
      </c>
      <c r="H2478" s="3">
        <v>184.56</v>
      </c>
      <c r="I2478" s="3">
        <v>333.92</v>
      </c>
      <c r="J2478" s="3">
        <v>119.25</v>
      </c>
      <c r="K2478" s="3">
        <v>210.32</v>
      </c>
      <c r="L2478" s="3"/>
      <c r="N2478" s="4"/>
    </row>
    <row r="2479" spans="1:14" ht="17.5" thickBot="1" x14ac:dyDescent="0.45">
      <c r="A2479" s="4">
        <v>45336</v>
      </c>
      <c r="B2479" s="3">
        <v>107.14</v>
      </c>
      <c r="C2479" s="3">
        <v>308.77999999999997</v>
      </c>
      <c r="D2479" s="3">
        <v>108.31</v>
      </c>
      <c r="E2479" s="3">
        <v>1.4227000000000001</v>
      </c>
      <c r="F2479" s="3">
        <v>275.98</v>
      </c>
      <c r="G2479" s="3">
        <v>394.55</v>
      </c>
      <c r="H2479" s="3">
        <v>184.27</v>
      </c>
      <c r="I2479" s="3">
        <v>332.06</v>
      </c>
      <c r="J2479" s="3">
        <v>119.29</v>
      </c>
      <c r="K2479" s="3">
        <v>209.96</v>
      </c>
      <c r="L2479" s="3"/>
      <c r="N2479" s="4"/>
    </row>
    <row r="2480" spans="1:14" ht="17.5" thickBot="1" x14ac:dyDescent="0.45">
      <c r="A2480" s="4">
        <v>45337</v>
      </c>
      <c r="B2480" s="3">
        <v>107.53</v>
      </c>
      <c r="C2480" s="3">
        <v>311.3</v>
      </c>
      <c r="D2480" s="3">
        <v>108.61</v>
      </c>
      <c r="E2480" s="3">
        <v>1.4300999999999999</v>
      </c>
      <c r="F2480" s="3">
        <v>277.88</v>
      </c>
      <c r="G2480" s="3">
        <v>396.84</v>
      </c>
      <c r="H2480" s="3">
        <v>185.19</v>
      </c>
      <c r="I2480" s="3">
        <v>334.3</v>
      </c>
      <c r="J2480" s="3">
        <v>119.29</v>
      </c>
      <c r="K2480" s="3">
        <v>211.01</v>
      </c>
      <c r="L2480" s="3"/>
      <c r="N2480" s="4"/>
    </row>
    <row r="2481" spans="1:14" ht="17.5" thickBot="1" x14ac:dyDescent="0.45">
      <c r="A2481" s="4">
        <v>45338</v>
      </c>
      <c r="B2481" s="3">
        <v>110.29</v>
      </c>
      <c r="C2481" s="3">
        <v>314.86</v>
      </c>
      <c r="D2481" s="3">
        <v>108.49</v>
      </c>
      <c r="E2481" s="3">
        <v>1.4291</v>
      </c>
      <c r="F2481" s="3">
        <v>280.39999999999998</v>
      </c>
      <c r="G2481" s="3">
        <v>394.98</v>
      </c>
      <c r="H2481" s="3">
        <v>185.92</v>
      </c>
      <c r="I2481" s="3">
        <v>332.76</v>
      </c>
      <c r="J2481" s="3">
        <v>119.3</v>
      </c>
      <c r="K2481" s="3">
        <v>211.85</v>
      </c>
      <c r="L2481" s="3"/>
      <c r="N2481" s="4"/>
    </row>
    <row r="2482" spans="1:14" ht="17.5" thickBot="1" x14ac:dyDescent="0.45">
      <c r="A2482" s="4">
        <v>45339</v>
      </c>
      <c r="B2482" s="3">
        <v>110.29</v>
      </c>
      <c r="C2482" s="3">
        <v>314.86</v>
      </c>
      <c r="D2482" s="3">
        <v>108.49</v>
      </c>
      <c r="E2482" s="3">
        <v>1.4291</v>
      </c>
      <c r="F2482" s="3">
        <v>280.39999999999998</v>
      </c>
      <c r="G2482" s="3">
        <v>394.98</v>
      </c>
      <c r="H2482" s="3">
        <v>185.92</v>
      </c>
      <c r="I2482" s="3">
        <v>332.76</v>
      </c>
      <c r="J2482" s="3">
        <v>119.3</v>
      </c>
      <c r="K2482" s="3">
        <v>211.85</v>
      </c>
      <c r="L2482" s="3"/>
      <c r="N2482" s="4"/>
    </row>
    <row r="2483" spans="1:14" ht="17.5" thickBot="1" x14ac:dyDescent="0.45">
      <c r="A2483" s="4">
        <v>45340</v>
      </c>
      <c r="B2483" s="3">
        <v>110.29</v>
      </c>
      <c r="C2483" s="3">
        <v>314.86</v>
      </c>
      <c r="D2483" s="3">
        <v>108.49</v>
      </c>
      <c r="E2483" s="3">
        <v>1.4291</v>
      </c>
      <c r="F2483" s="3">
        <v>280.39999999999998</v>
      </c>
      <c r="G2483" s="3">
        <v>394.98</v>
      </c>
      <c r="H2483" s="3">
        <v>185.92</v>
      </c>
      <c r="I2483" s="3">
        <v>332.76</v>
      </c>
      <c r="J2483" s="3">
        <v>119.3</v>
      </c>
      <c r="K2483" s="3">
        <v>211.85</v>
      </c>
      <c r="L2483" s="3"/>
      <c r="N2483" s="4"/>
    </row>
    <row r="2484" spans="1:14" ht="17.5" thickBot="1" x14ac:dyDescent="0.45">
      <c r="A2484" s="4">
        <v>45341</v>
      </c>
      <c r="B2484" s="3">
        <v>108.91</v>
      </c>
      <c r="C2484" s="3">
        <v>315.14999999999998</v>
      </c>
      <c r="D2484" s="3">
        <v>108.58</v>
      </c>
      <c r="E2484" s="3">
        <v>1.4291</v>
      </c>
      <c r="F2484" s="3">
        <v>279.8</v>
      </c>
      <c r="G2484" s="3">
        <v>394.88</v>
      </c>
      <c r="H2484" s="3">
        <v>185.69</v>
      </c>
      <c r="I2484" s="3">
        <v>332.7</v>
      </c>
      <c r="J2484" s="3">
        <v>119.35</v>
      </c>
      <c r="K2484" s="3">
        <v>211.57</v>
      </c>
      <c r="L2484" s="3"/>
      <c r="N2484" s="4"/>
    </row>
    <row r="2485" spans="1:14" ht="17.5" thickBot="1" x14ac:dyDescent="0.45">
      <c r="A2485" s="4">
        <v>45342</v>
      </c>
      <c r="B2485" s="3">
        <v>109.48</v>
      </c>
      <c r="C2485" s="3">
        <v>315.76</v>
      </c>
      <c r="D2485" s="3">
        <v>108.64</v>
      </c>
      <c r="E2485" s="3">
        <v>1.4277</v>
      </c>
      <c r="F2485" s="3">
        <v>280.12</v>
      </c>
      <c r="G2485" s="3">
        <v>392.56</v>
      </c>
      <c r="H2485" s="3">
        <v>186.01</v>
      </c>
      <c r="I2485" s="3">
        <v>330.9</v>
      </c>
      <c r="J2485" s="3">
        <v>119.36</v>
      </c>
      <c r="K2485" s="3">
        <v>211.94</v>
      </c>
      <c r="L2485" s="3"/>
      <c r="N2485" s="4"/>
    </row>
    <row r="2486" spans="1:14" ht="17.5" thickBot="1" x14ac:dyDescent="0.45">
      <c r="A2486" s="4">
        <v>45343</v>
      </c>
      <c r="B2486" s="3">
        <v>111.3</v>
      </c>
      <c r="C2486" s="3">
        <v>314.87</v>
      </c>
      <c r="D2486" s="3">
        <v>108.68</v>
      </c>
      <c r="E2486" s="3">
        <v>1.4261999999999999</v>
      </c>
      <c r="F2486" s="3">
        <v>280.83</v>
      </c>
      <c r="G2486" s="3">
        <v>393.02</v>
      </c>
      <c r="H2486" s="3">
        <v>186.1</v>
      </c>
      <c r="I2486" s="3">
        <v>331.14</v>
      </c>
      <c r="J2486" s="3">
        <v>119.36</v>
      </c>
      <c r="K2486" s="3">
        <v>212.04</v>
      </c>
      <c r="L2486" s="3"/>
      <c r="N2486" s="4"/>
    </row>
    <row r="2487" spans="1:14" ht="17.5" thickBot="1" x14ac:dyDescent="0.45">
      <c r="A2487" s="4">
        <v>45344</v>
      </c>
      <c r="B2487" s="3">
        <v>113.03</v>
      </c>
      <c r="C2487" s="3">
        <v>317.62</v>
      </c>
      <c r="D2487" s="3">
        <v>108.69</v>
      </c>
      <c r="E2487" s="3">
        <v>1.4409000000000001</v>
      </c>
      <c r="F2487" s="3">
        <v>284.22000000000003</v>
      </c>
      <c r="G2487" s="3">
        <v>401.49</v>
      </c>
      <c r="H2487" s="3">
        <v>187.42</v>
      </c>
      <c r="I2487" s="3">
        <v>338.04</v>
      </c>
      <c r="J2487" s="3">
        <v>119.36</v>
      </c>
      <c r="K2487" s="3">
        <v>213.55</v>
      </c>
      <c r="L2487" s="3"/>
      <c r="N2487" s="4"/>
    </row>
    <row r="2488" spans="1:14" ht="17.5" thickBot="1" x14ac:dyDescent="0.45">
      <c r="A2488" s="4">
        <v>45345</v>
      </c>
      <c r="B2488" s="3">
        <v>112.83</v>
      </c>
      <c r="C2488" s="3">
        <v>318.10000000000002</v>
      </c>
      <c r="D2488" s="3">
        <v>108.66</v>
      </c>
      <c r="E2488" s="3">
        <v>1.4438</v>
      </c>
      <c r="F2488" s="3">
        <v>284.75</v>
      </c>
      <c r="G2488" s="3">
        <v>401.31</v>
      </c>
      <c r="H2488" s="3">
        <v>187.86</v>
      </c>
      <c r="I2488" s="3">
        <v>338.16</v>
      </c>
      <c r="J2488" s="3">
        <v>119.38</v>
      </c>
      <c r="K2488" s="3">
        <v>214.11</v>
      </c>
      <c r="L2488" s="3"/>
      <c r="N2488" s="4"/>
    </row>
    <row r="2489" spans="1:14" ht="17.5" thickBot="1" x14ac:dyDescent="0.45">
      <c r="A2489" s="4">
        <v>45346</v>
      </c>
      <c r="B2489" s="3">
        <v>112.83</v>
      </c>
      <c r="C2489" s="3">
        <v>318.10000000000002</v>
      </c>
      <c r="D2489" s="3">
        <v>108.66</v>
      </c>
      <c r="E2489" s="3">
        <v>1.4438</v>
      </c>
      <c r="F2489" s="3">
        <v>284.75</v>
      </c>
      <c r="G2489" s="3">
        <v>401.31</v>
      </c>
      <c r="H2489" s="3">
        <v>187.86</v>
      </c>
      <c r="I2489" s="3">
        <v>338.16</v>
      </c>
      <c r="J2489" s="3">
        <v>119.39</v>
      </c>
      <c r="K2489" s="3">
        <v>214.11</v>
      </c>
      <c r="L2489" s="3"/>
      <c r="N2489" s="4"/>
    </row>
    <row r="2490" spans="1:14" ht="17.5" thickBot="1" x14ac:dyDescent="0.45">
      <c r="A2490" s="4">
        <v>45347</v>
      </c>
      <c r="B2490" s="3">
        <v>112.83</v>
      </c>
      <c r="C2490" s="3">
        <v>318.10000000000002</v>
      </c>
      <c r="D2490" s="3">
        <v>108.66</v>
      </c>
      <c r="E2490" s="3">
        <v>1.4438</v>
      </c>
      <c r="F2490" s="3">
        <v>284.75</v>
      </c>
      <c r="G2490" s="3">
        <v>401.31</v>
      </c>
      <c r="H2490" s="3">
        <v>187.86</v>
      </c>
      <c r="I2490" s="3">
        <v>338.16</v>
      </c>
      <c r="J2490" s="3">
        <v>119.39</v>
      </c>
      <c r="K2490" s="3">
        <v>214.11</v>
      </c>
      <c r="L2490" s="3"/>
      <c r="N2490" s="4"/>
    </row>
    <row r="2491" spans="1:14" ht="17.5" thickBot="1" x14ac:dyDescent="0.45">
      <c r="A2491" s="4">
        <v>45348</v>
      </c>
      <c r="B2491" s="3">
        <v>112.07</v>
      </c>
      <c r="C2491" s="3">
        <v>317.14999999999998</v>
      </c>
      <c r="D2491" s="3">
        <v>108.76</v>
      </c>
      <c r="E2491" s="3">
        <v>1.4406000000000001</v>
      </c>
      <c r="F2491" s="3">
        <v>284.16000000000003</v>
      </c>
      <c r="G2491" s="3">
        <v>399.81</v>
      </c>
      <c r="H2491" s="3">
        <v>187.6</v>
      </c>
      <c r="I2491" s="3">
        <v>336.9</v>
      </c>
      <c r="J2491" s="3">
        <v>119.39</v>
      </c>
      <c r="K2491" s="3">
        <v>213.77</v>
      </c>
      <c r="L2491" s="3"/>
      <c r="N2491" s="4"/>
    </row>
    <row r="2492" spans="1:14" ht="17.5" thickBot="1" x14ac:dyDescent="0.45">
      <c r="A2492" s="4">
        <v>45349</v>
      </c>
      <c r="B2492" s="3">
        <v>113.31</v>
      </c>
      <c r="C2492" s="3">
        <v>317.52</v>
      </c>
      <c r="D2492" s="3">
        <v>108.75</v>
      </c>
      <c r="E2492" s="3">
        <v>1.4415</v>
      </c>
      <c r="F2492" s="3">
        <v>284.66000000000003</v>
      </c>
      <c r="G2492" s="3">
        <v>400.55</v>
      </c>
      <c r="H2492" s="3">
        <v>187.63</v>
      </c>
      <c r="I2492" s="3">
        <v>337.47</v>
      </c>
      <c r="J2492" s="3">
        <v>119.4</v>
      </c>
      <c r="K2492" s="3">
        <v>213.82</v>
      </c>
      <c r="L2492" s="3"/>
      <c r="N2492" s="4"/>
    </row>
    <row r="2493" spans="1:14" ht="17.5" thickBot="1" x14ac:dyDescent="0.45">
      <c r="A2493" s="4">
        <v>45350</v>
      </c>
      <c r="B2493" s="3">
        <v>111.48</v>
      </c>
      <c r="C2493" s="3">
        <v>315.73</v>
      </c>
      <c r="D2493" s="3">
        <v>108.73</v>
      </c>
      <c r="E2493" s="3">
        <v>1.4395</v>
      </c>
      <c r="F2493" s="3">
        <v>282.86</v>
      </c>
      <c r="G2493" s="3">
        <v>399.87</v>
      </c>
      <c r="H2493" s="3">
        <v>187.07</v>
      </c>
      <c r="I2493" s="3">
        <v>337.1</v>
      </c>
      <c r="J2493" s="3">
        <v>119.47</v>
      </c>
      <c r="K2493" s="3">
        <v>213.13</v>
      </c>
      <c r="L2493" s="3"/>
      <c r="N2493" s="4"/>
    </row>
    <row r="2494" spans="1:14" ht="17.5" thickBot="1" x14ac:dyDescent="0.45">
      <c r="A2494" s="4">
        <v>45351</v>
      </c>
      <c r="B2494" s="3">
        <v>111.17</v>
      </c>
      <c r="C2494" s="3">
        <v>316.89999999999998</v>
      </c>
      <c r="D2494" s="3">
        <v>108.85</v>
      </c>
      <c r="E2494" s="3">
        <v>1.4443999999999999</v>
      </c>
      <c r="F2494" s="3">
        <v>283.75</v>
      </c>
      <c r="G2494" s="3">
        <v>401.89</v>
      </c>
      <c r="H2494" s="3">
        <v>187.54</v>
      </c>
      <c r="I2494" s="3">
        <v>338.31</v>
      </c>
      <c r="J2494" s="3">
        <v>119.47</v>
      </c>
      <c r="K2494" s="3">
        <v>213.69</v>
      </c>
      <c r="L2494" s="3"/>
      <c r="N2494" s="4"/>
    </row>
    <row r="2495" spans="1:14" ht="17.5" thickBot="1" x14ac:dyDescent="0.45">
      <c r="A2495" s="4">
        <v>45352</v>
      </c>
      <c r="B2495" s="3">
        <v>111.71</v>
      </c>
      <c r="C2495" s="3">
        <v>319.07</v>
      </c>
      <c r="D2495" s="3">
        <v>109.05</v>
      </c>
      <c r="E2495" s="3">
        <v>1.452</v>
      </c>
      <c r="F2495" s="3">
        <v>285.54000000000002</v>
      </c>
      <c r="G2495" s="3">
        <v>404.91</v>
      </c>
      <c r="H2495" s="3">
        <v>188.38</v>
      </c>
      <c r="I2495" s="3">
        <v>341.55</v>
      </c>
      <c r="J2495" s="3">
        <v>119.48</v>
      </c>
      <c r="K2495" s="3">
        <v>214.66</v>
      </c>
      <c r="L2495" s="3"/>
      <c r="N2495" s="4"/>
    </row>
    <row r="2496" spans="1:14" ht="17.5" thickBot="1" x14ac:dyDescent="0.45">
      <c r="A2496" s="4">
        <v>45353</v>
      </c>
      <c r="B2496" s="3">
        <v>111.71</v>
      </c>
      <c r="C2496" s="3">
        <v>319.07</v>
      </c>
      <c r="D2496" s="3">
        <v>109.05</v>
      </c>
      <c r="E2496" s="3">
        <v>1.452</v>
      </c>
      <c r="F2496" s="3">
        <v>285.54000000000002</v>
      </c>
      <c r="G2496" s="3">
        <v>404.91</v>
      </c>
      <c r="H2496" s="3">
        <v>188.38</v>
      </c>
      <c r="I2496" s="3">
        <v>341.55</v>
      </c>
      <c r="J2496" s="3">
        <v>119.48</v>
      </c>
      <c r="K2496" s="3">
        <v>214.66</v>
      </c>
      <c r="L2496" s="3"/>
      <c r="N2496" s="4"/>
    </row>
    <row r="2497" spans="1:14" ht="17.5" thickBot="1" x14ac:dyDescent="0.45">
      <c r="A2497" s="4">
        <v>45354</v>
      </c>
      <c r="B2497" s="3">
        <v>111.71</v>
      </c>
      <c r="C2497" s="3">
        <v>319.07</v>
      </c>
      <c r="D2497" s="3">
        <v>109.05</v>
      </c>
      <c r="E2497" s="3">
        <v>1.452</v>
      </c>
      <c r="F2497" s="3">
        <v>285.54000000000002</v>
      </c>
      <c r="G2497" s="3">
        <v>404.91</v>
      </c>
      <c r="H2497" s="3">
        <v>188.38</v>
      </c>
      <c r="I2497" s="3">
        <v>341.55</v>
      </c>
      <c r="J2497" s="3">
        <v>119.48</v>
      </c>
      <c r="K2497" s="3">
        <v>214.66</v>
      </c>
      <c r="L2497" s="3"/>
      <c r="N2497" s="4"/>
    </row>
    <row r="2498" spans="1:14" ht="17.5" thickBot="1" x14ac:dyDescent="0.45">
      <c r="A2498" s="4">
        <v>45355</v>
      </c>
      <c r="B2498" s="3">
        <v>111.82</v>
      </c>
      <c r="C2498" s="3">
        <v>321.13</v>
      </c>
      <c r="D2498" s="3">
        <v>109.14</v>
      </c>
      <c r="E2498" s="3">
        <v>1.4510000000000001</v>
      </c>
      <c r="F2498" s="3">
        <v>286.12</v>
      </c>
      <c r="G2498" s="3">
        <v>403.71</v>
      </c>
      <c r="H2498" s="3">
        <v>188.52</v>
      </c>
      <c r="I2498" s="3">
        <v>341.08</v>
      </c>
      <c r="J2498" s="3">
        <v>119.49</v>
      </c>
      <c r="K2498" s="3">
        <v>214.86</v>
      </c>
      <c r="L2498" s="3"/>
      <c r="N2498" s="4"/>
    </row>
    <row r="2499" spans="1:14" ht="17.5" thickBot="1" x14ac:dyDescent="0.45">
      <c r="A2499" s="4">
        <v>45356</v>
      </c>
      <c r="B2499" s="3">
        <v>108.9</v>
      </c>
      <c r="C2499" s="3">
        <v>319.27999999999997</v>
      </c>
      <c r="D2499" s="3">
        <v>109.2</v>
      </c>
      <c r="E2499" s="3">
        <v>1.4469000000000001</v>
      </c>
      <c r="F2499" s="3">
        <v>283.95999999999998</v>
      </c>
      <c r="G2499" s="3">
        <v>400.04</v>
      </c>
      <c r="H2499" s="3">
        <v>188.1</v>
      </c>
      <c r="I2499" s="3">
        <v>337.6</v>
      </c>
      <c r="J2499" s="3">
        <v>119.54</v>
      </c>
      <c r="K2499" s="3">
        <v>214.33</v>
      </c>
      <c r="L2499" s="3"/>
      <c r="N2499" s="4"/>
    </row>
    <row r="2500" spans="1:14" ht="17.5" thickBot="1" x14ac:dyDescent="0.45">
      <c r="A2500" s="4">
        <v>45357</v>
      </c>
      <c r="B2500" s="3">
        <v>110.9</v>
      </c>
      <c r="C2500" s="3">
        <v>321.49</v>
      </c>
      <c r="D2500" s="3">
        <v>109.42</v>
      </c>
      <c r="E2500" s="3">
        <v>1.4529000000000001</v>
      </c>
      <c r="F2500" s="3">
        <v>286.07</v>
      </c>
      <c r="G2500" s="3">
        <v>402.27</v>
      </c>
      <c r="H2500" s="3">
        <v>189.05</v>
      </c>
      <c r="I2500" s="3">
        <v>339.31</v>
      </c>
      <c r="J2500" s="3">
        <v>119.54</v>
      </c>
      <c r="K2500" s="3">
        <v>215.46</v>
      </c>
      <c r="L2500" s="3"/>
      <c r="N2500" s="4"/>
    </row>
    <row r="2501" spans="1:14" ht="17.5" thickBot="1" x14ac:dyDescent="0.45">
      <c r="A2501" s="4">
        <v>45358</v>
      </c>
      <c r="B2501" s="3">
        <v>109.69</v>
      </c>
      <c r="C2501" s="3">
        <v>322.61</v>
      </c>
      <c r="D2501" s="3">
        <v>109.61</v>
      </c>
      <c r="E2501" s="3">
        <v>1.4616</v>
      </c>
      <c r="F2501" s="3">
        <v>286.69</v>
      </c>
      <c r="G2501" s="3">
        <v>406.21</v>
      </c>
      <c r="H2501" s="3">
        <v>189.36</v>
      </c>
      <c r="I2501" s="3">
        <v>342.58</v>
      </c>
      <c r="J2501" s="3">
        <v>119.54</v>
      </c>
      <c r="K2501" s="3">
        <v>215.8</v>
      </c>
      <c r="L2501" s="3"/>
      <c r="N2501" s="4"/>
    </row>
    <row r="2502" spans="1:14" ht="17.5" thickBot="1" x14ac:dyDescent="0.45">
      <c r="A2502" s="4">
        <v>45359</v>
      </c>
      <c r="B2502" s="3">
        <v>110.66</v>
      </c>
      <c r="C2502" s="3">
        <v>326.14999999999998</v>
      </c>
      <c r="D2502" s="3">
        <v>109.81</v>
      </c>
      <c r="E2502" s="3">
        <v>1.4601999999999999</v>
      </c>
      <c r="F2502" s="3">
        <v>287.89999999999998</v>
      </c>
      <c r="G2502" s="3">
        <v>403.78</v>
      </c>
      <c r="H2502" s="3">
        <v>189.93</v>
      </c>
      <c r="I2502" s="3">
        <v>340.53</v>
      </c>
      <c r="J2502" s="3">
        <v>119.54</v>
      </c>
      <c r="K2502" s="3">
        <v>216.5</v>
      </c>
      <c r="L2502" s="3"/>
      <c r="N2502" s="4"/>
    </row>
    <row r="2503" spans="1:14" ht="17.5" thickBot="1" x14ac:dyDescent="0.45">
      <c r="A2503" s="4">
        <v>45360</v>
      </c>
      <c r="B2503" s="3">
        <v>110.66</v>
      </c>
      <c r="C2503" s="3">
        <v>326.14999999999998</v>
      </c>
      <c r="D2503" s="3">
        <v>109.81</v>
      </c>
      <c r="E2503" s="3">
        <v>1.4601999999999999</v>
      </c>
      <c r="F2503" s="3">
        <v>287.89999999999998</v>
      </c>
      <c r="G2503" s="3">
        <v>403.78</v>
      </c>
      <c r="H2503" s="3">
        <v>189.93</v>
      </c>
      <c r="I2503" s="3">
        <v>340.53</v>
      </c>
      <c r="J2503" s="3">
        <v>119.55</v>
      </c>
      <c r="K2503" s="3">
        <v>216.5</v>
      </c>
      <c r="L2503" s="3"/>
      <c r="N2503" s="4"/>
    </row>
    <row r="2504" spans="1:14" ht="17.5" thickBot="1" x14ac:dyDescent="0.45">
      <c r="A2504" s="4">
        <v>45361</v>
      </c>
      <c r="B2504" s="3">
        <v>110.66</v>
      </c>
      <c r="C2504" s="3">
        <v>326.14999999999998</v>
      </c>
      <c r="D2504" s="3">
        <v>109.81</v>
      </c>
      <c r="E2504" s="3">
        <v>1.4601999999999999</v>
      </c>
      <c r="F2504" s="3">
        <v>287.89999999999998</v>
      </c>
      <c r="G2504" s="3">
        <v>403.78</v>
      </c>
      <c r="H2504" s="3">
        <v>189.93</v>
      </c>
      <c r="I2504" s="3">
        <v>340.53</v>
      </c>
      <c r="J2504" s="3">
        <v>119.55</v>
      </c>
      <c r="K2504" s="3">
        <v>216.5</v>
      </c>
      <c r="L2504" s="3"/>
      <c r="N2504" s="4"/>
    </row>
    <row r="2505" spans="1:14" ht="17.5" thickBot="1" x14ac:dyDescent="0.45">
      <c r="A2505" s="4">
        <v>45362</v>
      </c>
      <c r="B2505" s="3">
        <v>112.14</v>
      </c>
      <c r="C2505" s="3">
        <v>323.83999999999997</v>
      </c>
      <c r="D2505" s="3">
        <v>109.89</v>
      </c>
      <c r="E2505" s="3">
        <v>1.4563999999999999</v>
      </c>
      <c r="F2505" s="3">
        <v>287.62</v>
      </c>
      <c r="G2505" s="3">
        <v>403.46</v>
      </c>
      <c r="H2505" s="3">
        <v>189.77</v>
      </c>
      <c r="I2505" s="3">
        <v>340.28</v>
      </c>
      <c r="J2505" s="3">
        <v>119.59</v>
      </c>
      <c r="K2505" s="3">
        <v>216.31</v>
      </c>
      <c r="L2505" s="3"/>
      <c r="N2505" s="4"/>
    </row>
    <row r="2506" spans="1:14" ht="17.5" thickBot="1" x14ac:dyDescent="0.45">
      <c r="A2506" s="4">
        <v>45363</v>
      </c>
      <c r="B2506" s="3">
        <v>115.68</v>
      </c>
      <c r="C2506" s="3">
        <v>325.76</v>
      </c>
      <c r="D2506" s="3">
        <v>109.8</v>
      </c>
      <c r="E2506" s="3">
        <v>1.4635</v>
      </c>
      <c r="F2506" s="3">
        <v>290.73</v>
      </c>
      <c r="G2506" s="3">
        <v>408.11</v>
      </c>
      <c r="H2506" s="3">
        <v>190.78</v>
      </c>
      <c r="I2506" s="3">
        <v>343.91</v>
      </c>
      <c r="J2506" s="3">
        <v>119.6</v>
      </c>
      <c r="K2506" s="3">
        <v>217.45</v>
      </c>
      <c r="L2506" s="3"/>
      <c r="N2506" s="4"/>
    </row>
    <row r="2507" spans="1:14" ht="17.5" thickBot="1" x14ac:dyDescent="0.45">
      <c r="A2507" s="4">
        <v>45364</v>
      </c>
      <c r="B2507" s="3">
        <v>115.67</v>
      </c>
      <c r="C2507" s="3">
        <v>325.64999999999998</v>
      </c>
      <c r="D2507" s="3">
        <v>109.65</v>
      </c>
      <c r="E2507" s="3">
        <v>1.462</v>
      </c>
      <c r="F2507" s="3">
        <v>290.72000000000003</v>
      </c>
      <c r="G2507" s="3">
        <v>407.59</v>
      </c>
      <c r="H2507" s="3">
        <v>190.71</v>
      </c>
      <c r="I2507" s="3">
        <v>343.35</v>
      </c>
      <c r="J2507" s="3">
        <v>119.6</v>
      </c>
      <c r="K2507" s="3">
        <v>217.36</v>
      </c>
      <c r="L2507" s="3"/>
      <c r="N2507" s="4"/>
    </row>
    <row r="2508" spans="1:14" ht="17.5" thickBot="1" x14ac:dyDescent="0.45">
      <c r="A2508" s="4">
        <v>45365</v>
      </c>
      <c r="B2508" s="3">
        <v>114.67</v>
      </c>
      <c r="C2508" s="3">
        <v>325.64</v>
      </c>
      <c r="D2508" s="3">
        <v>109.46</v>
      </c>
      <c r="E2508" s="3">
        <v>1.4569000000000001</v>
      </c>
      <c r="F2508" s="3">
        <v>289.66000000000003</v>
      </c>
      <c r="G2508" s="3">
        <v>406.88</v>
      </c>
      <c r="H2508" s="3">
        <v>189.85</v>
      </c>
      <c r="I2508" s="3">
        <v>342.59</v>
      </c>
      <c r="J2508" s="3">
        <v>119.6</v>
      </c>
      <c r="K2508" s="3">
        <v>216.39</v>
      </c>
      <c r="L2508" s="3"/>
      <c r="N2508" s="4"/>
    </row>
    <row r="2509" spans="1:14" ht="17.5" thickBot="1" x14ac:dyDescent="0.45">
      <c r="A2509" s="4">
        <v>45366</v>
      </c>
      <c r="B2509" s="3">
        <v>113.16</v>
      </c>
      <c r="C2509" s="3">
        <v>321.26</v>
      </c>
      <c r="D2509" s="3">
        <v>109.14</v>
      </c>
      <c r="E2509" s="3">
        <v>1.4505999999999999</v>
      </c>
      <c r="F2509" s="3">
        <v>287.43</v>
      </c>
      <c r="G2509" s="3">
        <v>404.05</v>
      </c>
      <c r="H2509" s="3">
        <v>188.96</v>
      </c>
      <c r="I2509" s="3">
        <v>339.8</v>
      </c>
      <c r="J2509" s="3">
        <v>119.6</v>
      </c>
      <c r="K2509" s="3">
        <v>215.33</v>
      </c>
      <c r="L2509" s="3"/>
      <c r="N2509" s="4"/>
    </row>
    <row r="2510" spans="1:14" ht="17.5" thickBot="1" x14ac:dyDescent="0.45">
      <c r="A2510" s="4">
        <v>45367</v>
      </c>
      <c r="B2510" s="3">
        <v>113.16</v>
      </c>
      <c r="C2510" s="3">
        <v>321.26</v>
      </c>
      <c r="D2510" s="3">
        <v>109.14</v>
      </c>
      <c r="E2510" s="3">
        <v>1.4505999999999999</v>
      </c>
      <c r="F2510" s="3">
        <v>287.43</v>
      </c>
      <c r="G2510" s="3">
        <v>404.05</v>
      </c>
      <c r="H2510" s="3">
        <v>188.96</v>
      </c>
      <c r="I2510" s="3">
        <v>339.8</v>
      </c>
      <c r="J2510" s="3">
        <v>119.61</v>
      </c>
      <c r="K2510" s="3">
        <v>215.33</v>
      </c>
      <c r="L2510" s="3"/>
      <c r="N2510" s="4"/>
    </row>
    <row r="2511" spans="1:14" ht="17.5" thickBot="1" x14ac:dyDescent="0.45">
      <c r="A2511" s="4">
        <v>45368</v>
      </c>
      <c r="B2511" s="3">
        <v>113.16</v>
      </c>
      <c r="C2511" s="3">
        <v>321.26</v>
      </c>
      <c r="D2511" s="3">
        <v>109.14</v>
      </c>
      <c r="E2511" s="3">
        <v>1.4505999999999999</v>
      </c>
      <c r="F2511" s="3">
        <v>287.43</v>
      </c>
      <c r="G2511" s="3">
        <v>404.05</v>
      </c>
      <c r="H2511" s="3">
        <v>188.96</v>
      </c>
      <c r="I2511" s="3">
        <v>339.8</v>
      </c>
      <c r="J2511" s="3">
        <v>119.61</v>
      </c>
      <c r="K2511" s="3">
        <v>215.33</v>
      </c>
      <c r="L2511" s="3"/>
      <c r="N2511" s="4"/>
    </row>
    <row r="2512" spans="1:14" ht="17.5" thickBot="1" x14ac:dyDescent="0.45">
      <c r="A2512" s="4">
        <v>45369</v>
      </c>
      <c r="B2512" s="3">
        <v>113.27</v>
      </c>
      <c r="C2512" s="3">
        <v>322.89999999999998</v>
      </c>
      <c r="D2512" s="3">
        <v>108.98</v>
      </c>
      <c r="E2512" s="3">
        <v>1.4550000000000001</v>
      </c>
      <c r="F2512" s="3">
        <v>288.89999999999998</v>
      </c>
      <c r="G2512" s="3">
        <v>406.67</v>
      </c>
      <c r="H2512" s="3">
        <v>189.35</v>
      </c>
      <c r="I2512" s="3">
        <v>342.03</v>
      </c>
      <c r="J2512" s="3">
        <v>119.65</v>
      </c>
      <c r="K2512" s="3">
        <v>215.83</v>
      </c>
      <c r="L2512" s="3"/>
      <c r="N2512" s="4"/>
    </row>
    <row r="2513" spans="1:14" ht="17.5" thickBot="1" x14ac:dyDescent="0.45">
      <c r="A2513" s="4">
        <v>45370</v>
      </c>
      <c r="B2513" s="3">
        <v>111.9</v>
      </c>
      <c r="C2513" s="3">
        <v>320.5</v>
      </c>
      <c r="D2513" s="3">
        <v>108.98</v>
      </c>
      <c r="E2513" s="3">
        <v>1.4581999999999999</v>
      </c>
      <c r="F2513" s="3">
        <v>287.82</v>
      </c>
      <c r="G2513" s="3">
        <v>409.29</v>
      </c>
      <c r="H2513" s="3">
        <v>189.03</v>
      </c>
      <c r="I2513" s="3">
        <v>344</v>
      </c>
      <c r="J2513" s="3">
        <v>119.65</v>
      </c>
      <c r="K2513" s="3">
        <v>215.45</v>
      </c>
      <c r="L2513" s="3"/>
      <c r="N2513" s="4"/>
    </row>
    <row r="2514" spans="1:14" ht="17.5" thickBot="1" x14ac:dyDescent="0.45">
      <c r="A2514" s="4">
        <v>45371</v>
      </c>
      <c r="B2514" s="3">
        <v>112.02</v>
      </c>
      <c r="C2514" s="3">
        <v>321.16000000000003</v>
      </c>
      <c r="D2514" s="3">
        <v>109.11</v>
      </c>
      <c r="E2514" s="3">
        <v>1.4641999999999999</v>
      </c>
      <c r="F2514" s="3">
        <v>288.35000000000002</v>
      </c>
      <c r="G2514" s="3">
        <v>412.72</v>
      </c>
      <c r="H2514" s="3">
        <v>189.24</v>
      </c>
      <c r="I2514" s="3">
        <v>347.21</v>
      </c>
      <c r="J2514" s="3">
        <v>119.65</v>
      </c>
      <c r="K2514" s="3">
        <v>215.73</v>
      </c>
      <c r="L2514" s="3"/>
      <c r="N2514" s="4"/>
    </row>
    <row r="2515" spans="1:14" ht="17.5" thickBot="1" x14ac:dyDescent="0.45">
      <c r="A2515" s="4">
        <v>45372</v>
      </c>
      <c r="B2515" s="3">
        <v>114.2</v>
      </c>
      <c r="C2515" s="3">
        <v>327.19</v>
      </c>
      <c r="D2515" s="3">
        <v>109.38</v>
      </c>
      <c r="E2515" s="3">
        <v>1.4704999999999999</v>
      </c>
      <c r="F2515" s="3">
        <v>291.33999999999997</v>
      </c>
      <c r="G2515" s="3">
        <v>413.77</v>
      </c>
      <c r="H2515" s="3">
        <v>190.46</v>
      </c>
      <c r="I2515" s="3">
        <v>348</v>
      </c>
      <c r="J2515" s="3">
        <v>119.66</v>
      </c>
      <c r="K2515" s="3">
        <v>217.09</v>
      </c>
      <c r="L2515" s="3"/>
      <c r="N2515" s="4"/>
    </row>
    <row r="2516" spans="1:14" ht="17.5" thickBot="1" x14ac:dyDescent="0.45">
      <c r="A2516" s="4">
        <v>45373</v>
      </c>
      <c r="B2516" s="3">
        <v>111.62</v>
      </c>
      <c r="C2516" s="3">
        <v>324.56</v>
      </c>
      <c r="D2516" s="3">
        <v>109.33</v>
      </c>
      <c r="E2516" s="3">
        <v>1.4697</v>
      </c>
      <c r="F2516" s="3">
        <v>289.48</v>
      </c>
      <c r="G2516" s="3">
        <v>413.58</v>
      </c>
      <c r="H2516" s="3">
        <v>189.97</v>
      </c>
      <c r="I2516" s="3">
        <v>347.41</v>
      </c>
      <c r="J2516" s="3">
        <v>119.68</v>
      </c>
      <c r="K2516" s="3">
        <v>216.53</v>
      </c>
      <c r="L2516" s="3"/>
      <c r="N2516" s="4"/>
    </row>
    <row r="2517" spans="1:14" ht="17.5" thickBot="1" x14ac:dyDescent="0.45">
      <c r="A2517" s="4">
        <v>45374</v>
      </c>
      <c r="B2517" s="3">
        <v>111.62</v>
      </c>
      <c r="C2517" s="3">
        <v>324.56</v>
      </c>
      <c r="D2517" s="3">
        <v>109.33</v>
      </c>
      <c r="E2517" s="3">
        <v>1.4697</v>
      </c>
      <c r="F2517" s="3">
        <v>289.48</v>
      </c>
      <c r="G2517" s="3">
        <v>413.58</v>
      </c>
      <c r="H2517" s="3">
        <v>189.97</v>
      </c>
      <c r="I2517" s="3">
        <v>347.41</v>
      </c>
      <c r="J2517" s="3">
        <v>119.68</v>
      </c>
      <c r="K2517" s="3">
        <v>216.53</v>
      </c>
      <c r="L2517" s="3"/>
      <c r="N2517" s="4"/>
    </row>
    <row r="2518" spans="1:14" ht="17.5" thickBot="1" x14ac:dyDescent="0.45">
      <c r="A2518" s="4">
        <v>45375</v>
      </c>
      <c r="B2518" s="3">
        <v>111.62</v>
      </c>
      <c r="C2518" s="3">
        <v>324.56</v>
      </c>
      <c r="D2518" s="3">
        <v>109.33</v>
      </c>
      <c r="E2518" s="3">
        <v>1.4697</v>
      </c>
      <c r="F2518" s="3">
        <v>289.48</v>
      </c>
      <c r="G2518" s="3">
        <v>413.58</v>
      </c>
      <c r="H2518" s="3">
        <v>189.97</v>
      </c>
      <c r="I2518" s="3">
        <v>347.41</v>
      </c>
      <c r="J2518" s="3">
        <v>119.69</v>
      </c>
      <c r="K2518" s="3">
        <v>216.53</v>
      </c>
      <c r="L2518" s="3"/>
      <c r="N2518" s="4"/>
    </row>
    <row r="2519" spans="1:14" ht="17.5" thickBot="1" x14ac:dyDescent="0.45">
      <c r="A2519" s="4">
        <v>45376</v>
      </c>
      <c r="B2519" s="3">
        <v>111.43</v>
      </c>
      <c r="C2519" s="3">
        <v>323.27999999999997</v>
      </c>
      <c r="D2519" s="3">
        <v>109.35</v>
      </c>
      <c r="E2519" s="3">
        <v>1.4663999999999999</v>
      </c>
      <c r="F2519" s="3">
        <v>288.67</v>
      </c>
      <c r="G2519" s="3">
        <v>412.29</v>
      </c>
      <c r="H2519" s="3">
        <v>189.57</v>
      </c>
      <c r="I2519" s="3">
        <v>346.41</v>
      </c>
      <c r="J2519" s="3">
        <v>119.69</v>
      </c>
      <c r="K2519" s="3">
        <v>216.05</v>
      </c>
      <c r="L2519" s="3"/>
      <c r="N2519" s="4"/>
    </row>
    <row r="2520" spans="1:14" ht="17.5" thickBot="1" x14ac:dyDescent="0.45">
      <c r="A2520" s="4">
        <v>45377</v>
      </c>
      <c r="B2520" s="3">
        <v>112.47</v>
      </c>
      <c r="C2520" s="3">
        <v>324.48</v>
      </c>
      <c r="D2520" s="3">
        <v>109.41</v>
      </c>
      <c r="E2520" s="3">
        <v>1.4661999999999999</v>
      </c>
      <c r="F2520" s="3">
        <v>289.23</v>
      </c>
      <c r="G2520" s="3">
        <v>410.93</v>
      </c>
      <c r="H2520" s="3">
        <v>189.86</v>
      </c>
      <c r="I2520" s="3">
        <v>345.74</v>
      </c>
      <c r="J2520" s="3">
        <v>119.69</v>
      </c>
      <c r="K2520" s="3">
        <v>216.36</v>
      </c>
      <c r="L2520" s="3"/>
      <c r="N2520" s="4"/>
    </row>
    <row r="2521" spans="1:14" ht="17.5" thickBot="1" x14ac:dyDescent="0.45">
      <c r="A2521" s="4">
        <v>45378</v>
      </c>
      <c r="B2521" s="3">
        <v>110.96</v>
      </c>
      <c r="C2521" s="3">
        <v>324.39</v>
      </c>
      <c r="D2521" s="3">
        <v>109.46</v>
      </c>
      <c r="E2521" s="3">
        <v>1.4728000000000001</v>
      </c>
      <c r="F2521" s="3">
        <v>289.08</v>
      </c>
      <c r="G2521" s="3">
        <v>414.02</v>
      </c>
      <c r="H2521" s="3">
        <v>189.99</v>
      </c>
      <c r="I2521" s="3">
        <v>348.7</v>
      </c>
      <c r="J2521" s="3">
        <v>119.77</v>
      </c>
      <c r="K2521" s="3">
        <v>216.5</v>
      </c>
      <c r="L2521" s="3"/>
      <c r="N2521" s="4"/>
    </row>
    <row r="2522" spans="1:14" ht="17.5" thickBot="1" x14ac:dyDescent="0.45">
      <c r="A2522" s="4">
        <v>45379</v>
      </c>
      <c r="B2522" s="3">
        <v>111.86</v>
      </c>
      <c r="C2522" s="3">
        <v>324.87</v>
      </c>
      <c r="D2522" s="3">
        <v>109.47</v>
      </c>
      <c r="E2522" s="3">
        <v>1.4737</v>
      </c>
      <c r="F2522" s="3">
        <v>289.56</v>
      </c>
      <c r="G2522" s="3">
        <v>414.57</v>
      </c>
      <c r="H2522" s="3">
        <v>190.2</v>
      </c>
      <c r="I2522" s="3">
        <v>348.69</v>
      </c>
      <c r="J2522" s="3">
        <v>119.77</v>
      </c>
      <c r="K2522" s="3">
        <v>216.74</v>
      </c>
      <c r="L2522" s="3"/>
      <c r="N2522" s="4"/>
    </row>
    <row r="2523" spans="1:14" ht="17.5" thickBot="1" x14ac:dyDescent="0.45">
      <c r="A2523" s="4">
        <v>45380</v>
      </c>
      <c r="B2523" s="3">
        <v>111.86</v>
      </c>
      <c r="C2523" s="3">
        <v>324.87</v>
      </c>
      <c r="D2523" s="3">
        <v>109.47</v>
      </c>
      <c r="E2523" s="3">
        <v>1.4737</v>
      </c>
      <c r="F2523" s="3">
        <v>289.56</v>
      </c>
      <c r="G2523" s="3">
        <v>414.57</v>
      </c>
      <c r="H2523" s="3">
        <v>190.2</v>
      </c>
      <c r="I2523" s="3">
        <v>348.69</v>
      </c>
      <c r="J2523" s="3">
        <v>119.77</v>
      </c>
      <c r="K2523" s="3">
        <v>216.74</v>
      </c>
      <c r="L2523" s="3"/>
      <c r="N2523" s="4"/>
    </row>
    <row r="2524" spans="1:14" ht="17.5" thickBot="1" x14ac:dyDescent="0.45">
      <c r="A2524" s="4">
        <v>45381</v>
      </c>
      <c r="B2524" s="3">
        <v>111.86</v>
      </c>
      <c r="C2524" s="3">
        <v>324.87</v>
      </c>
      <c r="D2524" s="3">
        <v>109.47</v>
      </c>
      <c r="E2524" s="3">
        <v>1.4737</v>
      </c>
      <c r="F2524" s="3">
        <v>289.56</v>
      </c>
      <c r="G2524" s="3">
        <v>414.57</v>
      </c>
      <c r="H2524" s="3">
        <v>190.2</v>
      </c>
      <c r="I2524" s="3">
        <v>348.69</v>
      </c>
      <c r="J2524" s="3">
        <v>119.78</v>
      </c>
      <c r="K2524" s="3">
        <v>216.74</v>
      </c>
      <c r="L2524" s="3"/>
      <c r="N2524" s="4"/>
    </row>
    <row r="2525" spans="1:14" ht="17.5" thickBot="1" x14ac:dyDescent="0.45">
      <c r="A2525" s="4">
        <v>45382</v>
      </c>
      <c r="B2525" s="3">
        <v>111.86</v>
      </c>
      <c r="C2525" s="3">
        <v>324.87</v>
      </c>
      <c r="D2525" s="3">
        <v>109.47</v>
      </c>
      <c r="E2525" s="3">
        <v>1.4737</v>
      </c>
      <c r="F2525" s="3">
        <v>289.56</v>
      </c>
      <c r="G2525" s="3">
        <v>414.57</v>
      </c>
      <c r="H2525" s="3">
        <v>190.2</v>
      </c>
      <c r="I2525" s="3">
        <v>348.69</v>
      </c>
      <c r="J2525" s="3">
        <v>119.78</v>
      </c>
      <c r="K2525" s="3">
        <v>216.74</v>
      </c>
      <c r="L2525" s="3"/>
      <c r="N2525" s="4"/>
    </row>
    <row r="2526" spans="1:14" ht="17.5" thickBot="1" x14ac:dyDescent="0.45">
      <c r="A2526" s="4">
        <v>45383</v>
      </c>
      <c r="B2526" s="3">
        <v>111.86</v>
      </c>
      <c r="C2526" s="3">
        <v>324.87</v>
      </c>
      <c r="D2526" s="3">
        <v>109.47</v>
      </c>
      <c r="E2526" s="3">
        <v>1.4737</v>
      </c>
      <c r="F2526" s="3">
        <v>289.56</v>
      </c>
      <c r="G2526" s="3">
        <v>414.57</v>
      </c>
      <c r="H2526" s="3">
        <v>190.2</v>
      </c>
      <c r="I2526" s="3">
        <v>348.69</v>
      </c>
      <c r="J2526" s="3">
        <v>119.78</v>
      </c>
      <c r="K2526" s="3">
        <v>216.74</v>
      </c>
      <c r="L2526" s="3"/>
      <c r="N2526" s="4"/>
    </row>
    <row r="2527" spans="1:14" ht="17.5" thickBot="1" x14ac:dyDescent="0.45">
      <c r="A2527" s="4">
        <v>45384</v>
      </c>
      <c r="B2527" s="3">
        <v>114.49</v>
      </c>
      <c r="C2527" s="3">
        <v>326.3</v>
      </c>
      <c r="D2527" s="3">
        <v>109.01</v>
      </c>
      <c r="E2527" s="3">
        <v>1.4630000000000001</v>
      </c>
      <c r="F2527" s="3">
        <v>289.66000000000003</v>
      </c>
      <c r="G2527" s="3">
        <v>411.06</v>
      </c>
      <c r="H2527" s="3">
        <v>189.63</v>
      </c>
      <c r="I2527" s="3">
        <v>345.93</v>
      </c>
      <c r="J2527" s="3">
        <v>119.83</v>
      </c>
      <c r="K2527" s="3">
        <v>216.05</v>
      </c>
      <c r="L2527" s="3"/>
      <c r="N2527" s="4"/>
    </row>
    <row r="2528" spans="1:14" ht="17.5" thickBot="1" x14ac:dyDescent="0.45">
      <c r="A2528" s="4">
        <v>45385</v>
      </c>
      <c r="B2528" s="3">
        <v>113.08</v>
      </c>
      <c r="C2528" s="3">
        <v>323.92</v>
      </c>
      <c r="D2528" s="3">
        <v>109.03</v>
      </c>
      <c r="E2528" s="3">
        <v>1.4641</v>
      </c>
      <c r="F2528" s="3">
        <v>289.10000000000002</v>
      </c>
      <c r="G2528" s="3">
        <v>411.61</v>
      </c>
      <c r="H2528" s="3">
        <v>189.54</v>
      </c>
      <c r="I2528" s="3">
        <v>346.35</v>
      </c>
      <c r="J2528" s="3">
        <v>119.83</v>
      </c>
      <c r="K2528" s="3">
        <v>215.94</v>
      </c>
      <c r="L2528" s="3"/>
      <c r="N2528" s="4"/>
    </row>
    <row r="2529" spans="1:14" ht="17.5" thickBot="1" x14ac:dyDescent="0.45">
      <c r="A2529" s="4">
        <v>45386</v>
      </c>
      <c r="B2529" s="3">
        <v>113.08</v>
      </c>
      <c r="C2529" s="3">
        <v>323.92</v>
      </c>
      <c r="D2529" s="3">
        <v>109.03</v>
      </c>
      <c r="E2529" s="3">
        <v>1.4641</v>
      </c>
      <c r="F2529" s="3">
        <v>289.10000000000002</v>
      </c>
      <c r="G2529" s="3">
        <v>411.61</v>
      </c>
      <c r="H2529" s="3">
        <v>189.54</v>
      </c>
      <c r="I2529" s="3">
        <v>346.35</v>
      </c>
      <c r="J2529" s="3">
        <v>119.84</v>
      </c>
      <c r="K2529" s="3">
        <v>215.94</v>
      </c>
      <c r="L2529" s="3"/>
      <c r="N2529" s="4"/>
    </row>
    <row r="2530" spans="1:14" ht="17.5" thickBot="1" x14ac:dyDescent="0.45">
      <c r="A2530" s="4">
        <v>45387</v>
      </c>
      <c r="B2530" s="3">
        <v>113.08</v>
      </c>
      <c r="C2530" s="3">
        <v>324.89999999999998</v>
      </c>
      <c r="D2530" s="3">
        <v>109.1</v>
      </c>
      <c r="E2530" s="3">
        <v>1.462</v>
      </c>
      <c r="F2530" s="3">
        <v>288.43</v>
      </c>
      <c r="G2530" s="3">
        <v>411.07</v>
      </c>
      <c r="H2530" s="3">
        <v>189.22</v>
      </c>
      <c r="I2530" s="3">
        <v>345.69</v>
      </c>
      <c r="J2530" s="3">
        <v>119.84</v>
      </c>
      <c r="K2530" s="3">
        <v>215.58</v>
      </c>
      <c r="L2530" s="3"/>
      <c r="N2530" s="4"/>
    </row>
    <row r="2531" spans="1:14" ht="17.5" thickBot="1" x14ac:dyDescent="0.45">
      <c r="A2531" s="4">
        <v>45388</v>
      </c>
      <c r="B2531" s="3">
        <v>113.08</v>
      </c>
      <c r="C2531" s="3">
        <v>324.89999999999998</v>
      </c>
      <c r="D2531" s="3">
        <v>109.1</v>
      </c>
      <c r="E2531" s="3">
        <v>1.462</v>
      </c>
      <c r="F2531" s="3">
        <v>288.43</v>
      </c>
      <c r="G2531" s="3">
        <v>411.07</v>
      </c>
      <c r="H2531" s="3">
        <v>189.22</v>
      </c>
      <c r="I2531" s="3">
        <v>345.69</v>
      </c>
      <c r="J2531" s="3">
        <v>119.84</v>
      </c>
      <c r="K2531" s="3">
        <v>215.58</v>
      </c>
      <c r="L2531" s="3"/>
      <c r="N2531" s="4"/>
    </row>
    <row r="2532" spans="1:14" ht="17.5" thickBot="1" x14ac:dyDescent="0.45">
      <c r="A2532" s="4">
        <v>45389</v>
      </c>
      <c r="B2532" s="3">
        <v>113.08</v>
      </c>
      <c r="C2532" s="3">
        <v>324.89999999999998</v>
      </c>
      <c r="D2532" s="3">
        <v>109.1</v>
      </c>
      <c r="E2532" s="3">
        <v>1.462</v>
      </c>
      <c r="F2532" s="3">
        <v>288.43</v>
      </c>
      <c r="G2532" s="3">
        <v>411.07</v>
      </c>
      <c r="H2532" s="3">
        <v>189.22</v>
      </c>
      <c r="I2532" s="3">
        <v>345.69</v>
      </c>
      <c r="J2532" s="3">
        <v>119.85</v>
      </c>
      <c r="K2532" s="3">
        <v>215.58</v>
      </c>
      <c r="L2532" s="3"/>
      <c r="N2532" s="4"/>
    </row>
    <row r="2533" spans="1:14" ht="17.5" thickBot="1" x14ac:dyDescent="0.45">
      <c r="A2533" s="4">
        <v>45390</v>
      </c>
      <c r="B2533" s="3">
        <v>113.27</v>
      </c>
      <c r="C2533" s="3">
        <v>326.22000000000003</v>
      </c>
      <c r="D2533" s="3">
        <v>108.93</v>
      </c>
      <c r="E2533" s="3">
        <v>1.4637</v>
      </c>
      <c r="F2533" s="3">
        <v>289.49</v>
      </c>
      <c r="G2533" s="3">
        <v>411.04</v>
      </c>
      <c r="H2533" s="3">
        <v>189.56</v>
      </c>
      <c r="I2533" s="3">
        <v>345.84</v>
      </c>
      <c r="J2533" s="3">
        <v>119.89</v>
      </c>
      <c r="K2533" s="3">
        <v>215.93</v>
      </c>
      <c r="L2533" s="3"/>
      <c r="N2533" s="4"/>
    </row>
    <row r="2534" spans="1:14" ht="17.5" thickBot="1" x14ac:dyDescent="0.45">
      <c r="A2534" s="4">
        <v>45391</v>
      </c>
      <c r="B2534" s="3">
        <v>114.01</v>
      </c>
      <c r="C2534" s="3">
        <v>328.03</v>
      </c>
      <c r="D2534" s="3">
        <v>109.13</v>
      </c>
      <c r="E2534" s="3">
        <v>1.4669000000000001</v>
      </c>
      <c r="F2534" s="3">
        <v>290.08</v>
      </c>
      <c r="G2534" s="3">
        <v>411.35</v>
      </c>
      <c r="H2534" s="3">
        <v>190.08</v>
      </c>
      <c r="I2534" s="3">
        <v>346.25</v>
      </c>
      <c r="J2534" s="3">
        <v>119.89</v>
      </c>
      <c r="K2534" s="3">
        <v>216.56</v>
      </c>
      <c r="L2534" s="3"/>
      <c r="N2534" s="4"/>
    </row>
    <row r="2535" spans="1:14" ht="17.5" thickBot="1" x14ac:dyDescent="0.45">
      <c r="A2535" s="4">
        <v>45392</v>
      </c>
      <c r="B2535" s="3">
        <v>116.06</v>
      </c>
      <c r="C2535" s="3">
        <v>328.49</v>
      </c>
      <c r="D2535" s="3">
        <v>108.84</v>
      </c>
      <c r="E2535" s="3">
        <v>1.4564999999999999</v>
      </c>
      <c r="F2535" s="3">
        <v>290.08</v>
      </c>
      <c r="G2535" s="3">
        <v>408.09</v>
      </c>
      <c r="H2535" s="3">
        <v>189.41</v>
      </c>
      <c r="I2535" s="3">
        <v>342.93</v>
      </c>
      <c r="J2535" s="3">
        <v>119.9</v>
      </c>
      <c r="K2535" s="3">
        <v>215.76</v>
      </c>
      <c r="L2535" s="3"/>
      <c r="N2535" s="4"/>
    </row>
    <row r="2536" spans="1:14" ht="17.5" thickBot="1" x14ac:dyDescent="0.45">
      <c r="A2536" s="4">
        <v>45393</v>
      </c>
      <c r="B2536" s="3">
        <v>115.72</v>
      </c>
      <c r="C2536" s="3">
        <v>328.38</v>
      </c>
      <c r="D2536" s="3">
        <v>108.42</v>
      </c>
      <c r="E2536" s="3">
        <v>1.4576</v>
      </c>
      <c r="F2536" s="3">
        <v>289.76</v>
      </c>
      <c r="G2536" s="3">
        <v>411.01</v>
      </c>
      <c r="H2536" s="3">
        <v>189.01</v>
      </c>
      <c r="I2536" s="3">
        <v>345.56</v>
      </c>
      <c r="J2536" s="3">
        <v>119.9</v>
      </c>
      <c r="K2536" s="3">
        <v>215.31</v>
      </c>
      <c r="L2536" s="3"/>
      <c r="N2536" s="4"/>
    </row>
    <row r="2537" spans="1:14" ht="17.5" thickBot="1" x14ac:dyDescent="0.45">
      <c r="A2537" s="4">
        <v>45394</v>
      </c>
      <c r="B2537" s="3">
        <v>113.26</v>
      </c>
      <c r="C2537" s="3">
        <v>325.22000000000003</v>
      </c>
      <c r="D2537" s="3">
        <v>108.44</v>
      </c>
      <c r="E2537" s="3">
        <v>1.4498</v>
      </c>
      <c r="F2537" s="3">
        <v>287.3</v>
      </c>
      <c r="G2537" s="3">
        <v>405.5</v>
      </c>
      <c r="H2537" s="3">
        <v>188.3</v>
      </c>
      <c r="I2537" s="3">
        <v>340.8</v>
      </c>
      <c r="J2537" s="3">
        <v>119.9</v>
      </c>
      <c r="K2537" s="3">
        <v>214.51</v>
      </c>
      <c r="L2537" s="3"/>
      <c r="N2537" s="4"/>
    </row>
    <row r="2538" spans="1:14" ht="17.5" thickBot="1" x14ac:dyDescent="0.45">
      <c r="A2538" s="4">
        <v>45395</v>
      </c>
      <c r="B2538" s="3">
        <v>113.26</v>
      </c>
      <c r="C2538" s="3">
        <v>325.22000000000003</v>
      </c>
      <c r="D2538" s="3">
        <v>108.44</v>
      </c>
      <c r="E2538" s="3">
        <v>1.4498</v>
      </c>
      <c r="F2538" s="3">
        <v>287.3</v>
      </c>
      <c r="G2538" s="3">
        <v>405.5</v>
      </c>
      <c r="H2538" s="3">
        <v>188.3</v>
      </c>
      <c r="I2538" s="3">
        <v>340.8</v>
      </c>
      <c r="J2538" s="3">
        <v>119.9</v>
      </c>
      <c r="K2538" s="3">
        <v>214.51</v>
      </c>
      <c r="L2538" s="3"/>
      <c r="N2538" s="4"/>
    </row>
    <row r="2539" spans="1:14" ht="17.5" thickBot="1" x14ac:dyDescent="0.45">
      <c r="A2539" s="4">
        <v>45396</v>
      </c>
      <c r="B2539" s="3">
        <v>113.26</v>
      </c>
      <c r="C2539" s="3">
        <v>325.22000000000003</v>
      </c>
      <c r="D2539" s="3">
        <v>108.44</v>
      </c>
      <c r="E2539" s="3">
        <v>1.4498</v>
      </c>
      <c r="F2539" s="3">
        <v>287.3</v>
      </c>
      <c r="G2539" s="3">
        <v>405.5</v>
      </c>
      <c r="H2539" s="3">
        <v>188.3</v>
      </c>
      <c r="I2539" s="3">
        <v>340.8</v>
      </c>
      <c r="J2539" s="3">
        <v>119.9</v>
      </c>
      <c r="K2539" s="3">
        <v>214.51</v>
      </c>
      <c r="L2539" s="3"/>
      <c r="N2539" s="4"/>
    </row>
    <row r="2540" spans="1:14" ht="17.5" thickBot="1" x14ac:dyDescent="0.45">
      <c r="A2540" s="4">
        <v>45397</v>
      </c>
      <c r="B2540" s="3">
        <v>112.3</v>
      </c>
      <c r="C2540" s="3">
        <v>321.85000000000002</v>
      </c>
      <c r="D2540" s="3">
        <v>108.18</v>
      </c>
      <c r="E2540" s="3">
        <v>1.4381999999999999</v>
      </c>
      <c r="F2540" s="3">
        <v>285.14999999999998</v>
      </c>
      <c r="G2540" s="3">
        <v>400.26</v>
      </c>
      <c r="H2540" s="3">
        <v>186.99</v>
      </c>
      <c r="I2540" s="3">
        <v>336.49</v>
      </c>
      <c r="J2540" s="3">
        <v>119.95</v>
      </c>
      <c r="K2540" s="3">
        <v>213.01</v>
      </c>
      <c r="L2540" s="3"/>
      <c r="N2540" s="4"/>
    </row>
    <row r="2541" spans="1:14" ht="17.5" thickBot="1" x14ac:dyDescent="0.45">
      <c r="A2541" s="4">
        <v>45398</v>
      </c>
      <c r="B2541" s="3">
        <v>110.08</v>
      </c>
      <c r="C2541" s="3">
        <v>314.73</v>
      </c>
      <c r="D2541" s="3">
        <v>107.77</v>
      </c>
      <c r="E2541" s="3">
        <v>1.4305000000000001</v>
      </c>
      <c r="F2541" s="3">
        <v>280.76</v>
      </c>
      <c r="G2541" s="3">
        <v>399.48</v>
      </c>
      <c r="H2541" s="3">
        <v>185.14</v>
      </c>
      <c r="I2541" s="3">
        <v>335.7</v>
      </c>
      <c r="J2541" s="3">
        <v>119.95</v>
      </c>
      <c r="K2541" s="3">
        <v>210.87</v>
      </c>
      <c r="L2541" s="3"/>
      <c r="N2541" s="4"/>
    </row>
    <row r="2542" spans="1:14" ht="17.5" thickBot="1" x14ac:dyDescent="0.45">
      <c r="A2542" s="4">
        <v>45399</v>
      </c>
      <c r="B2542" s="3">
        <v>110.02</v>
      </c>
      <c r="C2542" s="3">
        <v>314.57</v>
      </c>
      <c r="D2542" s="3">
        <v>107.86</v>
      </c>
      <c r="E2542" s="3">
        <v>1.4281999999999999</v>
      </c>
      <c r="F2542" s="3">
        <v>280.66000000000003</v>
      </c>
      <c r="G2542" s="3">
        <v>397.16</v>
      </c>
      <c r="H2542" s="3">
        <v>185.33</v>
      </c>
      <c r="I2542" s="3">
        <v>333.83</v>
      </c>
      <c r="J2542" s="3">
        <v>119.95</v>
      </c>
      <c r="K2542" s="3">
        <v>211.07</v>
      </c>
      <c r="L2542" s="3"/>
      <c r="N2542" s="4"/>
    </row>
    <row r="2543" spans="1:14" ht="17.5" thickBot="1" x14ac:dyDescent="0.45">
      <c r="A2543" s="4">
        <v>45400</v>
      </c>
      <c r="B2543" s="3">
        <v>111.02</v>
      </c>
      <c r="C2543" s="3">
        <v>316.67</v>
      </c>
      <c r="D2543" s="3">
        <v>108.03</v>
      </c>
      <c r="E2543" s="3">
        <v>1.4279999999999999</v>
      </c>
      <c r="F2543" s="3">
        <v>281.92</v>
      </c>
      <c r="G2543" s="3">
        <v>396.48</v>
      </c>
      <c r="H2543" s="3">
        <v>185.74</v>
      </c>
      <c r="I2543" s="3">
        <v>333.06</v>
      </c>
      <c r="J2543" s="3">
        <v>120.01</v>
      </c>
      <c r="K2543" s="3">
        <v>211.54</v>
      </c>
      <c r="L2543" s="3"/>
      <c r="N2543" s="4"/>
    </row>
    <row r="2544" spans="1:14" ht="17.5" thickBot="1" x14ac:dyDescent="0.45">
      <c r="A2544" s="4">
        <v>45401</v>
      </c>
      <c r="B2544" s="3">
        <v>109.94</v>
      </c>
      <c r="C2544" s="3">
        <v>311.42</v>
      </c>
      <c r="D2544" s="3">
        <v>107.99</v>
      </c>
      <c r="E2544" s="3">
        <v>1.4218999999999999</v>
      </c>
      <c r="F2544" s="3">
        <v>279.16000000000003</v>
      </c>
      <c r="G2544" s="3">
        <v>393.17</v>
      </c>
      <c r="H2544" s="3">
        <v>184.82</v>
      </c>
      <c r="I2544" s="3">
        <v>330.19</v>
      </c>
      <c r="J2544" s="3">
        <v>120.01</v>
      </c>
      <c r="K2544" s="3">
        <v>210.45</v>
      </c>
      <c r="L2544" s="3"/>
      <c r="N2544" s="4"/>
    </row>
    <row r="2545" spans="1:14" ht="17.5" thickBot="1" x14ac:dyDescent="0.45">
      <c r="A2545" s="4">
        <v>45402</v>
      </c>
      <c r="B2545" s="3">
        <v>109.94</v>
      </c>
      <c r="C2545" s="3">
        <v>311.42</v>
      </c>
      <c r="D2545" s="3">
        <v>107.99</v>
      </c>
      <c r="E2545" s="3">
        <v>1.4218999999999999</v>
      </c>
      <c r="F2545" s="3">
        <v>279.16000000000003</v>
      </c>
      <c r="G2545" s="3">
        <v>393.17</v>
      </c>
      <c r="H2545" s="3">
        <v>184.82</v>
      </c>
      <c r="I2545" s="3">
        <v>330.19</v>
      </c>
      <c r="J2545" s="3">
        <v>120.02</v>
      </c>
      <c r="K2545" s="3">
        <v>210.45</v>
      </c>
      <c r="L2545" s="3"/>
      <c r="N2545" s="4"/>
    </row>
    <row r="2546" spans="1:14" ht="17.5" thickBot="1" x14ac:dyDescent="0.45">
      <c r="A2546" s="4">
        <v>45403</v>
      </c>
      <c r="B2546" s="3">
        <v>109.94</v>
      </c>
      <c r="C2546" s="3">
        <v>311.42</v>
      </c>
      <c r="D2546" s="3">
        <v>107.99</v>
      </c>
      <c r="E2546" s="3">
        <v>1.4218999999999999</v>
      </c>
      <c r="F2546" s="3">
        <v>279.16000000000003</v>
      </c>
      <c r="G2546" s="3">
        <v>393.17</v>
      </c>
      <c r="H2546" s="3">
        <v>184.82</v>
      </c>
      <c r="I2546" s="3">
        <v>330.19</v>
      </c>
      <c r="J2546" s="3">
        <v>120.02</v>
      </c>
      <c r="K2546" s="3">
        <v>210.45</v>
      </c>
      <c r="L2546" s="3"/>
      <c r="N2546" s="4"/>
    </row>
    <row r="2547" spans="1:14" ht="17.5" thickBot="1" x14ac:dyDescent="0.45">
      <c r="A2547" s="4">
        <v>45404</v>
      </c>
      <c r="B2547" s="3">
        <v>111.58</v>
      </c>
      <c r="C2547" s="3">
        <v>313.88</v>
      </c>
      <c r="D2547" s="3">
        <v>107.93</v>
      </c>
      <c r="E2547" s="3">
        <v>1.4295</v>
      </c>
      <c r="F2547" s="3">
        <v>281.45</v>
      </c>
      <c r="G2547" s="3">
        <v>396.76</v>
      </c>
      <c r="H2547" s="3">
        <v>185.66</v>
      </c>
      <c r="I2547" s="3">
        <v>333.31</v>
      </c>
      <c r="J2547" s="3">
        <v>120.02</v>
      </c>
      <c r="K2547" s="3">
        <v>211.44</v>
      </c>
      <c r="L2547" s="3"/>
      <c r="N2547" s="4"/>
    </row>
    <row r="2548" spans="1:14" ht="17.5" thickBot="1" x14ac:dyDescent="0.45">
      <c r="A2548" s="4">
        <v>45405</v>
      </c>
      <c r="B2548" s="3">
        <v>113.86</v>
      </c>
      <c r="C2548" s="3">
        <v>316.66000000000003</v>
      </c>
      <c r="D2548" s="3">
        <v>108.08</v>
      </c>
      <c r="E2548" s="3">
        <v>1.4396</v>
      </c>
      <c r="F2548" s="3">
        <v>284.62</v>
      </c>
      <c r="G2548" s="3">
        <v>401.32</v>
      </c>
      <c r="H2548" s="3">
        <v>186.97</v>
      </c>
      <c r="I2548" s="3">
        <v>337.34</v>
      </c>
      <c r="J2548" s="3">
        <v>120.03</v>
      </c>
      <c r="K2548" s="3">
        <v>212.95</v>
      </c>
      <c r="L2548" s="3"/>
      <c r="N2548" s="4"/>
    </row>
    <row r="2549" spans="1:14" ht="17.5" thickBot="1" x14ac:dyDescent="0.45">
      <c r="A2549" s="4">
        <v>45406</v>
      </c>
      <c r="B2549" s="3">
        <v>116.31</v>
      </c>
      <c r="C2549" s="3">
        <v>322.3</v>
      </c>
      <c r="D2549" s="3">
        <v>108.01</v>
      </c>
      <c r="E2549" s="3">
        <v>1.4388000000000001</v>
      </c>
      <c r="F2549" s="3">
        <v>287.55</v>
      </c>
      <c r="G2549" s="3">
        <v>400.84</v>
      </c>
      <c r="H2549" s="3">
        <v>187.73</v>
      </c>
      <c r="I2549" s="3">
        <v>337.1</v>
      </c>
      <c r="J2549" s="3">
        <v>120.04</v>
      </c>
      <c r="K2549" s="3">
        <v>213.85</v>
      </c>
      <c r="L2549" s="3"/>
      <c r="N2549" s="4"/>
    </row>
    <row r="2550" spans="1:14" ht="17.5" thickBot="1" x14ac:dyDescent="0.45">
      <c r="A2550" s="4">
        <v>45407</v>
      </c>
      <c r="B2550" s="3">
        <v>116.86</v>
      </c>
      <c r="C2550" s="3">
        <v>319.83</v>
      </c>
      <c r="D2550" s="3">
        <v>107.79</v>
      </c>
      <c r="E2550" s="3">
        <v>1.4325000000000001</v>
      </c>
      <c r="F2550" s="3">
        <v>285.98</v>
      </c>
      <c r="G2550" s="3">
        <v>398.22</v>
      </c>
      <c r="H2550" s="3">
        <v>186.98</v>
      </c>
      <c r="I2550" s="3">
        <v>335.62</v>
      </c>
      <c r="J2550" s="3">
        <v>120.04</v>
      </c>
      <c r="K2550" s="3">
        <v>212.96</v>
      </c>
      <c r="L2550" s="3"/>
      <c r="N2550" s="4"/>
    </row>
    <row r="2551" spans="1:14" ht="17.5" thickBot="1" x14ac:dyDescent="0.45">
      <c r="A2551" s="4">
        <v>45408</v>
      </c>
      <c r="B2551" s="3">
        <v>119.48</v>
      </c>
      <c r="C2551" s="3">
        <v>321.73</v>
      </c>
      <c r="D2551" s="3">
        <v>107.75</v>
      </c>
      <c r="E2551" s="3">
        <v>1.4409000000000001</v>
      </c>
      <c r="F2551" s="3">
        <v>289.26</v>
      </c>
      <c r="G2551" s="3">
        <v>402.23</v>
      </c>
      <c r="H2551" s="3">
        <v>188.29</v>
      </c>
      <c r="I2551" s="3">
        <v>338.76</v>
      </c>
      <c r="J2551" s="3">
        <v>120.04</v>
      </c>
      <c r="K2551" s="3">
        <v>214.48</v>
      </c>
      <c r="L2551" s="3"/>
      <c r="N2551" s="4"/>
    </row>
    <row r="2552" spans="1:14" ht="17.5" thickBot="1" x14ac:dyDescent="0.45">
      <c r="A2552" s="4">
        <v>45409</v>
      </c>
      <c r="B2552" s="3">
        <v>119.48</v>
      </c>
      <c r="C2552" s="3">
        <v>321.73</v>
      </c>
      <c r="D2552" s="3">
        <v>107.75</v>
      </c>
      <c r="E2552" s="3">
        <v>1.4409000000000001</v>
      </c>
      <c r="F2552" s="3">
        <v>289.26</v>
      </c>
      <c r="G2552" s="3">
        <v>402.23</v>
      </c>
      <c r="H2552" s="3">
        <v>188.29</v>
      </c>
      <c r="I2552" s="3">
        <v>338.76</v>
      </c>
      <c r="J2552" s="3">
        <v>120.04</v>
      </c>
      <c r="K2552" s="3">
        <v>214.48</v>
      </c>
      <c r="L2552" s="3"/>
      <c r="N2552" s="4"/>
    </row>
    <row r="2553" spans="1:14" ht="17.5" thickBot="1" x14ac:dyDescent="0.45">
      <c r="A2553" s="4">
        <v>45410</v>
      </c>
      <c r="B2553" s="3">
        <v>119.48</v>
      </c>
      <c r="C2553" s="3">
        <v>321.73</v>
      </c>
      <c r="D2553" s="3">
        <v>107.75</v>
      </c>
      <c r="E2553" s="3">
        <v>1.4409000000000001</v>
      </c>
      <c r="F2553" s="3">
        <v>289.26</v>
      </c>
      <c r="G2553" s="3">
        <v>402.23</v>
      </c>
      <c r="H2553" s="3">
        <v>188.29</v>
      </c>
      <c r="I2553" s="3">
        <v>338.76</v>
      </c>
      <c r="J2553" s="3">
        <v>120.05</v>
      </c>
      <c r="K2553" s="3">
        <v>214.48</v>
      </c>
      <c r="L2553" s="3"/>
      <c r="N2553" s="4"/>
    </row>
    <row r="2554" spans="1:14" ht="17.5" thickBot="1" x14ac:dyDescent="0.45">
      <c r="A2554" s="4">
        <v>45411</v>
      </c>
      <c r="B2554" s="3">
        <v>119.93</v>
      </c>
      <c r="C2554" s="3">
        <v>323.69</v>
      </c>
      <c r="D2554" s="3">
        <v>107.91</v>
      </c>
      <c r="E2554" s="3">
        <v>1.4456</v>
      </c>
      <c r="F2554" s="3">
        <v>290.41000000000003</v>
      </c>
      <c r="G2554" s="3">
        <v>403.42</v>
      </c>
      <c r="H2554" s="3">
        <v>189</v>
      </c>
      <c r="I2554" s="3">
        <v>339.86</v>
      </c>
      <c r="J2554" s="3">
        <v>120.05</v>
      </c>
      <c r="K2554" s="3">
        <v>215.28</v>
      </c>
      <c r="L2554" s="3"/>
      <c r="N2554" s="4"/>
    </row>
    <row r="2555" spans="1:14" ht="17.5" thickBot="1" x14ac:dyDescent="0.45">
      <c r="A2555" s="4">
        <v>45412</v>
      </c>
      <c r="B2555" s="3">
        <v>120.09</v>
      </c>
      <c r="C2555" s="3">
        <v>324.10000000000002</v>
      </c>
      <c r="D2555" s="3">
        <v>107.74</v>
      </c>
      <c r="E2555" s="3">
        <v>1.4339</v>
      </c>
      <c r="F2555" s="3">
        <v>289.13</v>
      </c>
      <c r="G2555" s="3">
        <v>396.96</v>
      </c>
      <c r="H2555" s="3">
        <v>188.2</v>
      </c>
      <c r="I2555" s="3">
        <v>334.37</v>
      </c>
      <c r="J2555" s="3">
        <v>120.13</v>
      </c>
      <c r="K2555" s="3">
        <v>214.39</v>
      </c>
      <c r="L2555" s="3"/>
      <c r="N2555" s="4"/>
    </row>
    <row r="2556" spans="1:14" ht="17.5" thickBot="1" x14ac:dyDescent="0.45">
      <c r="A2556" s="4">
        <v>45413</v>
      </c>
      <c r="B2556" s="3">
        <v>120.09</v>
      </c>
      <c r="C2556" s="3">
        <v>324.10000000000002</v>
      </c>
      <c r="D2556" s="3">
        <v>107.74</v>
      </c>
      <c r="E2556" s="3">
        <v>1.4339</v>
      </c>
      <c r="F2556" s="3">
        <v>289.13</v>
      </c>
      <c r="G2556" s="3">
        <v>396.96</v>
      </c>
      <c r="H2556" s="3">
        <v>188.2</v>
      </c>
      <c r="I2556" s="3">
        <v>334.37</v>
      </c>
      <c r="J2556" s="3">
        <v>120.13</v>
      </c>
      <c r="K2556" s="3">
        <v>214.39</v>
      </c>
      <c r="L2556" s="3"/>
      <c r="N2556" s="4"/>
    </row>
    <row r="2557" spans="1:14" ht="17.5" thickBot="1" x14ac:dyDescent="0.45">
      <c r="A2557" s="4">
        <v>45414</v>
      </c>
      <c r="B2557" s="3">
        <v>123.19</v>
      </c>
      <c r="C2557" s="3">
        <v>325.37</v>
      </c>
      <c r="D2557" s="3">
        <v>108.05</v>
      </c>
      <c r="E2557" s="3">
        <v>1.44</v>
      </c>
      <c r="F2557" s="3">
        <v>291.63</v>
      </c>
      <c r="G2557" s="3">
        <v>399.41</v>
      </c>
      <c r="H2557" s="3">
        <v>189.44</v>
      </c>
      <c r="I2557" s="3">
        <v>336.2</v>
      </c>
      <c r="J2557" s="3">
        <v>120.13</v>
      </c>
      <c r="K2557" s="3">
        <v>215.87</v>
      </c>
      <c r="L2557" s="3"/>
      <c r="N2557" s="4"/>
    </row>
    <row r="2558" spans="1:14" ht="17.5" thickBot="1" x14ac:dyDescent="0.45">
      <c r="A2558" s="4">
        <v>45415</v>
      </c>
      <c r="B2558" s="3">
        <v>124.85</v>
      </c>
      <c r="C2558" s="3">
        <v>327.39999999999998</v>
      </c>
      <c r="D2558" s="3">
        <v>108.41</v>
      </c>
      <c r="E2558" s="3">
        <v>1.4511000000000001</v>
      </c>
      <c r="F2558" s="3">
        <v>294.54000000000002</v>
      </c>
      <c r="G2558" s="3">
        <v>404.11</v>
      </c>
      <c r="H2558" s="3">
        <v>190.87</v>
      </c>
      <c r="I2558" s="3">
        <v>340.35</v>
      </c>
      <c r="J2558" s="3">
        <v>120.14</v>
      </c>
      <c r="K2558" s="3">
        <v>217.54</v>
      </c>
      <c r="L2558" s="3"/>
      <c r="N2558" s="4"/>
    </row>
    <row r="2559" spans="1:14" ht="17.5" thickBot="1" x14ac:dyDescent="0.45">
      <c r="A2559" s="4">
        <v>45416</v>
      </c>
      <c r="B2559" s="3">
        <v>124.85</v>
      </c>
      <c r="C2559" s="3">
        <v>327.39999999999998</v>
      </c>
      <c r="D2559" s="3">
        <v>108.41</v>
      </c>
      <c r="E2559" s="3">
        <v>1.4511000000000001</v>
      </c>
      <c r="F2559" s="3">
        <v>294.54000000000002</v>
      </c>
      <c r="G2559" s="3">
        <v>404.11</v>
      </c>
      <c r="H2559" s="3">
        <v>190.87</v>
      </c>
      <c r="I2559" s="3">
        <v>340.35</v>
      </c>
      <c r="J2559" s="3">
        <v>120.14</v>
      </c>
      <c r="K2559" s="3">
        <v>217.54</v>
      </c>
      <c r="L2559" s="3"/>
      <c r="N2559" s="4"/>
    </row>
    <row r="2560" spans="1:14" ht="17.5" thickBot="1" x14ac:dyDescent="0.45">
      <c r="A2560" s="4">
        <v>45417</v>
      </c>
      <c r="B2560" s="3">
        <v>124.85</v>
      </c>
      <c r="C2560" s="3">
        <v>327.39999999999998</v>
      </c>
      <c r="D2560" s="3">
        <v>108.41</v>
      </c>
      <c r="E2560" s="3">
        <v>1.4511000000000001</v>
      </c>
      <c r="F2560" s="3">
        <v>294.54000000000002</v>
      </c>
      <c r="G2560" s="3">
        <v>404.11</v>
      </c>
      <c r="H2560" s="3">
        <v>190.87</v>
      </c>
      <c r="I2560" s="3">
        <v>340.35</v>
      </c>
      <c r="J2560" s="3">
        <v>120.14</v>
      </c>
      <c r="K2560" s="3">
        <v>217.54</v>
      </c>
      <c r="L2560" s="3"/>
      <c r="N2560" s="4"/>
    </row>
    <row r="2561" spans="1:14" ht="17.5" thickBot="1" x14ac:dyDescent="0.45">
      <c r="A2561" s="4">
        <v>45418</v>
      </c>
      <c r="B2561" s="3">
        <v>125.6</v>
      </c>
      <c r="C2561" s="3">
        <v>328.74</v>
      </c>
      <c r="D2561" s="3">
        <v>108.74</v>
      </c>
      <c r="E2561" s="3">
        <v>1.4596</v>
      </c>
      <c r="F2561" s="3">
        <v>296.3</v>
      </c>
      <c r="G2561" s="3">
        <v>408.19</v>
      </c>
      <c r="H2561" s="3">
        <v>191.73</v>
      </c>
      <c r="I2561" s="3">
        <v>343.86</v>
      </c>
      <c r="J2561" s="3">
        <v>120.19</v>
      </c>
      <c r="K2561" s="3">
        <v>218.5</v>
      </c>
      <c r="L2561" s="3"/>
      <c r="N2561" s="4"/>
    </row>
    <row r="2562" spans="1:14" ht="17.5" thickBot="1" x14ac:dyDescent="0.45">
      <c r="A2562" s="4">
        <v>45419</v>
      </c>
      <c r="B2562" s="3">
        <v>124.85</v>
      </c>
      <c r="C2562" s="3">
        <v>329.65</v>
      </c>
      <c r="D2562" s="3">
        <v>108.92</v>
      </c>
      <c r="E2562" s="3">
        <v>1.4642999999999999</v>
      </c>
      <c r="F2562" s="3">
        <v>296.92</v>
      </c>
      <c r="G2562" s="3">
        <v>409.06</v>
      </c>
      <c r="H2562" s="3">
        <v>192.17</v>
      </c>
      <c r="I2562" s="3">
        <v>344.32</v>
      </c>
      <c r="J2562" s="3">
        <v>120.19</v>
      </c>
      <c r="K2562" s="3">
        <v>218.99</v>
      </c>
      <c r="L2562" s="3"/>
      <c r="N2562" s="4"/>
    </row>
    <row r="2563" spans="1:14" ht="17.5" thickBot="1" x14ac:dyDescent="0.45">
      <c r="A2563" s="4">
        <v>45420</v>
      </c>
      <c r="B2563" s="3">
        <v>123.87</v>
      </c>
      <c r="C2563" s="3">
        <v>327.74</v>
      </c>
      <c r="D2563" s="3">
        <v>108.79</v>
      </c>
      <c r="E2563" s="3">
        <v>1.4613</v>
      </c>
      <c r="F2563" s="3">
        <v>294.91000000000003</v>
      </c>
      <c r="G2563" s="3">
        <v>409.05</v>
      </c>
      <c r="H2563" s="3">
        <v>191.27</v>
      </c>
      <c r="I2563" s="3">
        <v>344.29</v>
      </c>
      <c r="J2563" s="3">
        <v>120.19</v>
      </c>
      <c r="K2563" s="3">
        <v>217.91</v>
      </c>
      <c r="L2563" s="3"/>
      <c r="N2563" s="4"/>
    </row>
    <row r="2564" spans="1:14" ht="17.5" thickBot="1" x14ac:dyDescent="0.45">
      <c r="A2564" s="4">
        <v>45421</v>
      </c>
      <c r="B2564" s="3">
        <v>125.57</v>
      </c>
      <c r="C2564" s="3">
        <v>327.13</v>
      </c>
      <c r="D2564" s="3">
        <v>108.75</v>
      </c>
      <c r="E2564" s="3">
        <v>1.4645999999999999</v>
      </c>
      <c r="F2564" s="3">
        <v>296.7</v>
      </c>
      <c r="G2564" s="3">
        <v>410.81</v>
      </c>
      <c r="H2564" s="3">
        <v>191.99</v>
      </c>
      <c r="I2564" s="3">
        <v>346.14</v>
      </c>
      <c r="J2564" s="3">
        <v>120.19</v>
      </c>
      <c r="K2564" s="3">
        <v>218.73</v>
      </c>
      <c r="L2564" s="3"/>
      <c r="N2564" s="4"/>
    </row>
    <row r="2565" spans="1:14" ht="17.5" thickBot="1" x14ac:dyDescent="0.45">
      <c r="A2565" s="4">
        <v>45422</v>
      </c>
      <c r="B2565" s="3">
        <v>128.55000000000001</v>
      </c>
      <c r="C2565" s="3">
        <v>329.88</v>
      </c>
      <c r="D2565" s="3">
        <v>108.78</v>
      </c>
      <c r="E2565" s="3">
        <v>1.4663999999999999</v>
      </c>
      <c r="F2565" s="3">
        <v>298.5</v>
      </c>
      <c r="G2565" s="3">
        <v>411.34</v>
      </c>
      <c r="H2565" s="3">
        <v>192.46</v>
      </c>
      <c r="I2565" s="3">
        <v>346.49</v>
      </c>
      <c r="J2565" s="3">
        <v>120.2</v>
      </c>
      <c r="K2565" s="3">
        <v>219.27</v>
      </c>
      <c r="L2565" s="3"/>
      <c r="N2565" s="4"/>
    </row>
    <row r="2566" spans="1:14" ht="17.5" thickBot="1" x14ac:dyDescent="0.45">
      <c r="A2566" s="4">
        <v>45423</v>
      </c>
      <c r="B2566" s="3">
        <v>128.55000000000001</v>
      </c>
      <c r="C2566" s="3">
        <v>329.88</v>
      </c>
      <c r="D2566" s="3">
        <v>108.78</v>
      </c>
      <c r="E2566" s="3">
        <v>1.4663999999999999</v>
      </c>
      <c r="F2566" s="3">
        <v>298.5</v>
      </c>
      <c r="G2566" s="3">
        <v>411.34</v>
      </c>
      <c r="H2566" s="3">
        <v>192.46</v>
      </c>
      <c r="I2566" s="3">
        <v>346.49</v>
      </c>
      <c r="J2566" s="3">
        <v>120.2</v>
      </c>
      <c r="K2566" s="3">
        <v>219.27</v>
      </c>
      <c r="L2566" s="3"/>
      <c r="N2566" s="4"/>
    </row>
    <row r="2567" spans="1:14" ht="17.5" thickBot="1" x14ac:dyDescent="0.45">
      <c r="A2567" s="4">
        <v>45424</v>
      </c>
      <c r="B2567" s="3">
        <v>128.55000000000001</v>
      </c>
      <c r="C2567" s="3">
        <v>329.88</v>
      </c>
      <c r="D2567" s="3">
        <v>108.78</v>
      </c>
      <c r="E2567" s="3">
        <v>1.4663999999999999</v>
      </c>
      <c r="F2567" s="3">
        <v>298.5</v>
      </c>
      <c r="G2567" s="3">
        <v>411.34</v>
      </c>
      <c r="H2567" s="3">
        <v>192.46</v>
      </c>
      <c r="I2567" s="3">
        <v>346.49</v>
      </c>
      <c r="J2567" s="3">
        <v>120.2</v>
      </c>
      <c r="K2567" s="3">
        <v>219.27</v>
      </c>
      <c r="L2567" s="3"/>
      <c r="N2567" s="4"/>
    </row>
    <row r="2568" spans="1:14" ht="17.5" thickBot="1" x14ac:dyDescent="0.45">
      <c r="A2568" s="4">
        <v>45425</v>
      </c>
      <c r="B2568" s="3">
        <v>129.49</v>
      </c>
      <c r="C2568" s="3">
        <v>331.08</v>
      </c>
      <c r="D2568" s="3">
        <v>108.79</v>
      </c>
      <c r="E2568" s="3">
        <v>1.4676</v>
      </c>
      <c r="F2568" s="3">
        <v>299.68</v>
      </c>
      <c r="G2568" s="3">
        <v>411.29</v>
      </c>
      <c r="H2568" s="3">
        <v>193</v>
      </c>
      <c r="I2568" s="3">
        <v>346.53</v>
      </c>
      <c r="J2568" s="3">
        <v>120.24</v>
      </c>
      <c r="K2568" s="3">
        <v>219.85</v>
      </c>
      <c r="L2568" s="3"/>
      <c r="N2568" s="4"/>
    </row>
    <row r="2569" spans="1:14" ht="17.5" thickBot="1" x14ac:dyDescent="0.45">
      <c r="A2569" s="4">
        <v>45426</v>
      </c>
      <c r="B2569" s="3">
        <v>129.27000000000001</v>
      </c>
      <c r="C2569" s="3">
        <v>331.96</v>
      </c>
      <c r="D2569" s="3">
        <v>108.92</v>
      </c>
      <c r="E2569" s="3">
        <v>1.4712000000000001</v>
      </c>
      <c r="F2569" s="3">
        <v>300.08</v>
      </c>
      <c r="G2569" s="3">
        <v>412.98</v>
      </c>
      <c r="H2569" s="3">
        <v>193.2</v>
      </c>
      <c r="I2569" s="3">
        <v>348.06</v>
      </c>
      <c r="J2569" s="3">
        <v>120.24</v>
      </c>
      <c r="K2569" s="3">
        <v>220.1</v>
      </c>
      <c r="L2569" s="3"/>
      <c r="N2569" s="4"/>
    </row>
    <row r="2570" spans="1:14" ht="17.5" thickBot="1" x14ac:dyDescent="0.45">
      <c r="A2570" s="4">
        <v>45427</v>
      </c>
      <c r="B2570" s="3">
        <v>129.27000000000001</v>
      </c>
      <c r="C2570" s="3">
        <v>331.96</v>
      </c>
      <c r="D2570" s="3">
        <v>108.92</v>
      </c>
      <c r="E2570" s="3">
        <v>1.4712000000000001</v>
      </c>
      <c r="F2570" s="3">
        <v>300.08</v>
      </c>
      <c r="G2570" s="3">
        <v>412.98</v>
      </c>
      <c r="H2570" s="3">
        <v>193.2</v>
      </c>
      <c r="I2570" s="3">
        <v>348.06</v>
      </c>
      <c r="J2570" s="3">
        <v>120.25</v>
      </c>
      <c r="K2570" s="3">
        <v>220.1</v>
      </c>
      <c r="L2570" s="3"/>
      <c r="N2570" s="4"/>
    </row>
    <row r="2571" spans="1:14" ht="17.5" thickBot="1" x14ac:dyDescent="0.45">
      <c r="A2571" s="4">
        <v>45428</v>
      </c>
      <c r="B2571" s="3">
        <v>131.21</v>
      </c>
      <c r="C2571" s="3">
        <v>338.12</v>
      </c>
      <c r="D2571" s="3">
        <v>109.57</v>
      </c>
      <c r="E2571" s="3">
        <v>1.482</v>
      </c>
      <c r="F2571" s="3">
        <v>303.14999999999998</v>
      </c>
      <c r="G2571" s="3">
        <v>416.11</v>
      </c>
      <c r="H2571" s="3">
        <v>194.76</v>
      </c>
      <c r="I2571" s="3">
        <v>351.31</v>
      </c>
      <c r="J2571" s="3">
        <v>120.25</v>
      </c>
      <c r="K2571" s="3">
        <v>221.85</v>
      </c>
      <c r="L2571" s="3"/>
      <c r="N2571" s="4"/>
    </row>
    <row r="2572" spans="1:14" ht="17.5" thickBot="1" x14ac:dyDescent="0.45">
      <c r="A2572" s="4">
        <v>45429</v>
      </c>
      <c r="B2572" s="3">
        <v>132.47999999999999</v>
      </c>
      <c r="C2572" s="3">
        <v>338.11</v>
      </c>
      <c r="D2572" s="3">
        <v>109.42</v>
      </c>
      <c r="E2572" s="3">
        <v>1.4813000000000001</v>
      </c>
      <c r="F2572" s="3">
        <v>304.07</v>
      </c>
      <c r="G2572" s="3">
        <v>416.57</v>
      </c>
      <c r="H2572" s="3">
        <v>194.88</v>
      </c>
      <c r="I2572" s="3">
        <v>351.76</v>
      </c>
      <c r="J2572" s="3">
        <v>120.3</v>
      </c>
      <c r="K2572" s="3">
        <v>222</v>
      </c>
      <c r="L2572" s="3"/>
      <c r="N2572" s="4"/>
    </row>
    <row r="2573" spans="1:14" ht="17.5" thickBot="1" x14ac:dyDescent="0.45">
      <c r="A2573" s="4">
        <v>45430</v>
      </c>
      <c r="B2573" s="3">
        <v>132.47999999999999</v>
      </c>
      <c r="C2573" s="3">
        <v>338.11</v>
      </c>
      <c r="D2573" s="3">
        <v>109.42</v>
      </c>
      <c r="E2573" s="3">
        <v>1.4813000000000001</v>
      </c>
      <c r="F2573" s="3">
        <v>304.07</v>
      </c>
      <c r="G2573" s="3">
        <v>416.57</v>
      </c>
      <c r="H2573" s="3">
        <v>194.88</v>
      </c>
      <c r="I2573" s="3">
        <v>351.76</v>
      </c>
      <c r="J2573" s="3">
        <v>120.31</v>
      </c>
      <c r="K2573" s="3">
        <v>222</v>
      </c>
      <c r="L2573" s="3"/>
      <c r="N2573" s="4"/>
    </row>
    <row r="2574" spans="1:14" ht="17.5" thickBot="1" x14ac:dyDescent="0.45">
      <c r="A2574" s="4">
        <v>45431</v>
      </c>
      <c r="B2574" s="3">
        <v>132.47999999999999</v>
      </c>
      <c r="C2574" s="3">
        <v>338.11</v>
      </c>
      <c r="D2574" s="3">
        <v>109.42</v>
      </c>
      <c r="E2574" s="3">
        <v>1.4813000000000001</v>
      </c>
      <c r="F2574" s="3">
        <v>304.07</v>
      </c>
      <c r="G2574" s="3">
        <v>416.57</v>
      </c>
      <c r="H2574" s="3">
        <v>194.88</v>
      </c>
      <c r="I2574" s="3">
        <v>351.76</v>
      </c>
      <c r="J2574" s="3">
        <v>120.31</v>
      </c>
      <c r="K2574" s="3">
        <v>222</v>
      </c>
      <c r="L2574" s="3"/>
      <c r="N2574" s="4"/>
    </row>
    <row r="2575" spans="1:14" ht="17.5" thickBot="1" x14ac:dyDescent="0.45">
      <c r="A2575" s="4">
        <v>45432</v>
      </c>
      <c r="B2575" s="3">
        <v>133.01</v>
      </c>
      <c r="C2575" s="3">
        <v>339.3</v>
      </c>
      <c r="D2575" s="3">
        <v>109.31</v>
      </c>
      <c r="E2575" s="3">
        <v>1.4817</v>
      </c>
      <c r="F2575" s="3">
        <v>304.35000000000002</v>
      </c>
      <c r="G2575" s="3">
        <v>416.71</v>
      </c>
      <c r="H2575" s="3">
        <v>194.85</v>
      </c>
      <c r="I2575" s="3">
        <v>352.05</v>
      </c>
      <c r="J2575" s="3">
        <v>120.31</v>
      </c>
      <c r="K2575" s="3">
        <v>221.97</v>
      </c>
      <c r="L2575" s="3"/>
      <c r="N2575" s="4"/>
    </row>
    <row r="2576" spans="1:14" ht="17.5" thickBot="1" x14ac:dyDescent="0.45">
      <c r="A2576" s="4">
        <v>45433</v>
      </c>
      <c r="B2576" s="3">
        <v>130.04</v>
      </c>
      <c r="C2576" s="3">
        <v>336.66</v>
      </c>
      <c r="D2576" s="3">
        <v>109.3</v>
      </c>
      <c r="E2576" s="3">
        <v>1.4832000000000001</v>
      </c>
      <c r="F2576" s="3">
        <v>302.69</v>
      </c>
      <c r="G2576" s="3">
        <v>417.64</v>
      </c>
      <c r="H2576" s="3">
        <v>194.4</v>
      </c>
      <c r="I2576" s="3">
        <v>352.98</v>
      </c>
      <c r="J2576" s="3">
        <v>120.32</v>
      </c>
      <c r="K2576" s="3">
        <v>221.44</v>
      </c>
      <c r="L2576" s="3"/>
      <c r="N2576" s="4"/>
    </row>
    <row r="2577" spans="1:14" ht="17.5" thickBot="1" x14ac:dyDescent="0.45">
      <c r="A2577" s="4">
        <v>45434</v>
      </c>
      <c r="B2577" s="3">
        <v>129.96</v>
      </c>
      <c r="C2577" s="3">
        <v>337.4</v>
      </c>
      <c r="D2577" s="3">
        <v>109.3</v>
      </c>
      <c r="E2577" s="3">
        <v>1.4797</v>
      </c>
      <c r="F2577" s="3">
        <v>302.16000000000003</v>
      </c>
      <c r="G2577" s="3">
        <v>416.36</v>
      </c>
      <c r="H2577" s="3">
        <v>194.13</v>
      </c>
      <c r="I2577" s="3">
        <v>352.07</v>
      </c>
      <c r="J2577" s="3">
        <v>120.32</v>
      </c>
      <c r="K2577" s="3">
        <v>221.06</v>
      </c>
      <c r="L2577" s="3"/>
      <c r="N2577" s="4"/>
    </row>
    <row r="2578" spans="1:14" ht="17.5" thickBot="1" x14ac:dyDescent="0.45">
      <c r="A2578" s="4">
        <v>45435</v>
      </c>
      <c r="B2578" s="3">
        <v>127.83</v>
      </c>
      <c r="C2578" s="3">
        <v>337.34</v>
      </c>
      <c r="D2578" s="3">
        <v>109.23</v>
      </c>
      <c r="E2578" s="3">
        <v>1.474</v>
      </c>
      <c r="F2578" s="3">
        <v>300.54000000000002</v>
      </c>
      <c r="G2578" s="3">
        <v>413.59</v>
      </c>
      <c r="H2578" s="3">
        <v>193.32</v>
      </c>
      <c r="I2578" s="3">
        <v>349.57</v>
      </c>
      <c r="J2578" s="3">
        <v>120.36</v>
      </c>
      <c r="K2578" s="3">
        <v>220.13</v>
      </c>
      <c r="L2578" s="3"/>
      <c r="N2578" s="4"/>
    </row>
    <row r="2579" spans="1:14" ht="17.5" thickBot="1" x14ac:dyDescent="0.45">
      <c r="A2579" s="4">
        <v>45436</v>
      </c>
      <c r="B2579" s="3">
        <v>126.25</v>
      </c>
      <c r="C2579" s="3">
        <v>334.93</v>
      </c>
      <c r="D2579" s="3">
        <v>109.13</v>
      </c>
      <c r="E2579" s="3">
        <v>1.4776</v>
      </c>
      <c r="F2579" s="3">
        <v>299.45</v>
      </c>
      <c r="G2579" s="3">
        <v>416.22</v>
      </c>
      <c r="H2579" s="3">
        <v>193.03</v>
      </c>
      <c r="I2579" s="3">
        <v>351.83</v>
      </c>
      <c r="J2579" s="3">
        <v>120.36</v>
      </c>
      <c r="K2579" s="3">
        <v>219.77</v>
      </c>
      <c r="L2579" s="3"/>
      <c r="N2579" s="4"/>
    </row>
    <row r="2580" spans="1:14" ht="17.5" thickBot="1" x14ac:dyDescent="0.45">
      <c r="A2580" s="4">
        <v>45437</v>
      </c>
      <c r="B2580" s="3">
        <v>126.25</v>
      </c>
      <c r="C2580" s="3">
        <v>334.93</v>
      </c>
      <c r="D2580" s="3">
        <v>109.13</v>
      </c>
      <c r="E2580" s="3">
        <v>1.4776</v>
      </c>
      <c r="F2580" s="3">
        <v>299.45</v>
      </c>
      <c r="G2580" s="3">
        <v>416.22</v>
      </c>
      <c r="H2580" s="3">
        <v>193.03</v>
      </c>
      <c r="I2580" s="3">
        <v>351.83</v>
      </c>
      <c r="J2580" s="3">
        <v>120.37</v>
      </c>
      <c r="K2580" s="3">
        <v>219.77</v>
      </c>
      <c r="L2580" s="3"/>
      <c r="N2580" s="4"/>
    </row>
    <row r="2581" spans="1:14" ht="17.5" thickBot="1" x14ac:dyDescent="0.45">
      <c r="A2581" s="4">
        <v>45438</v>
      </c>
      <c r="B2581" s="3">
        <v>126.25</v>
      </c>
      <c r="C2581" s="3">
        <v>334.93</v>
      </c>
      <c r="D2581" s="3">
        <v>109.13</v>
      </c>
      <c r="E2581" s="3">
        <v>1.4776</v>
      </c>
      <c r="F2581" s="3">
        <v>299.45</v>
      </c>
      <c r="G2581" s="3">
        <v>416.22</v>
      </c>
      <c r="H2581" s="3">
        <v>193.03</v>
      </c>
      <c r="I2581" s="3">
        <v>351.83</v>
      </c>
      <c r="J2581" s="3">
        <v>120.37</v>
      </c>
      <c r="K2581" s="3">
        <v>219.77</v>
      </c>
      <c r="L2581" s="3"/>
      <c r="N2581" s="4"/>
    </row>
    <row r="2582" spans="1:14" ht="17.5" thickBot="1" x14ac:dyDescent="0.45">
      <c r="A2582" s="4">
        <v>45439</v>
      </c>
      <c r="B2582" s="3">
        <v>127.68</v>
      </c>
      <c r="C2582" s="3">
        <v>337.79</v>
      </c>
      <c r="D2582" s="3">
        <v>109.3</v>
      </c>
      <c r="E2582" s="3">
        <v>1.4775</v>
      </c>
      <c r="F2582" s="3">
        <v>301.33999999999997</v>
      </c>
      <c r="G2582" s="3">
        <v>415.98</v>
      </c>
      <c r="H2582" s="3">
        <v>193.75</v>
      </c>
      <c r="I2582" s="3">
        <v>351.73</v>
      </c>
      <c r="J2582" s="3">
        <v>120.37</v>
      </c>
      <c r="K2582" s="3">
        <v>220.65</v>
      </c>
      <c r="L2582" s="3"/>
      <c r="N2582" s="4"/>
    </row>
    <row r="2583" spans="1:14" ht="17.5" thickBot="1" x14ac:dyDescent="0.45">
      <c r="A2583" s="4">
        <v>45440</v>
      </c>
      <c r="B2583" s="3">
        <v>127.78</v>
      </c>
      <c r="C2583" s="3">
        <v>338.1</v>
      </c>
      <c r="D2583" s="3">
        <v>109.19</v>
      </c>
      <c r="E2583" s="3">
        <v>1.4775</v>
      </c>
      <c r="F2583" s="3">
        <v>301.13</v>
      </c>
      <c r="G2583" s="3">
        <v>416.43</v>
      </c>
      <c r="H2583" s="3">
        <v>193.46</v>
      </c>
      <c r="I2583" s="3">
        <v>351.99</v>
      </c>
      <c r="J2583" s="3">
        <v>120.38</v>
      </c>
      <c r="K2583" s="3">
        <v>220.3</v>
      </c>
      <c r="L2583" s="3"/>
      <c r="N2583" s="4"/>
    </row>
    <row r="2584" spans="1:14" ht="17.5" thickBot="1" x14ac:dyDescent="0.45">
      <c r="A2584" s="4">
        <v>45441</v>
      </c>
      <c r="B2584" s="3">
        <v>125.74</v>
      </c>
      <c r="C2584" s="3">
        <v>333.5</v>
      </c>
      <c r="D2584" s="3">
        <v>108.85</v>
      </c>
      <c r="E2584" s="3">
        <v>1.4664999999999999</v>
      </c>
      <c r="F2584" s="3">
        <v>297.60000000000002</v>
      </c>
      <c r="G2584" s="3">
        <v>413.96</v>
      </c>
      <c r="H2584" s="3">
        <v>191.76</v>
      </c>
      <c r="I2584" s="3">
        <v>349.68</v>
      </c>
      <c r="J2584" s="3">
        <v>120.41</v>
      </c>
      <c r="K2584" s="3">
        <v>218.32</v>
      </c>
      <c r="L2584" s="3"/>
      <c r="N2584" s="4"/>
    </row>
    <row r="2585" spans="1:14" ht="17.5" thickBot="1" x14ac:dyDescent="0.45">
      <c r="A2585" s="4">
        <v>45442</v>
      </c>
      <c r="B2585" s="3">
        <v>124.08</v>
      </c>
      <c r="C2585" s="3">
        <v>329.52</v>
      </c>
      <c r="D2585" s="3">
        <v>108.91</v>
      </c>
      <c r="E2585" s="3">
        <v>1.4645999999999999</v>
      </c>
      <c r="F2585" s="3">
        <v>296.48</v>
      </c>
      <c r="G2585" s="3">
        <v>411.54</v>
      </c>
      <c r="H2585" s="3">
        <v>191.61</v>
      </c>
      <c r="I2585" s="3">
        <v>347.5</v>
      </c>
      <c r="J2585" s="3">
        <v>120.41</v>
      </c>
      <c r="K2585" s="3">
        <v>218.16</v>
      </c>
      <c r="L2585" s="3"/>
      <c r="N2585" s="4"/>
    </row>
    <row r="2586" spans="1:14" ht="17.5" thickBot="1" x14ac:dyDescent="0.45">
      <c r="A2586" s="4">
        <v>45443</v>
      </c>
      <c r="B2586" s="3">
        <v>123.04</v>
      </c>
      <c r="C2586" s="3">
        <v>328.94</v>
      </c>
      <c r="D2586" s="3">
        <v>109.07</v>
      </c>
      <c r="E2586" s="3">
        <v>1.4716</v>
      </c>
      <c r="F2586" s="3">
        <v>296.73</v>
      </c>
      <c r="G2586" s="3">
        <v>415.17</v>
      </c>
      <c r="H2586" s="3">
        <v>191.91</v>
      </c>
      <c r="I2586" s="3">
        <v>350.55</v>
      </c>
      <c r="J2586" s="3">
        <v>120.42</v>
      </c>
      <c r="K2586" s="3">
        <v>218.5</v>
      </c>
      <c r="L2586" s="3"/>
      <c r="N2586" s="4"/>
    </row>
    <row r="2587" spans="1:14" ht="17.5" thickBot="1" x14ac:dyDescent="0.45">
      <c r="A2587" s="4">
        <v>45444</v>
      </c>
      <c r="B2587" s="3">
        <v>123.04</v>
      </c>
      <c r="C2587" s="3">
        <v>328.94</v>
      </c>
      <c r="D2587" s="3">
        <v>109.07</v>
      </c>
      <c r="E2587" s="3">
        <v>1.4716</v>
      </c>
      <c r="F2587" s="3">
        <v>296.73</v>
      </c>
      <c r="G2587" s="3">
        <v>415.17</v>
      </c>
      <c r="H2587" s="3">
        <v>191.91</v>
      </c>
      <c r="I2587" s="3">
        <v>350.55</v>
      </c>
      <c r="J2587" s="3">
        <v>120.42</v>
      </c>
      <c r="K2587" s="3">
        <v>218.5</v>
      </c>
      <c r="L2587" s="3"/>
      <c r="N2587" s="4"/>
    </row>
    <row r="2588" spans="1:14" ht="17.5" thickBot="1" x14ac:dyDescent="0.45">
      <c r="A2588" s="4">
        <v>45445</v>
      </c>
      <c r="B2588" s="3">
        <v>123.04</v>
      </c>
      <c r="C2588" s="3">
        <v>328.94</v>
      </c>
      <c r="D2588" s="3">
        <v>109.07</v>
      </c>
      <c r="E2588" s="3">
        <v>1.4716</v>
      </c>
      <c r="F2588" s="3">
        <v>296.73</v>
      </c>
      <c r="G2588" s="3">
        <v>415.17</v>
      </c>
      <c r="H2588" s="3">
        <v>191.91</v>
      </c>
      <c r="I2588" s="3">
        <v>350.55</v>
      </c>
      <c r="J2588" s="3">
        <v>120.42</v>
      </c>
      <c r="K2588" s="3">
        <v>218.5</v>
      </c>
      <c r="L2588" s="3"/>
      <c r="N2588" s="4"/>
    </row>
    <row r="2589" spans="1:14" ht="17.5" thickBot="1" x14ac:dyDescent="0.45">
      <c r="A2589" s="4">
        <v>45446</v>
      </c>
      <c r="B2589" s="3">
        <v>125.14</v>
      </c>
      <c r="C2589" s="3">
        <v>336.39</v>
      </c>
      <c r="D2589" s="3">
        <v>109.49</v>
      </c>
      <c r="E2589" s="3">
        <v>1.4776</v>
      </c>
      <c r="F2589" s="3">
        <v>299.85000000000002</v>
      </c>
      <c r="G2589" s="3">
        <v>415.39</v>
      </c>
      <c r="H2589" s="3">
        <v>193.45</v>
      </c>
      <c r="I2589" s="3">
        <v>350.83</v>
      </c>
      <c r="J2589" s="3">
        <v>120.48</v>
      </c>
      <c r="K2589" s="3">
        <v>220.27</v>
      </c>
      <c r="L2589" s="3"/>
      <c r="N2589" s="4"/>
    </row>
    <row r="2590" spans="1:14" ht="17.5" thickBot="1" x14ac:dyDescent="0.45">
      <c r="A2590" s="4">
        <v>45447</v>
      </c>
      <c r="B2590" s="3">
        <v>125.4</v>
      </c>
      <c r="C2590" s="3">
        <v>331.81</v>
      </c>
      <c r="D2590" s="3">
        <v>109.72</v>
      </c>
      <c r="E2590" s="3">
        <v>1.4771000000000001</v>
      </c>
      <c r="F2590" s="3">
        <v>299.45999999999998</v>
      </c>
      <c r="G2590" s="3">
        <v>415.51</v>
      </c>
      <c r="H2590" s="3">
        <v>193.61</v>
      </c>
      <c r="I2590" s="3">
        <v>351.19</v>
      </c>
      <c r="J2590" s="3">
        <v>120.48</v>
      </c>
      <c r="K2590" s="3">
        <v>220.45</v>
      </c>
      <c r="L2590" s="3"/>
      <c r="N2590" s="4"/>
    </row>
    <row r="2591" spans="1:14" ht="17.5" thickBot="1" x14ac:dyDescent="0.45">
      <c r="A2591" s="4">
        <v>45448</v>
      </c>
      <c r="B2591" s="3">
        <v>125.37</v>
      </c>
      <c r="C2591" s="3">
        <v>332.8</v>
      </c>
      <c r="D2591" s="3">
        <v>109.79</v>
      </c>
      <c r="E2591" s="3">
        <v>1.4858</v>
      </c>
      <c r="F2591" s="3">
        <v>299.89</v>
      </c>
      <c r="G2591" s="3">
        <v>420.38</v>
      </c>
      <c r="H2591" s="3">
        <v>193.91</v>
      </c>
      <c r="I2591" s="3">
        <v>355.11</v>
      </c>
      <c r="J2591" s="3">
        <v>120.49</v>
      </c>
      <c r="K2591" s="3">
        <v>220.77</v>
      </c>
      <c r="L2591" s="3"/>
      <c r="N2591" s="4"/>
    </row>
    <row r="2592" spans="1:14" ht="17.5" thickBot="1" x14ac:dyDescent="0.45">
      <c r="A2592" s="4">
        <v>45449</v>
      </c>
      <c r="B2592" s="3">
        <v>126.02</v>
      </c>
      <c r="C2592" s="3">
        <v>336.17</v>
      </c>
      <c r="D2592" s="3">
        <v>109.97</v>
      </c>
      <c r="E2592" s="3">
        <v>1.488</v>
      </c>
      <c r="F2592" s="3">
        <v>301.32</v>
      </c>
      <c r="G2592" s="3">
        <v>420.34</v>
      </c>
      <c r="H2592" s="3">
        <v>194.4</v>
      </c>
      <c r="I2592" s="3">
        <v>355.1</v>
      </c>
      <c r="J2592" s="3">
        <v>120.49</v>
      </c>
      <c r="K2592" s="3">
        <v>221.34</v>
      </c>
      <c r="L2592" s="3"/>
      <c r="N2592" s="4"/>
    </row>
    <row r="2593" spans="1:14" ht="17.5" thickBot="1" x14ac:dyDescent="0.45">
      <c r="A2593" s="4">
        <v>45450</v>
      </c>
      <c r="B2593" s="3">
        <v>125.33</v>
      </c>
      <c r="C2593" s="3">
        <v>336.6</v>
      </c>
      <c r="D2593" s="3">
        <v>109.73</v>
      </c>
      <c r="E2593" s="3">
        <v>1.4826999999999999</v>
      </c>
      <c r="F2593" s="3">
        <v>300.12</v>
      </c>
      <c r="G2593" s="3">
        <v>419.99</v>
      </c>
      <c r="H2593" s="3">
        <v>193.43</v>
      </c>
      <c r="I2593" s="3">
        <v>354.62</v>
      </c>
      <c r="J2593" s="3">
        <v>120.49</v>
      </c>
      <c r="K2593" s="3">
        <v>220.21</v>
      </c>
      <c r="L2593" s="3"/>
      <c r="N2593" s="4"/>
    </row>
    <row r="2594" spans="1:14" ht="17.5" thickBot="1" x14ac:dyDescent="0.45">
      <c r="A2594" s="4">
        <v>45451</v>
      </c>
      <c r="B2594" s="3">
        <v>125.33</v>
      </c>
      <c r="C2594" s="3">
        <v>336.6</v>
      </c>
      <c r="D2594" s="3">
        <v>109.73</v>
      </c>
      <c r="E2594" s="3">
        <v>1.4826999999999999</v>
      </c>
      <c r="F2594" s="3">
        <v>300.12</v>
      </c>
      <c r="G2594" s="3">
        <v>419.99</v>
      </c>
      <c r="H2594" s="3">
        <v>193.43</v>
      </c>
      <c r="I2594" s="3">
        <v>354.62</v>
      </c>
      <c r="J2594" s="3">
        <v>120.5</v>
      </c>
      <c r="K2594" s="3">
        <v>220.21</v>
      </c>
      <c r="L2594" s="3"/>
      <c r="N2594" s="4"/>
    </row>
    <row r="2595" spans="1:14" ht="17.5" thickBot="1" x14ac:dyDescent="0.45">
      <c r="A2595" s="4">
        <v>45452</v>
      </c>
      <c r="B2595" s="3">
        <v>125.33</v>
      </c>
      <c r="C2595" s="3">
        <v>336.6</v>
      </c>
      <c r="D2595" s="3">
        <v>109.73</v>
      </c>
      <c r="E2595" s="3">
        <v>1.4826999999999999</v>
      </c>
      <c r="F2595" s="3">
        <v>300.12</v>
      </c>
      <c r="G2595" s="3">
        <v>419.99</v>
      </c>
      <c r="H2595" s="3">
        <v>193.43</v>
      </c>
      <c r="I2595" s="3">
        <v>354.62</v>
      </c>
      <c r="J2595" s="3">
        <v>120.5</v>
      </c>
      <c r="K2595" s="3">
        <v>220.21</v>
      </c>
      <c r="L2595" s="3"/>
      <c r="N2595" s="4"/>
    </row>
    <row r="2596" spans="1:14" ht="17.5" thickBot="1" x14ac:dyDescent="0.45">
      <c r="A2596" s="4">
        <v>45453</v>
      </c>
      <c r="B2596" s="3">
        <v>125.33</v>
      </c>
      <c r="C2596" s="3">
        <v>336.6</v>
      </c>
      <c r="D2596" s="3">
        <v>109.73</v>
      </c>
      <c r="E2596" s="3">
        <v>1.4826999999999999</v>
      </c>
      <c r="F2596" s="3">
        <v>300.12</v>
      </c>
      <c r="G2596" s="3">
        <v>419.99</v>
      </c>
      <c r="H2596" s="3">
        <v>193.43</v>
      </c>
      <c r="I2596" s="3">
        <v>354.62</v>
      </c>
      <c r="J2596" s="3">
        <v>120.5</v>
      </c>
      <c r="K2596" s="3">
        <v>220.21</v>
      </c>
      <c r="L2596" s="3"/>
      <c r="N2596" s="4"/>
    </row>
    <row r="2597" spans="1:14" ht="17.5" thickBot="1" x14ac:dyDescent="0.45">
      <c r="A2597" s="4">
        <v>45454</v>
      </c>
      <c r="B2597" s="3">
        <v>124.3</v>
      </c>
      <c r="C2597" s="3">
        <v>334.55</v>
      </c>
      <c r="D2597" s="3">
        <v>109.48</v>
      </c>
      <c r="E2597" s="3">
        <v>1.4816</v>
      </c>
      <c r="F2597" s="3">
        <v>298.52</v>
      </c>
      <c r="G2597" s="3">
        <v>422.19</v>
      </c>
      <c r="H2597" s="3">
        <v>192.72</v>
      </c>
      <c r="I2597" s="3">
        <v>356.28</v>
      </c>
      <c r="J2597" s="3">
        <v>120.53</v>
      </c>
      <c r="K2597" s="3">
        <v>219.37</v>
      </c>
      <c r="L2597" s="3"/>
      <c r="N2597" s="4"/>
    </row>
    <row r="2598" spans="1:14" ht="17.5" thickBot="1" x14ac:dyDescent="0.45">
      <c r="A2598" s="4">
        <v>45455</v>
      </c>
      <c r="B2598" s="3">
        <v>122.89</v>
      </c>
      <c r="C2598" s="3">
        <v>334.98</v>
      </c>
      <c r="D2598" s="3">
        <v>109.89</v>
      </c>
      <c r="E2598" s="3">
        <v>1.4923</v>
      </c>
      <c r="F2598" s="3">
        <v>300.05</v>
      </c>
      <c r="G2598" s="3">
        <v>425.62</v>
      </c>
      <c r="H2598" s="3">
        <v>193.87</v>
      </c>
      <c r="I2598" s="3">
        <v>359.17</v>
      </c>
      <c r="J2598" s="3">
        <v>120.54</v>
      </c>
      <c r="K2598" s="3">
        <v>220.69</v>
      </c>
      <c r="L2598" s="3"/>
      <c r="N2598" s="4"/>
    </row>
    <row r="2599" spans="1:14" ht="17.5" thickBot="1" x14ac:dyDescent="0.45">
      <c r="A2599" s="4">
        <v>45456</v>
      </c>
      <c r="B2599" s="3">
        <v>124.05</v>
      </c>
      <c r="C2599" s="3">
        <v>337.38</v>
      </c>
      <c r="D2599" s="3">
        <v>110.09</v>
      </c>
      <c r="E2599" s="3">
        <v>1.4914000000000001</v>
      </c>
      <c r="F2599" s="3">
        <v>299.73</v>
      </c>
      <c r="G2599" s="3">
        <v>426.42</v>
      </c>
      <c r="H2599" s="3">
        <v>193.9</v>
      </c>
      <c r="I2599" s="3">
        <v>359.9</v>
      </c>
      <c r="J2599" s="3">
        <v>120.54</v>
      </c>
      <c r="K2599" s="3">
        <v>220.72</v>
      </c>
      <c r="L2599" s="3"/>
      <c r="N2599" s="4"/>
    </row>
    <row r="2600" spans="1:14" ht="17.5" thickBot="1" x14ac:dyDescent="0.45">
      <c r="A2600" s="4">
        <v>45457</v>
      </c>
      <c r="B2600" s="3">
        <v>122.81</v>
      </c>
      <c r="C2600" s="3">
        <v>336.71</v>
      </c>
      <c r="D2600" s="3">
        <v>110.18</v>
      </c>
      <c r="E2600" s="3">
        <v>1.4912000000000001</v>
      </c>
      <c r="F2600" s="3">
        <v>298.67</v>
      </c>
      <c r="G2600" s="3">
        <v>426.27</v>
      </c>
      <c r="H2600" s="3">
        <v>193.67</v>
      </c>
      <c r="I2600" s="3">
        <v>360.08</v>
      </c>
      <c r="J2600" s="3">
        <v>120.54</v>
      </c>
      <c r="K2600" s="3">
        <v>220.43</v>
      </c>
      <c r="L2600" s="3"/>
      <c r="N2600" s="4"/>
    </row>
    <row r="2601" spans="1:14" ht="17.5" thickBot="1" x14ac:dyDescent="0.45">
      <c r="A2601" s="4">
        <v>45458</v>
      </c>
      <c r="B2601" s="3">
        <v>122.81</v>
      </c>
      <c r="C2601" s="3">
        <v>336.71</v>
      </c>
      <c r="D2601" s="3">
        <v>110.18</v>
      </c>
      <c r="E2601" s="3">
        <v>1.4912000000000001</v>
      </c>
      <c r="F2601" s="3">
        <v>298.67</v>
      </c>
      <c r="G2601" s="3">
        <v>426.27</v>
      </c>
      <c r="H2601" s="3">
        <v>193.67</v>
      </c>
      <c r="I2601" s="3">
        <v>360.08</v>
      </c>
      <c r="J2601" s="3">
        <v>120.55</v>
      </c>
      <c r="K2601" s="3">
        <v>220.43</v>
      </c>
      <c r="L2601" s="3"/>
      <c r="N2601" s="4"/>
    </row>
    <row r="2602" spans="1:14" ht="17.5" thickBot="1" x14ac:dyDescent="0.45">
      <c r="A2602" s="4">
        <v>45459</v>
      </c>
      <c r="B2602" s="3">
        <v>122.81</v>
      </c>
      <c r="C2602" s="3">
        <v>336.71</v>
      </c>
      <c r="D2602" s="3">
        <v>110.18</v>
      </c>
      <c r="E2602" s="3">
        <v>1.4912000000000001</v>
      </c>
      <c r="F2602" s="3">
        <v>298.67</v>
      </c>
      <c r="G2602" s="3">
        <v>426.27</v>
      </c>
      <c r="H2602" s="3">
        <v>193.67</v>
      </c>
      <c r="I2602" s="3">
        <v>360.08</v>
      </c>
      <c r="J2602" s="3">
        <v>120.55</v>
      </c>
      <c r="K2602" s="3">
        <v>220.43</v>
      </c>
      <c r="L2602" s="3"/>
      <c r="N2602" s="4"/>
    </row>
    <row r="2603" spans="1:14" ht="17.5" thickBot="1" x14ac:dyDescent="0.45">
      <c r="A2603" s="4">
        <v>45460</v>
      </c>
      <c r="B2603" s="3">
        <v>122.99</v>
      </c>
      <c r="C2603" s="3">
        <v>334.73</v>
      </c>
      <c r="D2603" s="3">
        <v>110.06</v>
      </c>
      <c r="E2603" s="3">
        <v>1.4927999999999999</v>
      </c>
      <c r="F2603" s="3">
        <v>298.11</v>
      </c>
      <c r="G2603" s="3">
        <v>429.3</v>
      </c>
      <c r="H2603" s="3">
        <v>193.25</v>
      </c>
      <c r="I2603" s="3">
        <v>362.91</v>
      </c>
      <c r="J2603" s="3">
        <v>120.59</v>
      </c>
      <c r="K2603" s="3">
        <v>219.92</v>
      </c>
      <c r="L2603" s="3"/>
      <c r="N2603" s="4"/>
    </row>
    <row r="2604" spans="1:14" ht="17.5" thickBot="1" x14ac:dyDescent="0.45">
      <c r="A2604" s="4">
        <v>45461</v>
      </c>
      <c r="B2604" s="3">
        <v>122.93</v>
      </c>
      <c r="C2604" s="3">
        <v>337.5</v>
      </c>
      <c r="D2604" s="3">
        <v>110.06</v>
      </c>
      <c r="E2604" s="3">
        <v>1.4977</v>
      </c>
      <c r="F2604" s="3">
        <v>299.20999999999998</v>
      </c>
      <c r="G2604" s="3">
        <v>430.2</v>
      </c>
      <c r="H2604" s="3">
        <v>193.86</v>
      </c>
      <c r="I2604" s="3">
        <v>363.66</v>
      </c>
      <c r="J2604" s="3">
        <v>120.59</v>
      </c>
      <c r="K2604" s="3">
        <v>220.59</v>
      </c>
      <c r="L2604" s="3"/>
      <c r="N2604" s="4"/>
    </row>
    <row r="2605" spans="1:14" ht="17.5" thickBot="1" x14ac:dyDescent="0.45">
      <c r="A2605" s="4">
        <v>45462</v>
      </c>
      <c r="B2605" s="3">
        <v>126.38</v>
      </c>
      <c r="C2605" s="3">
        <v>342.01</v>
      </c>
      <c r="D2605" s="3">
        <v>110.26</v>
      </c>
      <c r="E2605" s="3">
        <v>1.4977</v>
      </c>
      <c r="F2605" s="3">
        <v>301.64999999999998</v>
      </c>
      <c r="G2605" s="3">
        <v>430.16</v>
      </c>
      <c r="H2605" s="3">
        <v>194.73</v>
      </c>
      <c r="I2605" s="3">
        <v>363.67</v>
      </c>
      <c r="J2605" s="3">
        <v>120.6</v>
      </c>
      <c r="K2605" s="3">
        <v>221.6</v>
      </c>
      <c r="L2605" s="3"/>
      <c r="N2605" s="4"/>
    </row>
    <row r="2606" spans="1:14" ht="17.5" thickBot="1" x14ac:dyDescent="0.45">
      <c r="A2606" s="4">
        <v>45463</v>
      </c>
      <c r="B2606" s="3">
        <v>125.66</v>
      </c>
      <c r="C2606" s="3">
        <v>341.66</v>
      </c>
      <c r="D2606" s="3">
        <v>110.1</v>
      </c>
      <c r="E2606" s="3">
        <v>1.4971000000000001</v>
      </c>
      <c r="F2606" s="3">
        <v>301.35000000000002</v>
      </c>
      <c r="G2606" s="3">
        <v>429</v>
      </c>
      <c r="H2606" s="3">
        <v>194.44</v>
      </c>
      <c r="I2606" s="3">
        <v>362.5</v>
      </c>
      <c r="J2606" s="3">
        <v>120.6</v>
      </c>
      <c r="K2606" s="3">
        <v>221.2</v>
      </c>
      <c r="L2606" s="3"/>
      <c r="N2606" s="4"/>
    </row>
    <row r="2607" spans="1:14" ht="17.5" thickBot="1" x14ac:dyDescent="0.45">
      <c r="A2607" s="4">
        <v>45464</v>
      </c>
      <c r="B2607" s="3">
        <v>123.64</v>
      </c>
      <c r="C2607" s="3">
        <v>338.49</v>
      </c>
      <c r="D2607" s="3">
        <v>110.07</v>
      </c>
      <c r="E2607" s="3">
        <v>1.4938</v>
      </c>
      <c r="F2607" s="3">
        <v>298.8</v>
      </c>
      <c r="G2607" s="3">
        <v>428.59</v>
      </c>
      <c r="H2607" s="3">
        <v>193.48</v>
      </c>
      <c r="I2607" s="3">
        <v>361.79</v>
      </c>
      <c r="J2607" s="3">
        <v>120.63</v>
      </c>
      <c r="K2607" s="3">
        <v>220.1</v>
      </c>
      <c r="L2607" s="3"/>
      <c r="N2607" s="4"/>
    </row>
    <row r="2608" spans="1:14" ht="17.5" thickBot="1" x14ac:dyDescent="0.45">
      <c r="A2608" s="4">
        <v>45465</v>
      </c>
      <c r="B2608" s="3">
        <v>123.64</v>
      </c>
      <c r="C2608" s="3">
        <v>338.49</v>
      </c>
      <c r="D2608" s="3">
        <v>110.07</v>
      </c>
      <c r="E2608" s="3">
        <v>1.4938</v>
      </c>
      <c r="F2608" s="3">
        <v>298.8</v>
      </c>
      <c r="G2608" s="3">
        <v>428.59</v>
      </c>
      <c r="H2608" s="3">
        <v>193.48</v>
      </c>
      <c r="I2608" s="3">
        <v>361.79</v>
      </c>
      <c r="J2608" s="3">
        <v>120.63</v>
      </c>
      <c r="K2608" s="3">
        <v>220.1</v>
      </c>
      <c r="L2608" s="3"/>
      <c r="N2608" s="4"/>
    </row>
    <row r="2609" spans="1:14" ht="17.5" thickBot="1" x14ac:dyDescent="0.45">
      <c r="A2609" s="4">
        <v>45466</v>
      </c>
      <c r="B2609" s="3">
        <v>123.64</v>
      </c>
      <c r="C2609" s="3">
        <v>338.49</v>
      </c>
      <c r="D2609" s="3">
        <v>110.07</v>
      </c>
      <c r="E2609" s="3">
        <v>1.4938</v>
      </c>
      <c r="F2609" s="3">
        <v>298.8</v>
      </c>
      <c r="G2609" s="3">
        <v>428.59</v>
      </c>
      <c r="H2609" s="3">
        <v>193.48</v>
      </c>
      <c r="I2609" s="3">
        <v>361.79</v>
      </c>
      <c r="J2609" s="3">
        <v>120.63</v>
      </c>
      <c r="K2609" s="3">
        <v>220.1</v>
      </c>
      <c r="L2609" s="3"/>
      <c r="N2609" s="4"/>
    </row>
    <row r="2610" spans="1:14" ht="17.5" thickBot="1" x14ac:dyDescent="0.45">
      <c r="A2610" s="4">
        <v>45467</v>
      </c>
      <c r="B2610" s="3">
        <v>123.62</v>
      </c>
      <c r="C2610" s="3">
        <v>337.34</v>
      </c>
      <c r="D2610" s="3">
        <v>110.11</v>
      </c>
      <c r="E2610" s="3">
        <v>1.4945999999999999</v>
      </c>
      <c r="F2610" s="3">
        <v>298.55</v>
      </c>
      <c r="G2610" s="3">
        <v>427.38</v>
      </c>
      <c r="H2610" s="3">
        <v>193.5</v>
      </c>
      <c r="I2610" s="3">
        <v>360.95</v>
      </c>
      <c r="J2610" s="3">
        <v>120.63</v>
      </c>
      <c r="K2610" s="3">
        <v>220.14</v>
      </c>
      <c r="L2610" s="3"/>
      <c r="N2610" s="4"/>
    </row>
    <row r="2611" spans="1:14" ht="17.5" thickBot="1" x14ac:dyDescent="0.45">
      <c r="A2611" s="4">
        <v>45468</v>
      </c>
      <c r="B2611" s="3">
        <v>123.79</v>
      </c>
      <c r="C2611" s="3">
        <v>339.73</v>
      </c>
      <c r="D2611" s="3">
        <v>110.17</v>
      </c>
      <c r="E2611" s="3">
        <v>1.4979</v>
      </c>
      <c r="F2611" s="3">
        <v>299.64999999999998</v>
      </c>
      <c r="G2611" s="3">
        <v>429.16</v>
      </c>
      <c r="H2611" s="3">
        <v>193.89</v>
      </c>
      <c r="I2611" s="3">
        <v>362.31</v>
      </c>
      <c r="J2611" s="3">
        <v>120.64</v>
      </c>
      <c r="K2611" s="3">
        <v>220.56</v>
      </c>
      <c r="L2611" s="3"/>
      <c r="N2611" s="4"/>
    </row>
    <row r="2612" spans="1:14" ht="17.5" thickBot="1" x14ac:dyDescent="0.45">
      <c r="A2612" s="4">
        <v>45469</v>
      </c>
      <c r="B2612" s="3">
        <v>124.05</v>
      </c>
      <c r="C2612" s="3">
        <v>340.91</v>
      </c>
      <c r="D2612" s="3">
        <v>109.92</v>
      </c>
      <c r="E2612" s="3">
        <v>1.4957</v>
      </c>
      <c r="F2612" s="3">
        <v>299.79000000000002</v>
      </c>
      <c r="G2612" s="3">
        <v>430.11</v>
      </c>
      <c r="H2612" s="3">
        <v>193.57</v>
      </c>
      <c r="I2612" s="3">
        <v>362.88</v>
      </c>
      <c r="J2612" s="3">
        <v>120.64</v>
      </c>
      <c r="K2612" s="3">
        <v>220.17</v>
      </c>
      <c r="L2612" s="3"/>
      <c r="N2612" s="4"/>
    </row>
    <row r="2613" spans="1:14" ht="17.5" thickBot="1" x14ac:dyDescent="0.45">
      <c r="A2613" s="4">
        <v>45470</v>
      </c>
      <c r="B2613" s="3">
        <v>121.79</v>
      </c>
      <c r="C2613" s="3">
        <v>339.83</v>
      </c>
      <c r="D2613" s="3">
        <v>109.85</v>
      </c>
      <c r="E2613" s="3">
        <v>1.4961</v>
      </c>
      <c r="F2613" s="3">
        <v>298.33</v>
      </c>
      <c r="G2613" s="3">
        <v>430.46</v>
      </c>
      <c r="H2613" s="3">
        <v>193.17</v>
      </c>
      <c r="I2613" s="3">
        <v>363.36</v>
      </c>
      <c r="J2613" s="3">
        <v>120.71</v>
      </c>
      <c r="K2613" s="3">
        <v>219.65</v>
      </c>
      <c r="L2613" s="3"/>
      <c r="N2613" s="4"/>
    </row>
    <row r="2614" spans="1:14" ht="17.5" thickBot="1" x14ac:dyDescent="0.45">
      <c r="A2614" s="4">
        <v>45471</v>
      </c>
      <c r="B2614" s="3">
        <v>121.73</v>
      </c>
      <c r="C2614" s="3">
        <v>341.3</v>
      </c>
      <c r="D2614" s="3">
        <v>109.9</v>
      </c>
      <c r="E2614" s="3">
        <v>1.4914000000000001</v>
      </c>
      <c r="F2614" s="3">
        <v>298.2</v>
      </c>
      <c r="G2614" s="3">
        <v>428.64</v>
      </c>
      <c r="H2614" s="3">
        <v>192.87</v>
      </c>
      <c r="I2614" s="3">
        <v>361.97</v>
      </c>
      <c r="J2614" s="3">
        <v>120.71</v>
      </c>
      <c r="K2614" s="3">
        <v>219.26</v>
      </c>
      <c r="L2614" s="3"/>
      <c r="N2614" s="4"/>
    </row>
    <row r="2615" spans="1:14" ht="17.5" thickBot="1" x14ac:dyDescent="0.45">
      <c r="A2615" s="4">
        <v>45472</v>
      </c>
      <c r="B2615" s="3">
        <v>121.73</v>
      </c>
      <c r="C2615" s="3">
        <v>341.3</v>
      </c>
      <c r="D2615" s="3">
        <v>109.9</v>
      </c>
      <c r="E2615" s="3">
        <v>1.4914000000000001</v>
      </c>
      <c r="F2615" s="3">
        <v>298.2</v>
      </c>
      <c r="G2615" s="3">
        <v>428.64</v>
      </c>
      <c r="H2615" s="3">
        <v>192.87</v>
      </c>
      <c r="I2615" s="3">
        <v>361.97</v>
      </c>
      <c r="J2615" s="3">
        <v>120.71</v>
      </c>
      <c r="K2615" s="3">
        <v>219.26</v>
      </c>
      <c r="L2615" s="3"/>
      <c r="N2615" s="4"/>
    </row>
    <row r="2616" spans="1:14" ht="17.5" thickBot="1" x14ac:dyDescent="0.45">
      <c r="A2616" s="4">
        <v>45473</v>
      </c>
      <c r="B2616" s="3">
        <v>121.73</v>
      </c>
      <c r="C2616" s="3">
        <v>341.3</v>
      </c>
      <c r="D2616" s="3">
        <v>109.9</v>
      </c>
      <c r="E2616" s="3">
        <v>1.4914000000000001</v>
      </c>
      <c r="F2616" s="3">
        <v>298.2</v>
      </c>
      <c r="G2616" s="3">
        <v>428.64</v>
      </c>
      <c r="H2616" s="3">
        <v>192.87</v>
      </c>
      <c r="I2616" s="3">
        <v>361.97</v>
      </c>
      <c r="J2616" s="3">
        <v>120.72</v>
      </c>
      <c r="K2616" s="3">
        <v>219.26</v>
      </c>
      <c r="L2616" s="3"/>
      <c r="N2616" s="4"/>
    </row>
    <row r="2617" spans="1:14" ht="17.5" thickBot="1" x14ac:dyDescent="0.45">
      <c r="A2617" s="4">
        <v>45474</v>
      </c>
      <c r="B2617" s="3">
        <v>121.73</v>
      </c>
      <c r="C2617" s="3">
        <v>341.3</v>
      </c>
      <c r="D2617" s="3">
        <v>109.9</v>
      </c>
      <c r="E2617" s="3">
        <v>1.4914000000000001</v>
      </c>
      <c r="F2617" s="3">
        <v>298.2</v>
      </c>
      <c r="G2617" s="3">
        <v>428.64</v>
      </c>
      <c r="H2617" s="3">
        <v>192.87</v>
      </c>
      <c r="I2617" s="3">
        <v>361.97</v>
      </c>
      <c r="J2617" s="3">
        <v>120.72</v>
      </c>
      <c r="K2617" s="3">
        <v>219.26</v>
      </c>
      <c r="L2617" s="3"/>
      <c r="N2617" s="4"/>
    </row>
    <row r="2618" spans="1:14" ht="17.5" thickBot="1" x14ac:dyDescent="0.45">
      <c r="A2618" s="4">
        <v>45475</v>
      </c>
      <c r="B2618" s="3">
        <v>122.17</v>
      </c>
      <c r="C2618" s="3">
        <v>341.05</v>
      </c>
      <c r="D2618" s="3">
        <v>109.66</v>
      </c>
      <c r="E2618" s="3">
        <v>1.496</v>
      </c>
      <c r="F2618" s="3">
        <v>298.79000000000002</v>
      </c>
      <c r="G2618" s="3">
        <v>432.13</v>
      </c>
      <c r="H2618" s="3">
        <v>192.83</v>
      </c>
      <c r="I2618" s="3">
        <v>365.13</v>
      </c>
      <c r="J2618" s="3">
        <v>120.77</v>
      </c>
      <c r="K2618" s="3">
        <v>219.21</v>
      </c>
      <c r="L2618" s="3"/>
      <c r="N2618" s="4"/>
    </row>
    <row r="2619" spans="1:14" ht="17.5" thickBot="1" x14ac:dyDescent="0.45">
      <c r="A2619" s="4">
        <v>45476</v>
      </c>
      <c r="B2619" s="3">
        <v>123.6</v>
      </c>
      <c r="C2619" s="3">
        <v>343.96</v>
      </c>
      <c r="D2619" s="3">
        <v>109.94</v>
      </c>
      <c r="E2619" s="3">
        <v>1.5033000000000001</v>
      </c>
      <c r="F2619" s="3">
        <v>301.05</v>
      </c>
      <c r="G2619" s="3">
        <v>434.02</v>
      </c>
      <c r="H2619" s="3">
        <v>194.05</v>
      </c>
      <c r="I2619" s="3">
        <v>366.68</v>
      </c>
      <c r="J2619" s="3">
        <v>120.78</v>
      </c>
      <c r="K2619" s="3">
        <v>220.65</v>
      </c>
      <c r="L2619" s="3"/>
      <c r="N2619" s="4"/>
    </row>
    <row r="2620" spans="1:14" ht="17.5" thickBot="1" x14ac:dyDescent="0.45">
      <c r="A2620" s="4">
        <v>45477</v>
      </c>
      <c r="B2620" s="3">
        <v>124.33</v>
      </c>
      <c r="C2620" s="3">
        <v>347.69</v>
      </c>
      <c r="D2620" s="3">
        <v>110.11</v>
      </c>
      <c r="E2620" s="3">
        <v>1.5032000000000001</v>
      </c>
      <c r="F2620" s="3">
        <v>302.57</v>
      </c>
      <c r="G2620" s="3">
        <v>433.92</v>
      </c>
      <c r="H2620" s="3">
        <v>194.53</v>
      </c>
      <c r="I2620" s="3">
        <v>366.61</v>
      </c>
      <c r="J2620" s="3">
        <v>120.78</v>
      </c>
      <c r="K2620" s="3">
        <v>221.21</v>
      </c>
      <c r="L2620" s="3"/>
      <c r="N2620" s="4"/>
    </row>
    <row r="2621" spans="1:14" ht="17.5" thickBot="1" x14ac:dyDescent="0.45">
      <c r="A2621" s="4">
        <v>45478</v>
      </c>
      <c r="B2621" s="3">
        <v>122.69</v>
      </c>
      <c r="C2621" s="3">
        <v>347.24</v>
      </c>
      <c r="D2621" s="3">
        <v>110.34</v>
      </c>
      <c r="E2621" s="3">
        <v>1.5116000000000001</v>
      </c>
      <c r="F2621" s="3">
        <v>302.17</v>
      </c>
      <c r="G2621" s="3">
        <v>436.17</v>
      </c>
      <c r="H2621" s="3">
        <v>194.78</v>
      </c>
      <c r="I2621" s="3">
        <v>368.81</v>
      </c>
      <c r="J2621" s="3">
        <v>120.78</v>
      </c>
      <c r="K2621" s="3">
        <v>221.47</v>
      </c>
      <c r="L2621" s="3"/>
      <c r="N2621" s="4"/>
    </row>
    <row r="2622" spans="1:14" ht="17.5" thickBot="1" x14ac:dyDescent="0.45">
      <c r="A2622" s="4">
        <v>45479</v>
      </c>
      <c r="B2622" s="3">
        <v>122.69</v>
      </c>
      <c r="C2622" s="3">
        <v>347.24</v>
      </c>
      <c r="D2622" s="3">
        <v>110.34</v>
      </c>
      <c r="E2622" s="3">
        <v>1.5116000000000001</v>
      </c>
      <c r="F2622" s="3">
        <v>302.17</v>
      </c>
      <c r="G2622" s="3">
        <v>436.17</v>
      </c>
      <c r="H2622" s="3">
        <v>194.78</v>
      </c>
      <c r="I2622" s="3">
        <v>368.81</v>
      </c>
      <c r="J2622" s="3">
        <v>120.79</v>
      </c>
      <c r="K2622" s="3">
        <v>221.47</v>
      </c>
      <c r="L2622" s="3"/>
      <c r="N2622" s="4"/>
    </row>
    <row r="2623" spans="1:14" ht="17.5" thickBot="1" x14ac:dyDescent="0.45">
      <c r="A2623" s="4">
        <v>45480</v>
      </c>
      <c r="B2623" s="3">
        <v>122.69</v>
      </c>
      <c r="C2623" s="3">
        <v>347.24</v>
      </c>
      <c r="D2623" s="3">
        <v>110.34</v>
      </c>
      <c r="E2623" s="3">
        <v>1.5116000000000001</v>
      </c>
      <c r="F2623" s="3">
        <v>302.17</v>
      </c>
      <c r="G2623" s="3">
        <v>436.17</v>
      </c>
      <c r="H2623" s="3">
        <v>194.78</v>
      </c>
      <c r="I2623" s="3">
        <v>368.81</v>
      </c>
      <c r="J2623" s="3">
        <v>120.79</v>
      </c>
      <c r="K2623" s="3">
        <v>221.47</v>
      </c>
      <c r="L2623" s="3"/>
      <c r="N2623" s="4"/>
    </row>
    <row r="2624" spans="1:14" ht="17.5" thickBot="1" x14ac:dyDescent="0.45">
      <c r="A2624" s="4">
        <v>45481</v>
      </c>
      <c r="B2624" s="3">
        <v>121.42</v>
      </c>
      <c r="C2624" s="3">
        <v>346.34</v>
      </c>
      <c r="D2624" s="3">
        <v>110.5</v>
      </c>
      <c r="E2624" s="3">
        <v>1.5123</v>
      </c>
      <c r="F2624" s="3">
        <v>301.42</v>
      </c>
      <c r="G2624" s="3">
        <v>436.28</v>
      </c>
      <c r="H2624" s="3">
        <v>194.62</v>
      </c>
      <c r="I2624" s="3">
        <v>369.23</v>
      </c>
      <c r="J2624" s="3">
        <v>120.83</v>
      </c>
      <c r="K2624" s="3">
        <v>221.25</v>
      </c>
      <c r="L2624" s="3"/>
      <c r="N2624" s="4"/>
    </row>
    <row r="2625" spans="1:14" ht="17.5" thickBot="1" x14ac:dyDescent="0.45">
      <c r="A2625" s="4">
        <v>45482</v>
      </c>
      <c r="B2625" s="3">
        <v>121.25</v>
      </c>
      <c r="C2625" s="3">
        <v>347.5</v>
      </c>
      <c r="D2625" s="3">
        <v>110.49</v>
      </c>
      <c r="E2625" s="3">
        <v>1.5111000000000001</v>
      </c>
      <c r="F2625" s="3">
        <v>301.81</v>
      </c>
      <c r="G2625" s="3">
        <v>436.41</v>
      </c>
      <c r="H2625" s="3">
        <v>194.58</v>
      </c>
      <c r="I2625" s="3">
        <v>369.56</v>
      </c>
      <c r="J2625" s="3">
        <v>120.84</v>
      </c>
      <c r="K2625" s="3">
        <v>221.21</v>
      </c>
      <c r="L2625" s="3"/>
      <c r="N2625" s="4"/>
    </row>
    <row r="2626" spans="1:14" ht="17.5" thickBot="1" x14ac:dyDescent="0.45">
      <c r="A2626" s="4">
        <v>45483</v>
      </c>
      <c r="B2626" s="3">
        <v>121.02</v>
      </c>
      <c r="C2626" s="3">
        <v>347.03</v>
      </c>
      <c r="D2626" s="3">
        <v>110.56</v>
      </c>
      <c r="E2626" s="3">
        <v>1.5194000000000001</v>
      </c>
      <c r="F2626" s="3">
        <v>302.91000000000003</v>
      </c>
      <c r="G2626" s="3">
        <v>440.77</v>
      </c>
      <c r="H2626" s="3">
        <v>195.08</v>
      </c>
      <c r="I2626" s="3">
        <v>373</v>
      </c>
      <c r="J2626" s="3">
        <v>120.84</v>
      </c>
      <c r="K2626" s="3">
        <v>221.8</v>
      </c>
      <c r="L2626" s="3"/>
      <c r="N2626" s="4"/>
    </row>
    <row r="2627" spans="1:14" ht="17.5" thickBot="1" x14ac:dyDescent="0.45">
      <c r="A2627" s="4">
        <v>45484</v>
      </c>
      <c r="B2627" s="3">
        <v>123.58</v>
      </c>
      <c r="C2627" s="3">
        <v>351.98</v>
      </c>
      <c r="D2627" s="3">
        <v>110.86</v>
      </c>
      <c r="E2627" s="3">
        <v>1.5210999999999999</v>
      </c>
      <c r="F2627" s="3">
        <v>305.86</v>
      </c>
      <c r="G2627" s="3">
        <v>437.01</v>
      </c>
      <c r="H2627" s="3">
        <v>196.53</v>
      </c>
      <c r="I2627" s="3">
        <v>369.82</v>
      </c>
      <c r="J2627" s="3">
        <v>120.84</v>
      </c>
      <c r="K2627" s="3">
        <v>223.53</v>
      </c>
      <c r="L2627" s="3"/>
      <c r="N2627" s="4"/>
    </row>
    <row r="2628" spans="1:14" ht="17.5" thickBot="1" x14ac:dyDescent="0.45">
      <c r="A2628" s="4">
        <v>45485</v>
      </c>
      <c r="B2628" s="3">
        <v>126.64</v>
      </c>
      <c r="C2628" s="3">
        <v>351.85</v>
      </c>
      <c r="D2628" s="3">
        <v>111.04</v>
      </c>
      <c r="E2628" s="3">
        <v>1.5261</v>
      </c>
      <c r="F2628" s="3">
        <v>307.74</v>
      </c>
      <c r="G2628" s="3">
        <v>439.57</v>
      </c>
      <c r="H2628" s="3">
        <v>197.29</v>
      </c>
      <c r="I2628" s="3">
        <v>372.05</v>
      </c>
      <c r="J2628" s="3">
        <v>120.84</v>
      </c>
      <c r="K2628" s="3">
        <v>224.47</v>
      </c>
      <c r="L2628" s="3"/>
      <c r="N2628" s="4"/>
    </row>
    <row r="2629" spans="1:14" ht="17.5" thickBot="1" x14ac:dyDescent="0.45">
      <c r="A2629" s="4">
        <v>45486</v>
      </c>
      <c r="B2629" s="3">
        <v>126.64</v>
      </c>
      <c r="C2629" s="3">
        <v>351.85</v>
      </c>
      <c r="D2629" s="3">
        <v>111.04</v>
      </c>
      <c r="E2629" s="3">
        <v>1.5261</v>
      </c>
      <c r="F2629" s="3">
        <v>307.74</v>
      </c>
      <c r="G2629" s="3">
        <v>439.57</v>
      </c>
      <c r="H2629" s="3">
        <v>197.29</v>
      </c>
      <c r="I2629" s="3">
        <v>372.05</v>
      </c>
      <c r="J2629" s="3">
        <v>120.85</v>
      </c>
      <c r="K2629" s="3">
        <v>224.47</v>
      </c>
      <c r="L2629" s="3"/>
      <c r="N2629" s="4"/>
    </row>
    <row r="2630" spans="1:14" ht="17.5" thickBot="1" x14ac:dyDescent="0.45">
      <c r="A2630" s="4">
        <v>45487</v>
      </c>
      <c r="B2630" s="3">
        <v>126.64</v>
      </c>
      <c r="C2630" s="3">
        <v>351.85</v>
      </c>
      <c r="D2630" s="3">
        <v>111.04</v>
      </c>
      <c r="E2630" s="3">
        <v>1.5261</v>
      </c>
      <c r="F2630" s="3">
        <v>307.74</v>
      </c>
      <c r="G2630" s="3">
        <v>439.57</v>
      </c>
      <c r="H2630" s="3">
        <v>197.29</v>
      </c>
      <c r="I2630" s="3">
        <v>372.05</v>
      </c>
      <c r="J2630" s="3">
        <v>120.85</v>
      </c>
      <c r="K2630" s="3">
        <v>224.47</v>
      </c>
      <c r="L2630" s="3"/>
      <c r="N2630" s="4"/>
    </row>
    <row r="2631" spans="1:14" ht="17.5" thickBot="1" x14ac:dyDescent="0.45">
      <c r="A2631" s="4">
        <v>45488</v>
      </c>
      <c r="B2631" s="3">
        <v>124.75</v>
      </c>
      <c r="C2631" s="3">
        <v>350.83</v>
      </c>
      <c r="D2631" s="3">
        <v>110.98</v>
      </c>
      <c r="E2631" s="3">
        <v>1.5256000000000001</v>
      </c>
      <c r="F2631" s="3">
        <v>306.3</v>
      </c>
      <c r="G2631" s="3">
        <v>441</v>
      </c>
      <c r="H2631" s="3">
        <v>196.71</v>
      </c>
      <c r="I2631" s="3">
        <v>373.03</v>
      </c>
      <c r="J2631" s="3">
        <v>120.89</v>
      </c>
      <c r="K2631" s="3">
        <v>223.74</v>
      </c>
      <c r="L2631" s="3"/>
      <c r="N2631" s="4"/>
    </row>
    <row r="2632" spans="1:14" ht="17.5" thickBot="1" x14ac:dyDescent="0.45">
      <c r="A2632" s="4">
        <v>45489</v>
      </c>
      <c r="B2632" s="3">
        <v>122.78</v>
      </c>
      <c r="C2632" s="3">
        <v>349.06</v>
      </c>
      <c r="D2632" s="3">
        <v>111.17</v>
      </c>
      <c r="E2632" s="3">
        <v>1.5298</v>
      </c>
      <c r="F2632" s="3">
        <v>305.45</v>
      </c>
      <c r="G2632" s="3">
        <v>443.87</v>
      </c>
      <c r="H2632" s="3">
        <v>196.64</v>
      </c>
      <c r="I2632" s="3">
        <v>375.13</v>
      </c>
      <c r="J2632" s="3">
        <v>120.89</v>
      </c>
      <c r="K2632" s="3">
        <v>223.63</v>
      </c>
      <c r="L2632" s="3"/>
      <c r="N2632" s="4"/>
    </row>
    <row r="2633" spans="1:14" ht="17.5" thickBot="1" x14ac:dyDescent="0.45">
      <c r="A2633" s="4">
        <v>45490</v>
      </c>
      <c r="B2633" s="3">
        <v>122.78</v>
      </c>
      <c r="C2633" s="3">
        <v>349.07</v>
      </c>
      <c r="D2633" s="3">
        <v>111.2</v>
      </c>
      <c r="E2633" s="3">
        <v>1.5223</v>
      </c>
      <c r="F2633" s="3">
        <v>305.13</v>
      </c>
      <c r="G2633" s="3">
        <v>438.24</v>
      </c>
      <c r="H2633" s="3">
        <v>196.68</v>
      </c>
      <c r="I2633" s="3">
        <v>370.04</v>
      </c>
      <c r="J2633" s="3">
        <v>120.89</v>
      </c>
      <c r="K2633" s="3">
        <v>223.64</v>
      </c>
      <c r="L2633" s="3"/>
      <c r="N2633" s="4"/>
    </row>
    <row r="2634" spans="1:14" ht="17.5" thickBot="1" x14ac:dyDescent="0.45">
      <c r="A2634" s="4">
        <v>45491</v>
      </c>
      <c r="B2634" s="3">
        <v>123.12</v>
      </c>
      <c r="C2634" s="3">
        <v>347</v>
      </c>
      <c r="D2634" s="3">
        <v>111.11</v>
      </c>
      <c r="E2634" s="3">
        <v>1.5149999999999999</v>
      </c>
      <c r="F2634" s="3">
        <v>303.49</v>
      </c>
      <c r="G2634" s="3">
        <v>435.14</v>
      </c>
      <c r="H2634" s="3">
        <v>195.98</v>
      </c>
      <c r="I2634" s="3">
        <v>367.18</v>
      </c>
      <c r="J2634" s="3">
        <v>120.9</v>
      </c>
      <c r="K2634" s="3">
        <v>222.84</v>
      </c>
      <c r="L2634" s="3"/>
      <c r="N2634" s="4"/>
    </row>
    <row r="2635" spans="1:14" ht="17.5" thickBot="1" x14ac:dyDescent="0.45">
      <c r="A2635" s="4">
        <v>45492</v>
      </c>
      <c r="B2635" s="3">
        <v>120.72</v>
      </c>
      <c r="C2635" s="3">
        <v>342.11</v>
      </c>
      <c r="D2635" s="3">
        <v>110.95</v>
      </c>
      <c r="E2635" s="3">
        <v>1.5063</v>
      </c>
      <c r="F2635" s="3">
        <v>300.58</v>
      </c>
      <c r="G2635" s="3">
        <v>431.91</v>
      </c>
      <c r="H2635" s="3">
        <v>194.74</v>
      </c>
      <c r="I2635" s="3">
        <v>364.91</v>
      </c>
      <c r="J2635" s="3">
        <v>120.95</v>
      </c>
      <c r="K2635" s="3">
        <v>221.33</v>
      </c>
      <c r="L2635" s="3"/>
      <c r="N2635" s="4"/>
    </row>
    <row r="2636" spans="1:14" ht="17.5" thickBot="1" x14ac:dyDescent="0.45">
      <c r="A2636" s="4">
        <v>45493</v>
      </c>
      <c r="B2636" s="3">
        <v>120.72</v>
      </c>
      <c r="C2636" s="3">
        <v>342.11</v>
      </c>
      <c r="D2636" s="3">
        <v>110.95</v>
      </c>
      <c r="E2636" s="3">
        <v>1.5063</v>
      </c>
      <c r="F2636" s="3">
        <v>300.58</v>
      </c>
      <c r="G2636" s="3">
        <v>431.91</v>
      </c>
      <c r="H2636" s="3">
        <v>194.74</v>
      </c>
      <c r="I2636" s="3">
        <v>364.91</v>
      </c>
      <c r="J2636" s="3">
        <v>120.95</v>
      </c>
      <c r="K2636" s="3">
        <v>221.33</v>
      </c>
      <c r="L2636" s="3"/>
      <c r="N2636" s="4"/>
    </row>
    <row r="2637" spans="1:14" ht="17.5" thickBot="1" x14ac:dyDescent="0.45">
      <c r="A2637" s="4">
        <v>45494</v>
      </c>
      <c r="B2637" s="3">
        <v>120.72</v>
      </c>
      <c r="C2637" s="3">
        <v>342.11</v>
      </c>
      <c r="D2637" s="3">
        <v>110.95</v>
      </c>
      <c r="E2637" s="3">
        <v>1.5063</v>
      </c>
      <c r="F2637" s="3">
        <v>300.58</v>
      </c>
      <c r="G2637" s="3">
        <v>431.91</v>
      </c>
      <c r="H2637" s="3">
        <v>194.74</v>
      </c>
      <c r="I2637" s="3">
        <v>364.91</v>
      </c>
      <c r="J2637" s="3">
        <v>120.96</v>
      </c>
      <c r="K2637" s="3">
        <v>221.33</v>
      </c>
      <c r="L2637" s="3"/>
      <c r="N2637" s="4"/>
    </row>
    <row r="2638" spans="1:14" ht="17.5" thickBot="1" x14ac:dyDescent="0.45">
      <c r="A2638" s="4">
        <v>45495</v>
      </c>
      <c r="B2638" s="3">
        <v>122.33</v>
      </c>
      <c r="C2638" s="3">
        <v>339.87</v>
      </c>
      <c r="D2638" s="3">
        <v>110.88</v>
      </c>
      <c r="E2638" s="3">
        <v>1.512</v>
      </c>
      <c r="F2638" s="3">
        <v>301.32</v>
      </c>
      <c r="G2638" s="3">
        <v>436.4</v>
      </c>
      <c r="H2638" s="3">
        <v>194.9</v>
      </c>
      <c r="I2638" s="3">
        <v>368.56</v>
      </c>
      <c r="J2638" s="3">
        <v>120.96</v>
      </c>
      <c r="K2638" s="3">
        <v>221.56</v>
      </c>
      <c r="L2638" s="3"/>
      <c r="N2638" s="4"/>
    </row>
    <row r="2639" spans="1:14" ht="17.5" thickBot="1" x14ac:dyDescent="0.45">
      <c r="A2639" s="4">
        <v>45496</v>
      </c>
      <c r="B2639" s="3">
        <v>121.02</v>
      </c>
      <c r="C2639" s="3">
        <v>340.94</v>
      </c>
      <c r="D2639" s="3">
        <v>110.91</v>
      </c>
      <c r="E2639" s="3">
        <v>1.512</v>
      </c>
      <c r="F2639" s="3">
        <v>300.67</v>
      </c>
      <c r="G2639" s="3">
        <v>434.88</v>
      </c>
      <c r="H2639" s="3">
        <v>194.72</v>
      </c>
      <c r="I2639" s="3">
        <v>367.93</v>
      </c>
      <c r="J2639" s="3">
        <v>120.96</v>
      </c>
      <c r="K2639" s="3">
        <v>221.31</v>
      </c>
      <c r="L2639" s="3"/>
      <c r="N2639" s="4"/>
    </row>
    <row r="2640" spans="1:14" ht="17.5" thickBot="1" x14ac:dyDescent="0.45">
      <c r="A2640" s="4">
        <v>45497</v>
      </c>
      <c r="B2640" s="3">
        <v>120.04</v>
      </c>
      <c r="C2640" s="3">
        <v>338.74</v>
      </c>
      <c r="D2640" s="3">
        <v>110.84</v>
      </c>
      <c r="E2640" s="3">
        <v>1.4966999999999999</v>
      </c>
      <c r="F2640" s="3">
        <v>297.81</v>
      </c>
      <c r="G2640" s="3">
        <v>425.16</v>
      </c>
      <c r="H2640" s="3">
        <v>193.66</v>
      </c>
      <c r="I2640" s="3">
        <v>359.75</v>
      </c>
      <c r="J2640" s="3">
        <v>121.01</v>
      </c>
      <c r="K2640" s="3">
        <v>220.06</v>
      </c>
      <c r="L2640" s="3"/>
      <c r="N2640" s="4"/>
    </row>
    <row r="2641" spans="1:14" ht="17.5" thickBot="1" x14ac:dyDescent="0.45">
      <c r="A2641" s="4">
        <v>45498</v>
      </c>
      <c r="B2641" s="3">
        <v>117.99</v>
      </c>
      <c r="C2641" s="3">
        <v>334.46</v>
      </c>
      <c r="D2641" s="3">
        <v>110.9</v>
      </c>
      <c r="E2641" s="3">
        <v>1.4905999999999999</v>
      </c>
      <c r="F2641" s="3">
        <v>294.44</v>
      </c>
      <c r="G2641" s="3">
        <v>423.35</v>
      </c>
      <c r="H2641" s="3">
        <v>192.6</v>
      </c>
      <c r="I2641" s="3">
        <v>357.83</v>
      </c>
      <c r="J2641" s="3">
        <v>121.01</v>
      </c>
      <c r="K2641" s="3">
        <v>218.79</v>
      </c>
      <c r="L2641" s="3"/>
      <c r="N2641" s="4"/>
    </row>
    <row r="2642" spans="1:14" ht="17.5" thickBot="1" x14ac:dyDescent="0.45">
      <c r="A2642" s="4">
        <v>45499</v>
      </c>
      <c r="B2642" s="3">
        <v>117.89</v>
      </c>
      <c r="C2642" s="3">
        <v>334.7</v>
      </c>
      <c r="D2642" s="3">
        <v>111.03</v>
      </c>
      <c r="E2642" s="3">
        <v>1.4992000000000001</v>
      </c>
      <c r="F2642" s="3">
        <v>295.52</v>
      </c>
      <c r="G2642" s="3">
        <v>428.26</v>
      </c>
      <c r="H2642" s="3">
        <v>193.15</v>
      </c>
      <c r="I2642" s="3">
        <v>361.76</v>
      </c>
      <c r="J2642" s="3">
        <v>121.02</v>
      </c>
      <c r="K2642" s="3">
        <v>219.4</v>
      </c>
      <c r="L2642" s="3"/>
      <c r="N2642" s="4"/>
    </row>
    <row r="2643" spans="1:14" ht="17.5" thickBot="1" x14ac:dyDescent="0.45">
      <c r="A2643" s="4">
        <v>45500</v>
      </c>
      <c r="B2643" s="3">
        <v>117.89</v>
      </c>
      <c r="C2643" s="3">
        <v>334.7</v>
      </c>
      <c r="D2643" s="3">
        <v>111.03</v>
      </c>
      <c r="E2643" s="3">
        <v>1.4992000000000001</v>
      </c>
      <c r="F2643" s="3">
        <v>295.52</v>
      </c>
      <c r="G2643" s="3">
        <v>428.26</v>
      </c>
      <c r="H2643" s="3">
        <v>193.15</v>
      </c>
      <c r="I2643" s="3">
        <v>361.76</v>
      </c>
      <c r="J2643" s="3">
        <v>121.02</v>
      </c>
      <c r="K2643" s="3">
        <v>219.4</v>
      </c>
      <c r="L2643" s="3"/>
      <c r="N2643" s="4"/>
    </row>
    <row r="2644" spans="1:14" ht="17.5" thickBot="1" x14ac:dyDescent="0.45">
      <c r="A2644" s="4">
        <v>45501</v>
      </c>
      <c r="B2644" s="3">
        <v>117.89</v>
      </c>
      <c r="C2644" s="3">
        <v>334.7</v>
      </c>
      <c r="D2644" s="3">
        <v>111.03</v>
      </c>
      <c r="E2644" s="3">
        <v>1.4992000000000001</v>
      </c>
      <c r="F2644" s="3">
        <v>295.52</v>
      </c>
      <c r="G2644" s="3">
        <v>428.26</v>
      </c>
      <c r="H2644" s="3">
        <v>193.15</v>
      </c>
      <c r="I2644" s="3">
        <v>361.76</v>
      </c>
      <c r="J2644" s="3">
        <v>121.02</v>
      </c>
      <c r="K2644" s="3">
        <v>219.4</v>
      </c>
      <c r="L2644" s="3"/>
      <c r="N2644" s="4"/>
    </row>
    <row r="2645" spans="1:14" ht="17.5" thickBot="1" x14ac:dyDescent="0.45">
      <c r="A2645" s="4">
        <v>45502</v>
      </c>
      <c r="B2645" s="3">
        <v>119.76</v>
      </c>
      <c r="C2645" s="3">
        <v>337.64</v>
      </c>
      <c r="D2645" s="3">
        <v>111.25</v>
      </c>
      <c r="E2645" s="3">
        <v>1.5019</v>
      </c>
      <c r="F2645" s="3">
        <v>296.75</v>
      </c>
      <c r="G2645" s="3">
        <v>428.58</v>
      </c>
      <c r="H2645" s="3">
        <v>193.74</v>
      </c>
      <c r="I2645" s="3">
        <v>362.05</v>
      </c>
      <c r="J2645" s="3">
        <v>121.03</v>
      </c>
      <c r="K2645" s="3">
        <v>220.07</v>
      </c>
      <c r="L2645" s="3"/>
      <c r="N2645" s="4"/>
    </row>
    <row r="2646" spans="1:14" ht="17.5" thickBot="1" x14ac:dyDescent="0.45">
      <c r="A2646" s="4">
        <v>45503</v>
      </c>
      <c r="B2646" s="3">
        <v>117.82</v>
      </c>
      <c r="C2646" s="3">
        <v>336.08</v>
      </c>
      <c r="D2646" s="3">
        <v>111.37</v>
      </c>
      <c r="E2646" s="3">
        <v>1.5</v>
      </c>
      <c r="F2646" s="3">
        <v>295.66000000000003</v>
      </c>
      <c r="G2646" s="3">
        <v>427.16</v>
      </c>
      <c r="H2646" s="3">
        <v>193.48</v>
      </c>
      <c r="I2646" s="3">
        <v>360.19</v>
      </c>
      <c r="J2646" s="3">
        <v>121.06</v>
      </c>
      <c r="K2646" s="3">
        <v>219.75</v>
      </c>
      <c r="L2646" s="3"/>
      <c r="N2646" s="4"/>
    </row>
    <row r="2647" spans="1:14" ht="17.5" thickBot="1" x14ac:dyDescent="0.45">
      <c r="A2647" s="4">
        <v>45504</v>
      </c>
      <c r="B2647" s="3">
        <v>120.57</v>
      </c>
      <c r="C2647" s="3">
        <v>341.51</v>
      </c>
      <c r="D2647" s="3">
        <v>111.65</v>
      </c>
      <c r="E2647" s="3">
        <v>1.5158</v>
      </c>
      <c r="F2647" s="3">
        <v>300.7</v>
      </c>
      <c r="G2647" s="3">
        <v>433.32</v>
      </c>
      <c r="H2647" s="3">
        <v>195.54</v>
      </c>
      <c r="I2647" s="3">
        <v>365.79</v>
      </c>
      <c r="J2647" s="3">
        <v>121.07</v>
      </c>
      <c r="K2647" s="3">
        <v>222.23</v>
      </c>
      <c r="L2647" s="3"/>
      <c r="N2647" s="4"/>
    </row>
    <row r="2648" spans="1:14" ht="17.5" thickBot="1" x14ac:dyDescent="0.45">
      <c r="A2648" s="4">
        <v>45505</v>
      </c>
      <c r="B2648" s="3">
        <v>119.87</v>
      </c>
      <c r="C2648" s="3">
        <v>339.81</v>
      </c>
      <c r="D2648" s="3">
        <v>112.09</v>
      </c>
      <c r="E2648" s="3">
        <v>1.5065</v>
      </c>
      <c r="F2648" s="3">
        <v>297.83999999999997</v>
      </c>
      <c r="G2648" s="3">
        <v>427.67</v>
      </c>
      <c r="H2648" s="3">
        <v>194.97</v>
      </c>
      <c r="I2648" s="3">
        <v>361.07</v>
      </c>
      <c r="J2648" s="3">
        <v>121.07</v>
      </c>
      <c r="K2648" s="3">
        <v>221.53</v>
      </c>
      <c r="L2648" s="3"/>
      <c r="N2648" s="4"/>
    </row>
    <row r="2649" spans="1:14" ht="17.5" thickBot="1" x14ac:dyDescent="0.45">
      <c r="A2649" s="4">
        <v>45506</v>
      </c>
      <c r="B2649" s="3">
        <v>117.53</v>
      </c>
      <c r="C2649" s="3">
        <v>329.14</v>
      </c>
      <c r="D2649" s="3">
        <v>112.66</v>
      </c>
      <c r="E2649" s="3">
        <v>1.4919</v>
      </c>
      <c r="F2649" s="3">
        <v>291.41000000000003</v>
      </c>
      <c r="G2649" s="3">
        <v>420.16</v>
      </c>
      <c r="H2649" s="3">
        <v>193.55</v>
      </c>
      <c r="I2649" s="3">
        <v>354.3</v>
      </c>
      <c r="J2649" s="3">
        <v>121.07</v>
      </c>
      <c r="K2649" s="3">
        <v>219.82</v>
      </c>
      <c r="L2649" s="3"/>
      <c r="N2649" s="4"/>
    </row>
    <row r="2650" spans="1:14" ht="17.5" thickBot="1" x14ac:dyDescent="0.45">
      <c r="A2650" s="4">
        <v>45507</v>
      </c>
      <c r="B2650" s="3">
        <v>117.53</v>
      </c>
      <c r="C2650" s="3">
        <v>329.14</v>
      </c>
      <c r="D2650" s="3">
        <v>112.66</v>
      </c>
      <c r="E2650" s="3">
        <v>1.4919</v>
      </c>
      <c r="F2650" s="3">
        <v>291.41000000000003</v>
      </c>
      <c r="G2650" s="3">
        <v>420.16</v>
      </c>
      <c r="H2650" s="3">
        <v>193.55</v>
      </c>
      <c r="I2650" s="3">
        <v>354.3</v>
      </c>
      <c r="J2650" s="3">
        <v>121.08</v>
      </c>
      <c r="K2650" s="3">
        <v>219.82</v>
      </c>
      <c r="L2650" s="3"/>
      <c r="N2650" s="4"/>
    </row>
    <row r="2651" spans="1:14" ht="17.5" thickBot="1" x14ac:dyDescent="0.45">
      <c r="A2651" s="4">
        <v>45508</v>
      </c>
      <c r="B2651" s="3">
        <v>117.53</v>
      </c>
      <c r="C2651" s="3">
        <v>329.14</v>
      </c>
      <c r="D2651" s="3">
        <v>112.66</v>
      </c>
      <c r="E2651" s="3">
        <v>1.4919</v>
      </c>
      <c r="F2651" s="3">
        <v>291.41000000000003</v>
      </c>
      <c r="G2651" s="3">
        <v>420.16</v>
      </c>
      <c r="H2651" s="3">
        <v>193.55</v>
      </c>
      <c r="I2651" s="3">
        <v>354.3</v>
      </c>
      <c r="J2651" s="3">
        <v>121.08</v>
      </c>
      <c r="K2651" s="3">
        <v>219.82</v>
      </c>
      <c r="L2651" s="3"/>
      <c r="N2651" s="4"/>
    </row>
    <row r="2652" spans="1:14" ht="17.5" thickBot="1" x14ac:dyDescent="0.45">
      <c r="A2652" s="4">
        <v>45509</v>
      </c>
      <c r="B2652" s="3">
        <v>115.81</v>
      </c>
      <c r="C2652" s="3">
        <v>314.77</v>
      </c>
      <c r="D2652" s="3">
        <v>112.48</v>
      </c>
      <c r="E2652" s="3">
        <v>1.4616</v>
      </c>
      <c r="F2652" s="3">
        <v>283.70999999999998</v>
      </c>
      <c r="G2652" s="3">
        <v>406.96</v>
      </c>
      <c r="H2652" s="3">
        <v>190.85</v>
      </c>
      <c r="I2652" s="3">
        <v>343.31</v>
      </c>
      <c r="J2652" s="3">
        <v>121.13</v>
      </c>
      <c r="K2652" s="3">
        <v>216.7</v>
      </c>
      <c r="L2652" s="3"/>
      <c r="N2652" s="4"/>
    </row>
    <row r="2653" spans="1:14" ht="17.5" thickBot="1" x14ac:dyDescent="0.45">
      <c r="A2653" s="4">
        <v>45510</v>
      </c>
      <c r="B2653" s="3">
        <v>115.5</v>
      </c>
      <c r="C2653" s="3">
        <v>318.95999999999998</v>
      </c>
      <c r="D2653" s="3">
        <v>112.22</v>
      </c>
      <c r="E2653" s="3">
        <v>1.4710000000000001</v>
      </c>
      <c r="F2653" s="3">
        <v>286.54000000000002</v>
      </c>
      <c r="G2653" s="3">
        <v>411.27</v>
      </c>
      <c r="H2653" s="3">
        <v>191.45</v>
      </c>
      <c r="I2653" s="3">
        <v>346.89</v>
      </c>
      <c r="J2653" s="3">
        <v>121.13</v>
      </c>
      <c r="K2653" s="3">
        <v>217.4</v>
      </c>
      <c r="L2653" s="3"/>
      <c r="N2653" s="4"/>
    </row>
    <row r="2654" spans="1:14" ht="17.5" thickBot="1" x14ac:dyDescent="0.45">
      <c r="A2654" s="4">
        <v>45511</v>
      </c>
      <c r="B2654" s="3">
        <v>116.99</v>
      </c>
      <c r="C2654" s="3">
        <v>324.2</v>
      </c>
      <c r="D2654" s="3">
        <v>112.1</v>
      </c>
      <c r="E2654" s="3">
        <v>1.4701</v>
      </c>
      <c r="F2654" s="3">
        <v>288.45</v>
      </c>
      <c r="G2654" s="3">
        <v>408.55</v>
      </c>
      <c r="H2654" s="3">
        <v>191.79</v>
      </c>
      <c r="I2654" s="3">
        <v>344.53</v>
      </c>
      <c r="J2654" s="3">
        <v>121.13</v>
      </c>
      <c r="K2654" s="3">
        <v>217.86</v>
      </c>
      <c r="L2654" s="3"/>
      <c r="N2654" s="4"/>
    </row>
    <row r="2655" spans="1:14" ht="17.5" thickBot="1" x14ac:dyDescent="0.45">
      <c r="A2655" s="4">
        <v>45512</v>
      </c>
      <c r="B2655" s="3">
        <v>117.11</v>
      </c>
      <c r="C2655" s="3">
        <v>323.55</v>
      </c>
      <c r="D2655" s="3">
        <v>112</v>
      </c>
      <c r="E2655" s="3">
        <v>1.4815</v>
      </c>
      <c r="F2655" s="3">
        <v>289.26</v>
      </c>
      <c r="G2655" s="3">
        <v>417.23</v>
      </c>
      <c r="H2655" s="3">
        <v>191.93</v>
      </c>
      <c r="I2655" s="3">
        <v>352.27</v>
      </c>
      <c r="J2655" s="3">
        <v>121.14</v>
      </c>
      <c r="K2655" s="3">
        <v>218.02</v>
      </c>
      <c r="L2655" s="3"/>
      <c r="N2655" s="4"/>
    </row>
    <row r="2656" spans="1:14" ht="17.5" thickBot="1" x14ac:dyDescent="0.45">
      <c r="A2656" s="4">
        <v>45513</v>
      </c>
      <c r="B2656" s="3">
        <v>118.58</v>
      </c>
      <c r="C2656" s="3">
        <v>327.96</v>
      </c>
      <c r="D2656" s="3">
        <v>112.18</v>
      </c>
      <c r="E2656" s="3">
        <v>1.4894000000000001</v>
      </c>
      <c r="F2656" s="3">
        <v>291.69</v>
      </c>
      <c r="G2656" s="3">
        <v>419.35</v>
      </c>
      <c r="H2656" s="3">
        <v>193.05</v>
      </c>
      <c r="I2656" s="3">
        <v>353.96</v>
      </c>
      <c r="J2656" s="3">
        <v>121.14</v>
      </c>
      <c r="K2656" s="3">
        <v>219.36</v>
      </c>
      <c r="L2656" s="3"/>
      <c r="N2656" s="4"/>
    </row>
    <row r="2657" spans="1:14" ht="17.5" thickBot="1" x14ac:dyDescent="0.45">
      <c r="A2657" s="4">
        <v>45514</v>
      </c>
      <c r="B2657" s="3">
        <v>118.58</v>
      </c>
      <c r="C2657" s="3">
        <v>327.96</v>
      </c>
      <c r="D2657" s="3">
        <v>112.18</v>
      </c>
      <c r="E2657" s="3">
        <v>1.4894000000000001</v>
      </c>
      <c r="F2657" s="3">
        <v>291.69</v>
      </c>
      <c r="G2657" s="3">
        <v>419.35</v>
      </c>
      <c r="H2657" s="3">
        <v>193.05</v>
      </c>
      <c r="I2657" s="3">
        <v>353.96</v>
      </c>
      <c r="J2657" s="3">
        <v>121.14</v>
      </c>
      <c r="K2657" s="3">
        <v>219.36</v>
      </c>
      <c r="L2657" s="3"/>
      <c r="N2657" s="4"/>
    </row>
    <row r="2658" spans="1:14" ht="17.5" thickBot="1" x14ac:dyDescent="0.45">
      <c r="A2658" s="4">
        <v>45515</v>
      </c>
      <c r="B2658" s="3">
        <v>118.58</v>
      </c>
      <c r="C2658" s="3">
        <v>327.96</v>
      </c>
      <c r="D2658" s="3">
        <v>112.18</v>
      </c>
      <c r="E2658" s="3">
        <v>1.4894000000000001</v>
      </c>
      <c r="F2658" s="3">
        <v>291.69</v>
      </c>
      <c r="G2658" s="3">
        <v>419.35</v>
      </c>
      <c r="H2658" s="3">
        <v>193.05</v>
      </c>
      <c r="I2658" s="3">
        <v>353.96</v>
      </c>
      <c r="J2658" s="3">
        <v>121.14</v>
      </c>
      <c r="K2658" s="3">
        <v>219.36</v>
      </c>
      <c r="L2658" s="3"/>
      <c r="N2658" s="4"/>
    </row>
    <row r="2659" spans="1:14" ht="17.5" thickBot="1" x14ac:dyDescent="0.45">
      <c r="A2659" s="4">
        <v>45516</v>
      </c>
      <c r="B2659" s="3">
        <v>118.56</v>
      </c>
      <c r="C2659" s="3">
        <v>329.25</v>
      </c>
      <c r="D2659" s="3">
        <v>112.23</v>
      </c>
      <c r="E2659" s="3">
        <v>1.4885999999999999</v>
      </c>
      <c r="F2659" s="3">
        <v>291.83999999999997</v>
      </c>
      <c r="G2659" s="3">
        <v>419.01</v>
      </c>
      <c r="H2659" s="3">
        <v>193.13</v>
      </c>
      <c r="I2659" s="3">
        <v>354.12</v>
      </c>
      <c r="J2659" s="3">
        <v>121.18</v>
      </c>
      <c r="K2659" s="3">
        <v>219.46</v>
      </c>
      <c r="L2659" s="3"/>
      <c r="N2659" s="4"/>
    </row>
    <row r="2660" spans="1:14" ht="17.5" thickBot="1" x14ac:dyDescent="0.45">
      <c r="A2660" s="4">
        <v>45517</v>
      </c>
      <c r="B2660" s="3">
        <v>119.05</v>
      </c>
      <c r="C2660" s="3">
        <v>331.33</v>
      </c>
      <c r="D2660" s="3">
        <v>112.49</v>
      </c>
      <c r="E2660" s="3">
        <v>1.5029999999999999</v>
      </c>
      <c r="F2660" s="3">
        <v>294.69</v>
      </c>
      <c r="G2660" s="3">
        <v>425.48</v>
      </c>
      <c r="H2660" s="3">
        <v>194.4</v>
      </c>
      <c r="I2660" s="3">
        <v>359.67</v>
      </c>
      <c r="J2660" s="3">
        <v>121.18</v>
      </c>
      <c r="K2660" s="3">
        <v>220.95</v>
      </c>
      <c r="L2660" s="3"/>
      <c r="N2660" s="4"/>
    </row>
    <row r="2661" spans="1:14" ht="17.5" thickBot="1" x14ac:dyDescent="0.45">
      <c r="A2661" s="4">
        <v>45518</v>
      </c>
      <c r="B2661" s="3">
        <v>118.57</v>
      </c>
      <c r="C2661" s="3">
        <v>333.33</v>
      </c>
      <c r="D2661" s="3">
        <v>112.76</v>
      </c>
      <c r="E2661" s="3">
        <v>1.5096000000000001</v>
      </c>
      <c r="F2661" s="3">
        <v>295.88</v>
      </c>
      <c r="G2661" s="3">
        <v>427.02</v>
      </c>
      <c r="H2661" s="3">
        <v>195.13</v>
      </c>
      <c r="I2661" s="3">
        <v>360.86</v>
      </c>
      <c r="J2661" s="3">
        <v>121.19</v>
      </c>
      <c r="K2661" s="3">
        <v>221.78</v>
      </c>
      <c r="L2661" s="3"/>
      <c r="N2661" s="4"/>
    </row>
    <row r="2662" spans="1:14" ht="17.5" thickBot="1" x14ac:dyDescent="0.45">
      <c r="A2662" s="4">
        <v>45519</v>
      </c>
      <c r="B2662" s="3">
        <v>118.75</v>
      </c>
      <c r="C2662" s="3">
        <v>333.97</v>
      </c>
      <c r="D2662" s="3">
        <v>112.66</v>
      </c>
      <c r="E2662" s="3">
        <v>1.5179</v>
      </c>
      <c r="F2662" s="3">
        <v>297.2</v>
      </c>
      <c r="G2662" s="3">
        <v>433.81</v>
      </c>
      <c r="H2662" s="3">
        <v>195.22</v>
      </c>
      <c r="I2662" s="3">
        <v>366.91</v>
      </c>
      <c r="J2662" s="3">
        <v>121.19</v>
      </c>
      <c r="K2662" s="3">
        <v>221.85</v>
      </c>
      <c r="L2662" s="3"/>
      <c r="N2662" s="4"/>
    </row>
    <row r="2663" spans="1:14" ht="17.5" thickBot="1" x14ac:dyDescent="0.45">
      <c r="A2663" s="4">
        <v>45520</v>
      </c>
      <c r="B2663" s="3">
        <v>120.9</v>
      </c>
      <c r="C2663" s="3">
        <v>340.59</v>
      </c>
      <c r="D2663" s="3">
        <v>112.73</v>
      </c>
      <c r="E2663" s="3">
        <v>1.5238</v>
      </c>
      <c r="F2663" s="3">
        <v>300.37</v>
      </c>
      <c r="G2663" s="3">
        <v>434.71</v>
      </c>
      <c r="H2663" s="3">
        <v>196.44</v>
      </c>
      <c r="I2663" s="3">
        <v>367.85</v>
      </c>
      <c r="J2663" s="3">
        <v>121.24</v>
      </c>
      <c r="K2663" s="3">
        <v>223.32</v>
      </c>
      <c r="L2663" s="3"/>
      <c r="N2663" s="4"/>
    </row>
    <row r="2664" spans="1:14" ht="17.5" thickBot="1" x14ac:dyDescent="0.45">
      <c r="A2664" s="4">
        <v>45521</v>
      </c>
      <c r="B2664" s="3">
        <v>120.9</v>
      </c>
      <c r="C2664" s="3">
        <v>340.59</v>
      </c>
      <c r="D2664" s="3">
        <v>112.73</v>
      </c>
      <c r="E2664" s="3">
        <v>1.5238</v>
      </c>
      <c r="F2664" s="3">
        <v>300.37</v>
      </c>
      <c r="G2664" s="3">
        <v>434.71</v>
      </c>
      <c r="H2664" s="3">
        <v>196.44</v>
      </c>
      <c r="I2664" s="3">
        <v>367.85</v>
      </c>
      <c r="J2664" s="3">
        <v>121.25</v>
      </c>
      <c r="K2664" s="3">
        <v>223.32</v>
      </c>
      <c r="L2664" s="3"/>
      <c r="N2664" s="4"/>
    </row>
    <row r="2665" spans="1:14" ht="17.5" thickBot="1" x14ac:dyDescent="0.45">
      <c r="A2665" s="4">
        <v>45522</v>
      </c>
      <c r="B2665" s="3">
        <v>120.9</v>
      </c>
      <c r="C2665" s="3">
        <v>340.59</v>
      </c>
      <c r="D2665" s="3">
        <v>112.73</v>
      </c>
      <c r="E2665" s="3">
        <v>1.5238</v>
      </c>
      <c r="F2665" s="3">
        <v>300.37</v>
      </c>
      <c r="G2665" s="3">
        <v>434.71</v>
      </c>
      <c r="H2665" s="3">
        <v>196.44</v>
      </c>
      <c r="I2665" s="3">
        <v>367.85</v>
      </c>
      <c r="J2665" s="3">
        <v>121.25</v>
      </c>
      <c r="K2665" s="3">
        <v>223.32</v>
      </c>
      <c r="L2665" s="3"/>
      <c r="N2665" s="4"/>
    </row>
    <row r="2666" spans="1:14" ht="17.5" thickBot="1" x14ac:dyDescent="0.45">
      <c r="A2666" s="4">
        <v>45523</v>
      </c>
      <c r="B2666" s="3">
        <v>121.85</v>
      </c>
      <c r="C2666" s="3">
        <v>342.68</v>
      </c>
      <c r="D2666" s="3">
        <v>112.89</v>
      </c>
      <c r="E2666" s="3">
        <v>1.5325</v>
      </c>
      <c r="F2666" s="3">
        <v>302.33</v>
      </c>
      <c r="G2666" s="3">
        <v>438.64</v>
      </c>
      <c r="H2666" s="3">
        <v>197.32</v>
      </c>
      <c r="I2666" s="3">
        <v>371.11</v>
      </c>
      <c r="J2666" s="3">
        <v>121.25</v>
      </c>
      <c r="K2666" s="3">
        <v>224.37</v>
      </c>
      <c r="L2666" s="3"/>
      <c r="N2666" s="4"/>
    </row>
    <row r="2667" spans="1:14" ht="17.5" thickBot="1" x14ac:dyDescent="0.45">
      <c r="A2667" s="4">
        <v>45524</v>
      </c>
      <c r="B2667" s="3">
        <v>121.38</v>
      </c>
      <c r="C2667" s="3">
        <v>344.84</v>
      </c>
      <c r="D2667" s="3">
        <v>113.06</v>
      </c>
      <c r="E2667" s="3">
        <v>1.5331999999999999</v>
      </c>
      <c r="F2667" s="3">
        <v>302.64</v>
      </c>
      <c r="G2667" s="3">
        <v>437.45</v>
      </c>
      <c r="H2667" s="3">
        <v>197.7</v>
      </c>
      <c r="I2667" s="3">
        <v>370.51</v>
      </c>
      <c r="J2667" s="3">
        <v>121.26</v>
      </c>
      <c r="K2667" s="3">
        <v>224.78</v>
      </c>
      <c r="L2667" s="3"/>
      <c r="N2667" s="4"/>
    </row>
    <row r="2668" spans="1:14" ht="17.5" thickBot="1" x14ac:dyDescent="0.45">
      <c r="A2668" s="4">
        <v>45525</v>
      </c>
      <c r="B2668" s="3">
        <v>120.56</v>
      </c>
      <c r="C2668" s="3">
        <v>343.26</v>
      </c>
      <c r="D2668" s="3">
        <v>113.27</v>
      </c>
      <c r="E2668" s="3">
        <v>1.5371999999999999</v>
      </c>
      <c r="F2668" s="3">
        <v>302.47000000000003</v>
      </c>
      <c r="G2668" s="3">
        <v>439.4</v>
      </c>
      <c r="H2668" s="3">
        <v>197.84</v>
      </c>
      <c r="I2668" s="3">
        <v>371.93</v>
      </c>
      <c r="J2668" s="3">
        <v>121.26</v>
      </c>
      <c r="K2668" s="3">
        <v>224.91</v>
      </c>
      <c r="L2668" s="3"/>
      <c r="N2668" s="4"/>
    </row>
    <row r="2669" spans="1:14" ht="17.5" thickBot="1" x14ac:dyDescent="0.45">
      <c r="A2669" s="4">
        <v>45526</v>
      </c>
      <c r="B2669" s="3">
        <v>122.31</v>
      </c>
      <c r="C2669" s="3">
        <v>343.48</v>
      </c>
      <c r="D2669" s="3">
        <v>113.18</v>
      </c>
      <c r="E2669" s="3">
        <v>1.5310999999999999</v>
      </c>
      <c r="F2669" s="3">
        <v>302.83999999999997</v>
      </c>
      <c r="G2669" s="3">
        <v>435.75</v>
      </c>
      <c r="H2669" s="3">
        <v>197.72</v>
      </c>
      <c r="I2669" s="3">
        <v>368.95</v>
      </c>
      <c r="J2669" s="3">
        <v>121.3</v>
      </c>
      <c r="K2669" s="3">
        <v>224.81</v>
      </c>
      <c r="L2669" s="3"/>
      <c r="N2669" s="4"/>
    </row>
    <row r="2670" spans="1:14" ht="17.5" thickBot="1" x14ac:dyDescent="0.45">
      <c r="A2670" s="4">
        <v>45527</v>
      </c>
      <c r="B2670" s="3">
        <v>122.24</v>
      </c>
      <c r="C2670" s="3">
        <v>344.58</v>
      </c>
      <c r="D2670" s="3">
        <v>113.31</v>
      </c>
      <c r="E2670" s="3">
        <v>1.5419</v>
      </c>
      <c r="F2670" s="3">
        <v>304.38</v>
      </c>
      <c r="G2670" s="3">
        <v>440.68</v>
      </c>
      <c r="H2670" s="3">
        <v>198.55</v>
      </c>
      <c r="I2670" s="3">
        <v>372.95</v>
      </c>
      <c r="J2670" s="3">
        <v>121.31</v>
      </c>
      <c r="K2670" s="3">
        <v>225.79</v>
      </c>
      <c r="L2670" s="3"/>
      <c r="N2670" s="4"/>
    </row>
    <row r="2671" spans="1:14" ht="17.5" thickBot="1" x14ac:dyDescent="0.45">
      <c r="A2671" s="4">
        <v>45528</v>
      </c>
      <c r="B2671" s="3">
        <v>122.24</v>
      </c>
      <c r="C2671" s="3">
        <v>344.58</v>
      </c>
      <c r="D2671" s="3">
        <v>113.31</v>
      </c>
      <c r="E2671" s="3">
        <v>1.5419</v>
      </c>
      <c r="F2671" s="3">
        <v>304.38</v>
      </c>
      <c r="G2671" s="3">
        <v>440.68</v>
      </c>
      <c r="H2671" s="3">
        <v>198.55</v>
      </c>
      <c r="I2671" s="3">
        <v>372.95</v>
      </c>
      <c r="J2671" s="3">
        <v>121.31</v>
      </c>
      <c r="K2671" s="3">
        <v>225.79</v>
      </c>
      <c r="L2671" s="3"/>
      <c r="N2671" s="4"/>
    </row>
    <row r="2672" spans="1:14" ht="17.5" thickBot="1" x14ac:dyDescent="0.45">
      <c r="A2672" s="4">
        <v>45529</v>
      </c>
      <c r="B2672" s="3">
        <v>122.24</v>
      </c>
      <c r="C2672" s="3">
        <v>344.58</v>
      </c>
      <c r="D2672" s="3">
        <v>113.31</v>
      </c>
      <c r="E2672" s="3">
        <v>1.5419</v>
      </c>
      <c r="F2672" s="3">
        <v>304.38</v>
      </c>
      <c r="G2672" s="3">
        <v>440.68</v>
      </c>
      <c r="H2672" s="3">
        <v>198.55</v>
      </c>
      <c r="I2672" s="3">
        <v>372.95</v>
      </c>
      <c r="J2672" s="3">
        <v>121.31</v>
      </c>
      <c r="K2672" s="3">
        <v>225.79</v>
      </c>
      <c r="L2672" s="3"/>
      <c r="N2672" s="4"/>
    </row>
    <row r="2673" spans="1:14" ht="17.5" thickBot="1" x14ac:dyDescent="0.45">
      <c r="A2673" s="4">
        <v>45530</v>
      </c>
      <c r="B2673" s="3">
        <v>123.33</v>
      </c>
      <c r="C2673" s="3">
        <v>346.12</v>
      </c>
      <c r="D2673" s="3">
        <v>113.45</v>
      </c>
      <c r="E2673" s="3">
        <v>1.5402</v>
      </c>
      <c r="F2673" s="3">
        <v>304.75</v>
      </c>
      <c r="G2673" s="3">
        <v>439.29</v>
      </c>
      <c r="H2673" s="3">
        <v>198.67</v>
      </c>
      <c r="I2673" s="3">
        <v>371.67</v>
      </c>
      <c r="J2673" s="3">
        <v>121.31</v>
      </c>
      <c r="K2673" s="3">
        <v>225.94</v>
      </c>
      <c r="L2673" s="3"/>
      <c r="N2673" s="4"/>
    </row>
    <row r="2674" spans="1:14" ht="17.5" thickBot="1" x14ac:dyDescent="0.45">
      <c r="A2674" s="4">
        <v>45531</v>
      </c>
      <c r="B2674" s="3">
        <v>123.98</v>
      </c>
      <c r="C2674" s="3">
        <v>345.98</v>
      </c>
      <c r="D2674" s="3">
        <v>113.46</v>
      </c>
      <c r="E2674" s="3">
        <v>1.5412999999999999</v>
      </c>
      <c r="F2674" s="3">
        <v>305.13</v>
      </c>
      <c r="G2674" s="3">
        <v>440.23</v>
      </c>
      <c r="H2674" s="3">
        <v>198.74</v>
      </c>
      <c r="I2674" s="3">
        <v>372.46</v>
      </c>
      <c r="J2674" s="3">
        <v>121.35</v>
      </c>
      <c r="K2674" s="3">
        <v>226.01</v>
      </c>
      <c r="L2674" s="3"/>
      <c r="N2674" s="4"/>
    </row>
    <row r="2675" spans="1:14" ht="17.5" thickBot="1" x14ac:dyDescent="0.45">
      <c r="A2675" s="4">
        <v>45532</v>
      </c>
      <c r="B2675" s="3">
        <v>122.8</v>
      </c>
      <c r="C2675" s="3">
        <v>345.89</v>
      </c>
      <c r="D2675" s="3">
        <v>113.47</v>
      </c>
      <c r="E2675" s="3">
        <v>1.5375000000000001</v>
      </c>
      <c r="F2675" s="3">
        <v>304.02999999999997</v>
      </c>
      <c r="G2675" s="3">
        <v>437.53</v>
      </c>
      <c r="H2675" s="3">
        <v>198.31</v>
      </c>
      <c r="I2675" s="3">
        <v>370.25</v>
      </c>
      <c r="J2675" s="3">
        <v>121.35</v>
      </c>
      <c r="K2675" s="3">
        <v>225.47</v>
      </c>
      <c r="L2675" s="3"/>
      <c r="N2675" s="4"/>
    </row>
    <row r="2676" spans="1:14" ht="17.5" thickBot="1" x14ac:dyDescent="0.45">
      <c r="A2676" s="4">
        <v>45533</v>
      </c>
      <c r="B2676" s="3">
        <v>123.3</v>
      </c>
      <c r="C2676" s="3">
        <v>345.22</v>
      </c>
      <c r="D2676" s="3">
        <v>113.39</v>
      </c>
      <c r="E2676" s="3">
        <v>1.5365</v>
      </c>
      <c r="F2676" s="3">
        <v>304.20999999999998</v>
      </c>
      <c r="G2676" s="3">
        <v>437.46</v>
      </c>
      <c r="H2676" s="3">
        <v>198.15</v>
      </c>
      <c r="I2676" s="3">
        <v>370.34</v>
      </c>
      <c r="J2676" s="3">
        <v>121.35</v>
      </c>
      <c r="K2676" s="3">
        <v>225.33</v>
      </c>
      <c r="L2676" s="3"/>
      <c r="N2676" s="4"/>
    </row>
    <row r="2677" spans="1:14" ht="17.5" thickBot="1" x14ac:dyDescent="0.45">
      <c r="A2677" s="4">
        <v>45534</v>
      </c>
      <c r="B2677" s="3">
        <v>125.51</v>
      </c>
      <c r="C2677" s="3">
        <v>346.71</v>
      </c>
      <c r="D2677" s="3">
        <v>113.28</v>
      </c>
      <c r="E2677" s="3">
        <v>1.5435000000000001</v>
      </c>
      <c r="F2677" s="3">
        <v>306.06</v>
      </c>
      <c r="G2677" s="3">
        <v>441.56</v>
      </c>
      <c r="H2677" s="3">
        <v>198.67</v>
      </c>
      <c r="I2677" s="3">
        <v>373.61</v>
      </c>
      <c r="J2677" s="3">
        <v>121.36</v>
      </c>
      <c r="K2677" s="3">
        <v>225.95</v>
      </c>
      <c r="L2677" s="3"/>
      <c r="N2677" s="4"/>
    </row>
    <row r="2678" spans="1:14" ht="17.5" thickBot="1" x14ac:dyDescent="0.45">
      <c r="A2678" s="4">
        <v>45535</v>
      </c>
      <c r="B2678" s="3">
        <v>125.51</v>
      </c>
      <c r="C2678" s="3">
        <v>346.71</v>
      </c>
      <c r="D2678" s="3">
        <v>113.28</v>
      </c>
      <c r="E2678" s="3">
        <v>1.5435000000000001</v>
      </c>
      <c r="F2678" s="3">
        <v>306.06</v>
      </c>
      <c r="G2678" s="3">
        <v>441.56</v>
      </c>
      <c r="H2678" s="3">
        <v>198.67</v>
      </c>
      <c r="I2678" s="3">
        <v>373.61</v>
      </c>
      <c r="J2678" s="3">
        <v>121.36</v>
      </c>
      <c r="K2678" s="3">
        <v>225.95</v>
      </c>
      <c r="L2678" s="3"/>
      <c r="N2678" s="4"/>
    </row>
    <row r="2679" spans="1:14" ht="17.5" thickBot="1" x14ac:dyDescent="0.45">
      <c r="A2679" s="4">
        <v>45536</v>
      </c>
      <c r="B2679" s="3">
        <v>125.51</v>
      </c>
      <c r="C2679" s="3">
        <v>346.71</v>
      </c>
      <c r="D2679" s="3">
        <v>113.28</v>
      </c>
      <c r="E2679" s="3">
        <v>1.5435000000000001</v>
      </c>
      <c r="F2679" s="3">
        <v>306.06</v>
      </c>
      <c r="G2679" s="3">
        <v>441.56</v>
      </c>
      <c r="H2679" s="3">
        <v>198.67</v>
      </c>
      <c r="I2679" s="3">
        <v>373.61</v>
      </c>
      <c r="J2679" s="3">
        <v>121.36</v>
      </c>
      <c r="K2679" s="3">
        <v>225.95</v>
      </c>
      <c r="L2679" s="3"/>
      <c r="N2679" s="4"/>
    </row>
    <row r="2680" spans="1:14" ht="17.5" thickBot="1" x14ac:dyDescent="0.45">
      <c r="A2680" s="4">
        <v>45537</v>
      </c>
      <c r="B2680" s="3">
        <v>122.77</v>
      </c>
      <c r="C2680" s="3">
        <v>345.41</v>
      </c>
      <c r="D2680" s="3">
        <v>113.22</v>
      </c>
      <c r="E2680" s="3">
        <v>1.5434000000000001</v>
      </c>
      <c r="F2680" s="3">
        <v>304.36</v>
      </c>
      <c r="G2680" s="3">
        <v>441.39</v>
      </c>
      <c r="H2680" s="3">
        <v>197.94</v>
      </c>
      <c r="I2680" s="3">
        <v>373.62</v>
      </c>
      <c r="J2680" s="3">
        <v>121.42</v>
      </c>
      <c r="K2680" s="3">
        <v>225.07</v>
      </c>
      <c r="L2680" s="3"/>
      <c r="N2680" s="4"/>
    </row>
    <row r="2681" spans="1:14" ht="17.5" thickBot="1" x14ac:dyDescent="0.45">
      <c r="A2681" s="4">
        <v>45538</v>
      </c>
      <c r="B2681" s="3">
        <v>122.66</v>
      </c>
      <c r="C2681" s="3">
        <v>343.1</v>
      </c>
      <c r="D2681" s="3">
        <v>113.36</v>
      </c>
      <c r="E2681" s="3">
        <v>1.5294000000000001</v>
      </c>
      <c r="F2681" s="3">
        <v>302.5</v>
      </c>
      <c r="G2681" s="3">
        <v>432.61</v>
      </c>
      <c r="H2681" s="3">
        <v>197.6</v>
      </c>
      <c r="I2681" s="3">
        <v>366.26</v>
      </c>
      <c r="J2681" s="3">
        <v>121.42</v>
      </c>
      <c r="K2681" s="3">
        <v>224.69</v>
      </c>
      <c r="L2681" s="3"/>
      <c r="N2681" s="4"/>
    </row>
    <row r="2682" spans="1:14" ht="17.5" thickBot="1" x14ac:dyDescent="0.45">
      <c r="A2682" s="4">
        <v>45539</v>
      </c>
      <c r="B2682" s="3">
        <v>121.34</v>
      </c>
      <c r="C2682" s="3">
        <v>337.64</v>
      </c>
      <c r="D2682" s="3">
        <v>113.62</v>
      </c>
      <c r="E2682" s="3">
        <v>1.5265</v>
      </c>
      <c r="F2682" s="3">
        <v>300</v>
      </c>
      <c r="G2682" s="3">
        <v>431.45</v>
      </c>
      <c r="H2682" s="3">
        <v>197.16</v>
      </c>
      <c r="I2682" s="3">
        <v>365.42</v>
      </c>
      <c r="J2682" s="3">
        <v>121.43</v>
      </c>
      <c r="K2682" s="3">
        <v>224.15</v>
      </c>
      <c r="L2682" s="3"/>
      <c r="N2682" s="4"/>
    </row>
    <row r="2683" spans="1:14" ht="17.5" thickBot="1" x14ac:dyDescent="0.45">
      <c r="A2683" s="4">
        <v>45540</v>
      </c>
      <c r="B2683" s="3">
        <v>121.36</v>
      </c>
      <c r="C2683" s="3">
        <v>337.84</v>
      </c>
      <c r="D2683" s="3">
        <v>113.8</v>
      </c>
      <c r="E2683" s="3">
        <v>1.5246999999999999</v>
      </c>
      <c r="F2683" s="3">
        <v>299.52999999999997</v>
      </c>
      <c r="G2683" s="3">
        <v>430.17</v>
      </c>
      <c r="H2683" s="3">
        <v>197.11</v>
      </c>
      <c r="I2683" s="3">
        <v>364.38</v>
      </c>
      <c r="J2683" s="3">
        <v>121.43</v>
      </c>
      <c r="K2683" s="3">
        <v>224.09</v>
      </c>
      <c r="L2683" s="3"/>
      <c r="N2683" s="4"/>
    </row>
    <row r="2684" spans="1:14" ht="17.5" thickBot="1" x14ac:dyDescent="0.45">
      <c r="A2684" s="4">
        <v>45541</v>
      </c>
      <c r="B2684" s="3">
        <v>121.36</v>
      </c>
      <c r="C2684" s="3">
        <v>337.84</v>
      </c>
      <c r="D2684" s="3">
        <v>113.8</v>
      </c>
      <c r="E2684" s="3">
        <v>1.5246999999999999</v>
      </c>
      <c r="F2684" s="3">
        <v>299.52999999999997</v>
      </c>
      <c r="G2684" s="3">
        <v>430.17</v>
      </c>
      <c r="H2684" s="3">
        <v>197.11</v>
      </c>
      <c r="I2684" s="3">
        <v>364.38</v>
      </c>
      <c r="J2684" s="3">
        <v>121.43</v>
      </c>
      <c r="K2684" s="3">
        <v>224.09</v>
      </c>
      <c r="L2684" s="3"/>
      <c r="N2684" s="4"/>
    </row>
    <row r="2685" spans="1:14" ht="17.5" thickBot="1" x14ac:dyDescent="0.45">
      <c r="A2685" s="4">
        <v>45542</v>
      </c>
      <c r="B2685" s="3">
        <v>121.36</v>
      </c>
      <c r="C2685" s="3">
        <v>337.84</v>
      </c>
      <c r="D2685" s="3">
        <v>113.8</v>
      </c>
      <c r="E2685" s="3">
        <v>1.5246999999999999</v>
      </c>
      <c r="F2685" s="3">
        <v>299.52999999999997</v>
      </c>
      <c r="G2685" s="3">
        <v>430.17</v>
      </c>
      <c r="H2685" s="3">
        <v>197.11</v>
      </c>
      <c r="I2685" s="3">
        <v>364.38</v>
      </c>
      <c r="J2685" s="3">
        <v>121.44</v>
      </c>
      <c r="K2685" s="3">
        <v>224.09</v>
      </c>
      <c r="L2685" s="3"/>
      <c r="N2685" s="4"/>
    </row>
    <row r="2686" spans="1:14" ht="17.5" thickBot="1" x14ac:dyDescent="0.45">
      <c r="A2686" s="4">
        <v>45543</v>
      </c>
      <c r="B2686" s="3">
        <v>121.36</v>
      </c>
      <c r="C2686" s="3">
        <v>337.84</v>
      </c>
      <c r="D2686" s="3">
        <v>113.8</v>
      </c>
      <c r="E2686" s="3">
        <v>1.5246999999999999</v>
      </c>
      <c r="F2686" s="3">
        <v>299.52999999999997</v>
      </c>
      <c r="G2686" s="3">
        <v>430.17</v>
      </c>
      <c r="H2686" s="3">
        <v>197.11</v>
      </c>
      <c r="I2686" s="3">
        <v>364.38</v>
      </c>
      <c r="J2686" s="3">
        <v>121.44</v>
      </c>
      <c r="K2686" s="3">
        <v>224.09</v>
      </c>
      <c r="L2686" s="3"/>
      <c r="N2686" s="4"/>
    </row>
    <row r="2687" spans="1:14" ht="17.5" thickBot="1" x14ac:dyDescent="0.45">
      <c r="A2687" s="4">
        <v>45544</v>
      </c>
      <c r="B2687" s="3">
        <v>119.67</v>
      </c>
      <c r="C2687" s="3">
        <v>334.75</v>
      </c>
      <c r="D2687" s="3">
        <v>113.98</v>
      </c>
      <c r="E2687" s="3">
        <v>1.5203</v>
      </c>
      <c r="F2687" s="3">
        <v>297.07</v>
      </c>
      <c r="G2687" s="3">
        <v>427.32</v>
      </c>
      <c r="H2687" s="3">
        <v>196.47</v>
      </c>
      <c r="I2687" s="3">
        <v>362.32</v>
      </c>
      <c r="J2687" s="3">
        <v>121.48</v>
      </c>
      <c r="K2687" s="3">
        <v>223.27</v>
      </c>
      <c r="L2687" s="3"/>
      <c r="N2687" s="4"/>
    </row>
    <row r="2688" spans="1:14" ht="17.5" thickBot="1" x14ac:dyDescent="0.45">
      <c r="A2688" s="4">
        <v>45545</v>
      </c>
      <c r="B2688" s="3">
        <v>120.17</v>
      </c>
      <c r="C2688" s="3">
        <v>334.63</v>
      </c>
      <c r="D2688" s="3">
        <v>114.17</v>
      </c>
      <c r="E2688" s="3">
        <v>1.5226</v>
      </c>
      <c r="F2688" s="3">
        <v>296.95999999999998</v>
      </c>
      <c r="G2688" s="3">
        <v>428.62</v>
      </c>
      <c r="H2688" s="3">
        <v>196.59</v>
      </c>
      <c r="I2688" s="3">
        <v>363.71</v>
      </c>
      <c r="J2688" s="3">
        <v>121.48</v>
      </c>
      <c r="K2688" s="3">
        <v>223.39</v>
      </c>
      <c r="L2688" s="3"/>
      <c r="N2688" s="4"/>
    </row>
    <row r="2689" spans="1:14" ht="17.5" thickBot="1" x14ac:dyDescent="0.45">
      <c r="A2689" s="4">
        <v>45546</v>
      </c>
      <c r="B2689" s="3">
        <v>119.23</v>
      </c>
      <c r="C2689" s="3">
        <v>333.26</v>
      </c>
      <c r="D2689" s="3">
        <v>114.28</v>
      </c>
      <c r="E2689" s="3">
        <v>1.5290999999999999</v>
      </c>
      <c r="F2689" s="3">
        <v>297.2</v>
      </c>
      <c r="G2689" s="3">
        <v>432.95</v>
      </c>
      <c r="H2689" s="3">
        <v>196.78</v>
      </c>
      <c r="I2689" s="3">
        <v>367.56</v>
      </c>
      <c r="J2689" s="3">
        <v>121.48</v>
      </c>
      <c r="K2689" s="3">
        <v>223.62</v>
      </c>
      <c r="L2689" s="3"/>
      <c r="N2689" s="4"/>
    </row>
    <row r="2690" spans="1:14" ht="17.5" thickBot="1" x14ac:dyDescent="0.45">
      <c r="A2690" s="4">
        <v>45547</v>
      </c>
      <c r="B2690" s="3">
        <v>120.37</v>
      </c>
      <c r="C2690" s="3">
        <v>337.82</v>
      </c>
      <c r="D2690" s="3">
        <v>114.25</v>
      </c>
      <c r="E2690" s="3">
        <v>1.5379</v>
      </c>
      <c r="F2690" s="3">
        <v>299.73</v>
      </c>
      <c r="G2690" s="3">
        <v>436.2</v>
      </c>
      <c r="H2690" s="3">
        <v>197.58</v>
      </c>
      <c r="I2690" s="3">
        <v>370.75</v>
      </c>
      <c r="J2690" s="3">
        <v>121.48</v>
      </c>
      <c r="K2690" s="3">
        <v>224.57</v>
      </c>
      <c r="L2690" s="3"/>
      <c r="N2690" s="4"/>
    </row>
    <row r="2691" spans="1:14" ht="17.5" thickBot="1" x14ac:dyDescent="0.45">
      <c r="A2691" s="4">
        <v>45548</v>
      </c>
      <c r="B2691" s="3">
        <v>121.25</v>
      </c>
      <c r="C2691" s="3">
        <v>339.26</v>
      </c>
      <c r="D2691" s="3">
        <v>114.43</v>
      </c>
      <c r="E2691" s="3">
        <v>1.5439000000000001</v>
      </c>
      <c r="F2691" s="3">
        <v>301.33999999999997</v>
      </c>
      <c r="G2691" s="3">
        <v>438.45</v>
      </c>
      <c r="H2691" s="3">
        <v>198.35</v>
      </c>
      <c r="I2691" s="3">
        <v>372.56</v>
      </c>
      <c r="J2691" s="3">
        <v>121.49</v>
      </c>
      <c r="K2691" s="3">
        <v>225.48</v>
      </c>
      <c r="L2691" s="3"/>
      <c r="N2691" s="4"/>
    </row>
    <row r="2692" spans="1:14" ht="17.5" thickBot="1" x14ac:dyDescent="0.45">
      <c r="A2692" s="4">
        <v>45549</v>
      </c>
      <c r="B2692" s="3">
        <v>121.25</v>
      </c>
      <c r="C2692" s="3">
        <v>339.26</v>
      </c>
      <c r="D2692" s="3">
        <v>114.43</v>
      </c>
      <c r="E2692" s="3">
        <v>1.5439000000000001</v>
      </c>
      <c r="F2692" s="3">
        <v>301.33999999999997</v>
      </c>
      <c r="G2692" s="3">
        <v>438.45</v>
      </c>
      <c r="H2692" s="3">
        <v>198.35</v>
      </c>
      <c r="I2692" s="3">
        <v>372.56</v>
      </c>
      <c r="J2692" s="3">
        <v>121.49</v>
      </c>
      <c r="K2692" s="3">
        <v>225.48</v>
      </c>
      <c r="L2692" s="3"/>
      <c r="N2692" s="4"/>
    </row>
    <row r="2693" spans="1:14" ht="17.5" thickBot="1" x14ac:dyDescent="0.45">
      <c r="A2693" s="4">
        <v>45550</v>
      </c>
      <c r="B2693" s="3">
        <v>121.25</v>
      </c>
      <c r="C2693" s="3">
        <v>339.26</v>
      </c>
      <c r="D2693" s="3">
        <v>114.43</v>
      </c>
      <c r="E2693" s="3">
        <v>1.5439000000000001</v>
      </c>
      <c r="F2693" s="3">
        <v>301.33999999999997</v>
      </c>
      <c r="G2693" s="3">
        <v>438.45</v>
      </c>
      <c r="H2693" s="3">
        <v>198.35</v>
      </c>
      <c r="I2693" s="3">
        <v>372.56</v>
      </c>
      <c r="J2693" s="3">
        <v>121.49</v>
      </c>
      <c r="K2693" s="3">
        <v>225.48</v>
      </c>
      <c r="L2693" s="3"/>
      <c r="N2693" s="4"/>
    </row>
    <row r="2694" spans="1:14" ht="17.5" thickBot="1" x14ac:dyDescent="0.45">
      <c r="A2694" s="4">
        <v>45551</v>
      </c>
      <c r="B2694" s="3">
        <v>121.62</v>
      </c>
      <c r="C2694" s="3">
        <v>339.89</v>
      </c>
      <c r="D2694" s="3">
        <v>114.56</v>
      </c>
      <c r="E2694" s="3">
        <v>1.5461</v>
      </c>
      <c r="F2694" s="3">
        <v>301.8</v>
      </c>
      <c r="G2694" s="3">
        <v>438.61</v>
      </c>
      <c r="H2694" s="3">
        <v>198.74</v>
      </c>
      <c r="I2694" s="3">
        <v>372.96</v>
      </c>
      <c r="J2694" s="3">
        <v>121.53</v>
      </c>
      <c r="K2694" s="3">
        <v>225.91</v>
      </c>
      <c r="L2694" s="3"/>
      <c r="N2694" s="4"/>
    </row>
    <row r="2695" spans="1:14" ht="17.5" thickBot="1" x14ac:dyDescent="0.45">
      <c r="A2695" s="4">
        <v>45552</v>
      </c>
      <c r="B2695" s="3">
        <v>123.11</v>
      </c>
      <c r="C2695" s="3">
        <v>340.38</v>
      </c>
      <c r="D2695" s="3">
        <v>114.63</v>
      </c>
      <c r="E2695" s="3">
        <v>1.5457000000000001</v>
      </c>
      <c r="F2695" s="3">
        <v>302.22000000000003</v>
      </c>
      <c r="G2695" s="3">
        <v>439.13</v>
      </c>
      <c r="H2695" s="3">
        <v>198.81</v>
      </c>
      <c r="I2695" s="3">
        <v>372.92</v>
      </c>
      <c r="J2695" s="3">
        <v>121.53</v>
      </c>
      <c r="K2695" s="3">
        <v>225.98</v>
      </c>
      <c r="L2695" s="3"/>
      <c r="N2695" s="4"/>
    </row>
    <row r="2696" spans="1:14" ht="17.5" thickBot="1" x14ac:dyDescent="0.45">
      <c r="A2696" s="4">
        <v>45553</v>
      </c>
      <c r="B2696" s="3">
        <v>123.11</v>
      </c>
      <c r="C2696" s="3">
        <v>340.38</v>
      </c>
      <c r="D2696" s="3">
        <v>114.63</v>
      </c>
      <c r="E2696" s="3">
        <v>1.5457000000000001</v>
      </c>
      <c r="F2696" s="3">
        <v>302.22000000000003</v>
      </c>
      <c r="G2696" s="3">
        <v>439.13</v>
      </c>
      <c r="H2696" s="3">
        <v>198.81</v>
      </c>
      <c r="I2696" s="3">
        <v>372.92</v>
      </c>
      <c r="J2696" s="3">
        <v>121.54</v>
      </c>
      <c r="K2696" s="3">
        <v>225.98</v>
      </c>
      <c r="L2696" s="3"/>
      <c r="N2696" s="4"/>
    </row>
    <row r="2697" spans="1:14" ht="17.5" thickBot="1" x14ac:dyDescent="0.45">
      <c r="A2697" s="4">
        <v>45554</v>
      </c>
      <c r="B2697" s="3">
        <v>125.61</v>
      </c>
      <c r="C2697" s="3">
        <v>344.18</v>
      </c>
      <c r="D2697" s="3">
        <v>114.51</v>
      </c>
      <c r="E2697" s="3">
        <v>1.5553999999999999</v>
      </c>
      <c r="F2697" s="3">
        <v>305.87</v>
      </c>
      <c r="G2697" s="3">
        <v>445.42</v>
      </c>
      <c r="H2697" s="3">
        <v>199.76</v>
      </c>
      <c r="I2697" s="3">
        <v>378.15</v>
      </c>
      <c r="J2697" s="3">
        <v>121.54</v>
      </c>
      <c r="K2697" s="3">
        <v>227.17</v>
      </c>
      <c r="L2697" s="3"/>
      <c r="N2697" s="4"/>
    </row>
    <row r="2698" spans="1:14" ht="17.5" thickBot="1" x14ac:dyDescent="0.45">
      <c r="A2698" s="4">
        <v>45555</v>
      </c>
      <c r="B2698" s="3">
        <v>127.07</v>
      </c>
      <c r="C2698" s="3">
        <v>346.51</v>
      </c>
      <c r="D2698" s="3">
        <v>114.52</v>
      </c>
      <c r="E2698" s="3">
        <v>1.5521</v>
      </c>
      <c r="F2698" s="3">
        <v>306.13</v>
      </c>
      <c r="G2698" s="3">
        <v>444.06</v>
      </c>
      <c r="H2698" s="3">
        <v>199.74</v>
      </c>
      <c r="I2698" s="3">
        <v>377.31</v>
      </c>
      <c r="J2698" s="3">
        <v>121.54</v>
      </c>
      <c r="K2698" s="3">
        <v>227.15</v>
      </c>
      <c r="L2698" s="3"/>
      <c r="N2698" s="4"/>
    </row>
    <row r="2699" spans="1:14" ht="17.5" thickBot="1" x14ac:dyDescent="0.45">
      <c r="A2699" s="4">
        <v>45556</v>
      </c>
      <c r="B2699" s="3">
        <v>127.07</v>
      </c>
      <c r="C2699" s="3">
        <v>346.51</v>
      </c>
      <c r="D2699" s="3">
        <v>114.52</v>
      </c>
      <c r="E2699" s="3">
        <v>1.5521</v>
      </c>
      <c r="F2699" s="3">
        <v>306.13</v>
      </c>
      <c r="G2699" s="3">
        <v>444.06</v>
      </c>
      <c r="H2699" s="3">
        <v>199.74</v>
      </c>
      <c r="I2699" s="3">
        <v>377.31</v>
      </c>
      <c r="J2699" s="3">
        <v>121.54</v>
      </c>
      <c r="K2699" s="3">
        <v>227.15</v>
      </c>
      <c r="L2699" s="3"/>
      <c r="N2699" s="4"/>
    </row>
    <row r="2700" spans="1:14" ht="17.5" thickBot="1" x14ac:dyDescent="0.45">
      <c r="A2700" s="4">
        <v>45557</v>
      </c>
      <c r="B2700" s="3">
        <v>127.07</v>
      </c>
      <c r="C2700" s="3">
        <v>346.51</v>
      </c>
      <c r="D2700" s="3">
        <v>114.52</v>
      </c>
      <c r="E2700" s="3">
        <v>1.5521</v>
      </c>
      <c r="F2700" s="3">
        <v>306.13</v>
      </c>
      <c r="G2700" s="3">
        <v>444.06</v>
      </c>
      <c r="H2700" s="3">
        <v>199.74</v>
      </c>
      <c r="I2700" s="3">
        <v>377.31</v>
      </c>
      <c r="J2700" s="3">
        <v>121.55</v>
      </c>
      <c r="K2700" s="3">
        <v>227.15</v>
      </c>
      <c r="L2700" s="3"/>
      <c r="N2700" s="4"/>
    </row>
    <row r="2701" spans="1:14" ht="17.5" thickBot="1" x14ac:dyDescent="0.45">
      <c r="A2701" s="4">
        <v>45558</v>
      </c>
      <c r="B2701" s="3">
        <v>127.12</v>
      </c>
      <c r="C2701" s="3">
        <v>347.32</v>
      </c>
      <c r="D2701" s="3">
        <v>114.44</v>
      </c>
      <c r="E2701" s="3">
        <v>1.5544</v>
      </c>
      <c r="F2701" s="3">
        <v>306.45999999999998</v>
      </c>
      <c r="G2701" s="3">
        <v>444.94</v>
      </c>
      <c r="H2701" s="3">
        <v>199.88</v>
      </c>
      <c r="I2701" s="3">
        <v>378.13</v>
      </c>
      <c r="J2701" s="3">
        <v>121.59</v>
      </c>
      <c r="K2701" s="3">
        <v>227.29</v>
      </c>
      <c r="L2701" s="3"/>
      <c r="N2701" s="4"/>
    </row>
    <row r="2702" spans="1:14" ht="17.5" thickBot="1" x14ac:dyDescent="0.45">
      <c r="A2702" s="4">
        <v>45559</v>
      </c>
      <c r="B2702" s="3">
        <v>132.43</v>
      </c>
      <c r="C2702" s="3">
        <v>351.68</v>
      </c>
      <c r="D2702" s="3">
        <v>114.51</v>
      </c>
      <c r="E2702" s="3">
        <v>1.5599000000000001</v>
      </c>
      <c r="F2702" s="3">
        <v>311.95</v>
      </c>
      <c r="G2702" s="3">
        <v>446.01</v>
      </c>
      <c r="H2702" s="3">
        <v>201.89</v>
      </c>
      <c r="I2702" s="3">
        <v>379.03</v>
      </c>
      <c r="J2702" s="3">
        <v>121.59</v>
      </c>
      <c r="K2702" s="3">
        <v>229.74</v>
      </c>
      <c r="L2702" s="3"/>
      <c r="N2702" s="4"/>
    </row>
    <row r="2703" spans="1:14" ht="17.5" thickBot="1" x14ac:dyDescent="0.45">
      <c r="A2703" s="4">
        <v>45560</v>
      </c>
      <c r="B2703" s="3">
        <v>133.1</v>
      </c>
      <c r="C2703" s="3">
        <v>351.54</v>
      </c>
      <c r="D2703" s="3">
        <v>114.44</v>
      </c>
      <c r="E2703" s="3">
        <v>1.5575000000000001</v>
      </c>
      <c r="F2703" s="3">
        <v>311.58999999999997</v>
      </c>
      <c r="G2703" s="3">
        <v>445.18</v>
      </c>
      <c r="H2703" s="3">
        <v>201.56</v>
      </c>
      <c r="I2703" s="3">
        <v>377.95</v>
      </c>
      <c r="J2703" s="3">
        <v>121.59</v>
      </c>
      <c r="K2703" s="3">
        <v>229.41</v>
      </c>
      <c r="L2703" s="3"/>
      <c r="N2703" s="4"/>
    </row>
    <row r="2704" spans="1:14" ht="17.5" thickBot="1" x14ac:dyDescent="0.45">
      <c r="A2704" s="4">
        <v>45561</v>
      </c>
      <c r="B2704" s="3">
        <v>138.61000000000001</v>
      </c>
      <c r="C2704" s="3">
        <v>359.15</v>
      </c>
      <c r="D2704" s="3">
        <v>114.35</v>
      </c>
      <c r="E2704" s="3">
        <v>1.5641</v>
      </c>
      <c r="F2704" s="3">
        <v>318.7</v>
      </c>
      <c r="G2704" s="3">
        <v>446.99</v>
      </c>
      <c r="H2704" s="3">
        <v>203.95</v>
      </c>
      <c r="I2704" s="3">
        <v>379.39</v>
      </c>
      <c r="J2704" s="3">
        <v>121.59</v>
      </c>
      <c r="K2704" s="3">
        <v>232.3</v>
      </c>
      <c r="L2704" s="3"/>
      <c r="N2704" s="4"/>
    </row>
    <row r="2705" spans="1:14" ht="17.5" thickBot="1" x14ac:dyDescent="0.45">
      <c r="A2705" s="4">
        <v>45562</v>
      </c>
      <c r="B2705" s="3">
        <v>143.21</v>
      </c>
      <c r="C2705" s="3">
        <v>360.81</v>
      </c>
      <c r="D2705" s="3">
        <v>114.46</v>
      </c>
      <c r="E2705" s="3">
        <v>1.5669999999999999</v>
      </c>
      <c r="F2705" s="3">
        <v>322.32</v>
      </c>
      <c r="G2705" s="3">
        <v>446.36</v>
      </c>
      <c r="H2705" s="3">
        <v>205.35</v>
      </c>
      <c r="I2705" s="3">
        <v>378.56</v>
      </c>
      <c r="J2705" s="3">
        <v>121.63</v>
      </c>
      <c r="K2705" s="3">
        <v>234.14</v>
      </c>
      <c r="L2705" s="3"/>
      <c r="N2705" s="4"/>
    </row>
    <row r="2706" spans="1:14" ht="17.5" thickBot="1" x14ac:dyDescent="0.45">
      <c r="A2706" s="4">
        <v>45563</v>
      </c>
      <c r="B2706" s="3">
        <v>143.21</v>
      </c>
      <c r="C2706" s="3">
        <v>360.81</v>
      </c>
      <c r="D2706" s="3">
        <v>114.46</v>
      </c>
      <c r="E2706" s="3">
        <v>1.5669999999999999</v>
      </c>
      <c r="F2706" s="3">
        <v>322.32</v>
      </c>
      <c r="G2706" s="3">
        <v>446.36</v>
      </c>
      <c r="H2706" s="3">
        <v>205.35</v>
      </c>
      <c r="I2706" s="3">
        <v>378.56</v>
      </c>
      <c r="J2706" s="3">
        <v>121.64</v>
      </c>
      <c r="K2706" s="3">
        <v>234.14</v>
      </c>
      <c r="L2706" s="3"/>
      <c r="N2706" s="4"/>
    </row>
    <row r="2707" spans="1:14" ht="17.5" thickBot="1" x14ac:dyDescent="0.45">
      <c r="A2707" s="4">
        <v>45564</v>
      </c>
      <c r="B2707" s="3">
        <v>143.21</v>
      </c>
      <c r="C2707" s="3">
        <v>360.81</v>
      </c>
      <c r="D2707" s="3">
        <v>114.46</v>
      </c>
      <c r="E2707" s="3">
        <v>1.5669999999999999</v>
      </c>
      <c r="F2707" s="3">
        <v>322.32</v>
      </c>
      <c r="G2707" s="3">
        <v>446.36</v>
      </c>
      <c r="H2707" s="3">
        <v>205.35</v>
      </c>
      <c r="I2707" s="3">
        <v>378.56</v>
      </c>
      <c r="J2707" s="3">
        <v>121.64</v>
      </c>
      <c r="K2707" s="3">
        <v>234.14</v>
      </c>
      <c r="L2707" s="3"/>
      <c r="N2707" s="4"/>
    </row>
    <row r="2708" spans="1:14" ht="17.5" thickBot="1" x14ac:dyDescent="0.45">
      <c r="A2708" s="4">
        <v>45565</v>
      </c>
      <c r="B2708" s="3">
        <v>146.43</v>
      </c>
      <c r="C2708" s="3">
        <v>360.3</v>
      </c>
      <c r="D2708" s="3">
        <v>114.39</v>
      </c>
      <c r="E2708" s="3">
        <v>1.5644</v>
      </c>
      <c r="F2708" s="3">
        <v>323.99</v>
      </c>
      <c r="G2708" s="3">
        <v>447.73</v>
      </c>
      <c r="H2708" s="3">
        <v>205.76</v>
      </c>
      <c r="I2708" s="3">
        <v>379.82</v>
      </c>
      <c r="J2708" s="3">
        <v>121.64</v>
      </c>
      <c r="K2708" s="3">
        <v>234.76</v>
      </c>
      <c r="L2708" s="3"/>
      <c r="N2708" s="4"/>
    </row>
    <row r="2709" spans="1:14" ht="17.5" thickBot="1" x14ac:dyDescent="0.45">
      <c r="A2709" s="4">
        <v>45566</v>
      </c>
      <c r="B2709" s="3">
        <v>146.43</v>
      </c>
      <c r="C2709" s="3">
        <v>360.3</v>
      </c>
      <c r="D2709" s="3">
        <v>114.39</v>
      </c>
      <c r="E2709" s="3">
        <v>1.5644</v>
      </c>
      <c r="F2709" s="3">
        <v>323.99</v>
      </c>
      <c r="G2709" s="3">
        <v>447.73</v>
      </c>
      <c r="H2709" s="3">
        <v>205.76</v>
      </c>
      <c r="I2709" s="3">
        <v>379.82</v>
      </c>
      <c r="J2709" s="3">
        <v>121.64</v>
      </c>
      <c r="K2709" s="3">
        <v>234.76</v>
      </c>
      <c r="L2709" s="3"/>
      <c r="N2709" s="4"/>
    </row>
    <row r="2710" spans="1:14" ht="17.5" thickBot="1" x14ac:dyDescent="0.45">
      <c r="A2710" s="4">
        <v>45567</v>
      </c>
      <c r="B2710" s="3">
        <v>155.15</v>
      </c>
      <c r="C2710" s="3">
        <v>365.76</v>
      </c>
      <c r="D2710" s="3">
        <v>114.4</v>
      </c>
      <c r="E2710" s="3">
        <v>1.5570999999999999</v>
      </c>
      <c r="F2710" s="3">
        <v>329.29</v>
      </c>
      <c r="G2710" s="3">
        <v>443.89</v>
      </c>
      <c r="H2710" s="3">
        <v>207.33</v>
      </c>
      <c r="I2710" s="3">
        <v>376.38</v>
      </c>
      <c r="J2710" s="3">
        <v>121.65</v>
      </c>
      <c r="K2710" s="3">
        <v>236.77</v>
      </c>
      <c r="L2710" s="3"/>
      <c r="N2710" s="4"/>
    </row>
    <row r="2711" spans="1:14" ht="17.5" thickBot="1" x14ac:dyDescent="0.45">
      <c r="A2711" s="4">
        <v>45568</v>
      </c>
      <c r="B2711" s="3">
        <v>153.07</v>
      </c>
      <c r="C2711" s="3">
        <v>360.56</v>
      </c>
      <c r="D2711" s="3">
        <v>114.22</v>
      </c>
      <c r="E2711" s="3">
        <v>1.5526</v>
      </c>
      <c r="F2711" s="3">
        <v>326.36</v>
      </c>
      <c r="G2711" s="3">
        <v>443.24</v>
      </c>
      <c r="H2711" s="3">
        <v>206.11</v>
      </c>
      <c r="I2711" s="3">
        <v>375.77</v>
      </c>
      <c r="J2711" s="3">
        <v>121.65</v>
      </c>
      <c r="K2711" s="3">
        <v>235.29</v>
      </c>
      <c r="L2711" s="3"/>
      <c r="N2711" s="4"/>
    </row>
    <row r="2712" spans="1:14" ht="17.5" thickBot="1" x14ac:dyDescent="0.45">
      <c r="A2712" s="4">
        <v>45569</v>
      </c>
      <c r="B2712" s="3">
        <v>157.30000000000001</v>
      </c>
      <c r="C2712" s="3">
        <v>362.19</v>
      </c>
      <c r="D2712" s="3">
        <v>113.83</v>
      </c>
      <c r="E2712" s="3">
        <v>1.5550999999999999</v>
      </c>
      <c r="F2712" s="3">
        <v>329.65</v>
      </c>
      <c r="G2712" s="3">
        <v>447.43</v>
      </c>
      <c r="H2712" s="3">
        <v>206.74</v>
      </c>
      <c r="I2712" s="3">
        <v>379.1</v>
      </c>
      <c r="J2712" s="3">
        <v>121.7</v>
      </c>
      <c r="K2712" s="3">
        <v>236.09</v>
      </c>
      <c r="L2712" s="3"/>
      <c r="N2712" s="4"/>
    </row>
    <row r="2713" spans="1:14" ht="17.5" thickBot="1" x14ac:dyDescent="0.45">
      <c r="A2713" s="4">
        <v>45570</v>
      </c>
      <c r="B2713" s="3">
        <v>157.30000000000001</v>
      </c>
      <c r="C2713" s="3">
        <v>362.19</v>
      </c>
      <c r="D2713" s="3">
        <v>113.83</v>
      </c>
      <c r="E2713" s="3">
        <v>1.5550999999999999</v>
      </c>
      <c r="F2713" s="3">
        <v>329.65</v>
      </c>
      <c r="G2713" s="3">
        <v>447.43</v>
      </c>
      <c r="H2713" s="3">
        <v>206.74</v>
      </c>
      <c r="I2713" s="3">
        <v>379.1</v>
      </c>
      <c r="J2713" s="3">
        <v>121.71</v>
      </c>
      <c r="K2713" s="3">
        <v>236.09</v>
      </c>
      <c r="L2713" s="3"/>
      <c r="N2713" s="4"/>
    </row>
    <row r="2714" spans="1:14" ht="17.5" thickBot="1" x14ac:dyDescent="0.45">
      <c r="A2714" s="4">
        <v>45571</v>
      </c>
      <c r="B2714" s="3">
        <v>157.30000000000001</v>
      </c>
      <c r="C2714" s="3">
        <v>362.19</v>
      </c>
      <c r="D2714" s="3">
        <v>113.83</v>
      </c>
      <c r="E2714" s="3">
        <v>1.5550999999999999</v>
      </c>
      <c r="F2714" s="3">
        <v>329.65</v>
      </c>
      <c r="G2714" s="3">
        <v>447.43</v>
      </c>
      <c r="H2714" s="3">
        <v>206.74</v>
      </c>
      <c r="I2714" s="3">
        <v>379.1</v>
      </c>
      <c r="J2714" s="3">
        <v>121.71</v>
      </c>
      <c r="K2714" s="3">
        <v>236.09</v>
      </c>
      <c r="L2714" s="3"/>
      <c r="N2714" s="4"/>
    </row>
    <row r="2715" spans="1:14" ht="17.5" thickBot="1" x14ac:dyDescent="0.45">
      <c r="A2715" s="4">
        <v>45572</v>
      </c>
      <c r="B2715" s="3">
        <v>159.58000000000001</v>
      </c>
      <c r="C2715" s="3">
        <v>364.32</v>
      </c>
      <c r="D2715" s="3">
        <v>113.47</v>
      </c>
      <c r="E2715" s="3">
        <v>1.5496000000000001</v>
      </c>
      <c r="F2715" s="3">
        <v>331.62</v>
      </c>
      <c r="G2715" s="3">
        <v>443.23</v>
      </c>
      <c r="H2715" s="3">
        <v>207.19</v>
      </c>
      <c r="I2715" s="3">
        <v>375.65</v>
      </c>
      <c r="J2715" s="3">
        <v>121.71</v>
      </c>
      <c r="K2715" s="3">
        <v>236.56</v>
      </c>
      <c r="L2715" s="3"/>
      <c r="N2715" s="4"/>
    </row>
    <row r="2716" spans="1:14" ht="17.5" thickBot="1" x14ac:dyDescent="0.45">
      <c r="A2716" s="4">
        <v>45573</v>
      </c>
      <c r="B2716" s="3">
        <v>145.22999999999999</v>
      </c>
      <c r="C2716" s="3">
        <v>355.27</v>
      </c>
      <c r="D2716" s="3">
        <v>113.55</v>
      </c>
      <c r="E2716" s="3">
        <v>1.5521</v>
      </c>
      <c r="F2716" s="3">
        <v>321.16000000000003</v>
      </c>
      <c r="G2716" s="3">
        <v>447.21</v>
      </c>
      <c r="H2716" s="3">
        <v>203.66</v>
      </c>
      <c r="I2716" s="3">
        <v>379.31</v>
      </c>
      <c r="J2716" s="3">
        <v>121.71</v>
      </c>
      <c r="K2716" s="3">
        <v>232.29</v>
      </c>
      <c r="L2716" s="3"/>
      <c r="N2716" s="4"/>
    </row>
    <row r="2717" spans="1:14" ht="17.5" thickBot="1" x14ac:dyDescent="0.45">
      <c r="A2717" s="4">
        <v>45574</v>
      </c>
      <c r="B2717" s="3">
        <v>143.11000000000001</v>
      </c>
      <c r="C2717" s="3">
        <v>353.61</v>
      </c>
      <c r="D2717" s="3">
        <v>113.46</v>
      </c>
      <c r="E2717" s="3">
        <v>1.5552999999999999</v>
      </c>
      <c r="F2717" s="3">
        <v>318.98</v>
      </c>
      <c r="G2717" s="3">
        <v>450.28</v>
      </c>
      <c r="H2717" s="3">
        <v>202.72</v>
      </c>
      <c r="I2717" s="3">
        <v>381.97</v>
      </c>
      <c r="J2717" s="3">
        <v>121.71</v>
      </c>
      <c r="K2717" s="3">
        <v>231.17</v>
      </c>
      <c r="L2717" s="3"/>
      <c r="N2717" s="4"/>
    </row>
    <row r="2718" spans="1:14" ht="17.5" thickBot="1" x14ac:dyDescent="0.45">
      <c r="A2718" s="4">
        <v>45575</v>
      </c>
      <c r="B2718" s="3">
        <v>147.41999999999999</v>
      </c>
      <c r="C2718" s="3">
        <v>356.61</v>
      </c>
      <c r="D2718" s="3">
        <v>113.34</v>
      </c>
      <c r="E2718" s="3">
        <v>1.5543</v>
      </c>
      <c r="F2718" s="3">
        <v>321.67</v>
      </c>
      <c r="G2718" s="3">
        <v>449.55</v>
      </c>
      <c r="H2718" s="3">
        <v>203.53</v>
      </c>
      <c r="I2718" s="3">
        <v>381.23</v>
      </c>
      <c r="J2718" s="3">
        <v>121.76</v>
      </c>
      <c r="K2718" s="3">
        <v>232.13</v>
      </c>
      <c r="L2718" s="3"/>
      <c r="N2718" s="4"/>
    </row>
    <row r="2719" spans="1:14" ht="17.5" thickBot="1" x14ac:dyDescent="0.45">
      <c r="A2719" s="4">
        <v>45576</v>
      </c>
      <c r="B2719" s="3">
        <v>147.41999999999999</v>
      </c>
      <c r="C2719" s="3">
        <v>356.61</v>
      </c>
      <c r="D2719" s="3">
        <v>113.34</v>
      </c>
      <c r="E2719" s="3">
        <v>1.5543</v>
      </c>
      <c r="F2719" s="3">
        <v>321.67</v>
      </c>
      <c r="G2719" s="3">
        <v>449.55</v>
      </c>
      <c r="H2719" s="3">
        <v>203.53</v>
      </c>
      <c r="I2719" s="3">
        <v>381.23</v>
      </c>
      <c r="J2719" s="3">
        <v>121.76</v>
      </c>
      <c r="K2719" s="3">
        <v>232.13</v>
      </c>
      <c r="L2719" s="3"/>
      <c r="N2719" s="4"/>
    </row>
    <row r="2720" spans="1:14" ht="17.5" thickBot="1" x14ac:dyDescent="0.45">
      <c r="A2720" s="4">
        <v>45577</v>
      </c>
      <c r="B2720" s="3">
        <v>147.41999999999999</v>
      </c>
      <c r="C2720" s="3">
        <v>356.61</v>
      </c>
      <c r="D2720" s="3">
        <v>113.34</v>
      </c>
      <c r="E2720" s="3">
        <v>1.5543</v>
      </c>
      <c r="F2720" s="3">
        <v>321.67</v>
      </c>
      <c r="G2720" s="3">
        <v>449.55</v>
      </c>
      <c r="H2720" s="3">
        <v>203.53</v>
      </c>
      <c r="I2720" s="3">
        <v>381.23</v>
      </c>
      <c r="J2720" s="3">
        <v>121.77</v>
      </c>
      <c r="K2720" s="3">
        <v>232.13</v>
      </c>
      <c r="L2720" s="3"/>
      <c r="N2720" s="4"/>
    </row>
    <row r="2721" spans="1:14" ht="17.5" thickBot="1" x14ac:dyDescent="0.45">
      <c r="A2721" s="4">
        <v>45578</v>
      </c>
      <c r="B2721" s="3">
        <v>147.41999999999999</v>
      </c>
      <c r="C2721" s="3">
        <v>356.61</v>
      </c>
      <c r="D2721" s="3">
        <v>113.34</v>
      </c>
      <c r="E2721" s="3">
        <v>1.5543</v>
      </c>
      <c r="F2721" s="3">
        <v>321.67</v>
      </c>
      <c r="G2721" s="3">
        <v>449.55</v>
      </c>
      <c r="H2721" s="3">
        <v>203.53</v>
      </c>
      <c r="I2721" s="3">
        <v>381.23</v>
      </c>
      <c r="J2721" s="3">
        <v>121.77</v>
      </c>
      <c r="K2721" s="3">
        <v>232.13</v>
      </c>
      <c r="L2721" s="3"/>
      <c r="N2721" s="4"/>
    </row>
    <row r="2722" spans="1:14" ht="17.5" thickBot="1" x14ac:dyDescent="0.45">
      <c r="A2722" s="4">
        <v>45579</v>
      </c>
      <c r="B2722" s="3">
        <v>146.30000000000001</v>
      </c>
      <c r="C2722" s="3">
        <v>357.77</v>
      </c>
      <c r="D2722" s="3">
        <v>113.28</v>
      </c>
      <c r="E2722" s="3">
        <v>1.5626</v>
      </c>
      <c r="F2722" s="3">
        <v>322.12</v>
      </c>
      <c r="G2722" s="3">
        <v>455.41</v>
      </c>
      <c r="H2722" s="3">
        <v>203.56</v>
      </c>
      <c r="I2722" s="3">
        <v>386.53</v>
      </c>
      <c r="J2722" s="3">
        <v>121.77</v>
      </c>
      <c r="K2722" s="3">
        <v>232.13</v>
      </c>
      <c r="L2722" s="3"/>
      <c r="N2722" s="4"/>
    </row>
    <row r="2723" spans="1:14" ht="17.5" thickBot="1" x14ac:dyDescent="0.45">
      <c r="A2723" s="4">
        <v>45580</v>
      </c>
      <c r="B2723" s="3">
        <v>141.31</v>
      </c>
      <c r="C2723" s="3">
        <v>354.82</v>
      </c>
      <c r="D2723" s="3">
        <v>113.58</v>
      </c>
      <c r="E2723" s="3">
        <v>1.5592999999999999</v>
      </c>
      <c r="F2723" s="3">
        <v>317.60000000000002</v>
      </c>
      <c r="G2723" s="3">
        <v>452.53</v>
      </c>
      <c r="H2723" s="3">
        <v>202.36</v>
      </c>
      <c r="I2723" s="3">
        <v>383.51</v>
      </c>
      <c r="J2723" s="3">
        <v>121.77</v>
      </c>
      <c r="K2723" s="3">
        <v>230.64</v>
      </c>
      <c r="L2723" s="3"/>
      <c r="N2723" s="4"/>
    </row>
    <row r="2724" spans="1:14" ht="17.5" thickBot="1" x14ac:dyDescent="0.45">
      <c r="A2724" s="4">
        <v>45581</v>
      </c>
      <c r="B2724" s="3">
        <v>140.88</v>
      </c>
      <c r="C2724" s="3">
        <v>352.98</v>
      </c>
      <c r="D2724" s="3">
        <v>113.81</v>
      </c>
      <c r="E2724" s="3">
        <v>1.5615000000000001</v>
      </c>
      <c r="F2724" s="3">
        <v>317.08</v>
      </c>
      <c r="G2724" s="3">
        <v>454.66</v>
      </c>
      <c r="H2724" s="3">
        <v>202.34</v>
      </c>
      <c r="I2724" s="3">
        <v>385.23</v>
      </c>
      <c r="J2724" s="3">
        <v>121.82</v>
      </c>
      <c r="K2724" s="3">
        <v>230.63</v>
      </c>
      <c r="L2724" s="3"/>
      <c r="N2724" s="4"/>
    </row>
    <row r="2725" spans="1:14" ht="17.5" thickBot="1" x14ac:dyDescent="0.45">
      <c r="A2725" s="4">
        <v>45582</v>
      </c>
      <c r="B2725" s="3">
        <v>139.34</v>
      </c>
      <c r="C2725" s="3">
        <v>351.88</v>
      </c>
      <c r="D2725" s="3">
        <v>113.62</v>
      </c>
      <c r="E2725" s="3">
        <v>1.5603</v>
      </c>
      <c r="F2725" s="3">
        <v>315.77</v>
      </c>
      <c r="G2725" s="3">
        <v>455.02</v>
      </c>
      <c r="H2725" s="3">
        <v>201.56</v>
      </c>
      <c r="I2725" s="3">
        <v>385.42</v>
      </c>
      <c r="J2725" s="3">
        <v>121.82</v>
      </c>
      <c r="K2725" s="3">
        <v>229.7</v>
      </c>
      <c r="L2725" s="3"/>
      <c r="N2725" s="4"/>
    </row>
    <row r="2726" spans="1:14" ht="17.5" thickBot="1" x14ac:dyDescent="0.45">
      <c r="A2726" s="4">
        <v>45583</v>
      </c>
      <c r="B2726" s="3">
        <v>144.29</v>
      </c>
      <c r="C2726" s="3">
        <v>356.15</v>
      </c>
      <c r="D2726" s="3">
        <v>113.5</v>
      </c>
      <c r="E2726" s="3">
        <v>1.5654999999999999</v>
      </c>
      <c r="F2726" s="3">
        <v>320.26</v>
      </c>
      <c r="G2726" s="3">
        <v>456.19</v>
      </c>
      <c r="H2726" s="3">
        <v>203.25</v>
      </c>
      <c r="I2726" s="3">
        <v>386.71</v>
      </c>
      <c r="J2726" s="3">
        <v>121.82</v>
      </c>
      <c r="K2726" s="3">
        <v>231.69</v>
      </c>
      <c r="L2726" s="3"/>
      <c r="N2726" s="4"/>
    </row>
    <row r="2727" spans="1:14" ht="17.5" thickBot="1" x14ac:dyDescent="0.45">
      <c r="A2727" s="4">
        <v>45584</v>
      </c>
      <c r="B2727" s="3">
        <v>144.29</v>
      </c>
      <c r="C2727" s="3">
        <v>356.15</v>
      </c>
      <c r="D2727" s="3">
        <v>113.5</v>
      </c>
      <c r="E2727" s="3">
        <v>1.5654999999999999</v>
      </c>
      <c r="F2727" s="3">
        <v>320.26</v>
      </c>
      <c r="G2727" s="3">
        <v>456.19</v>
      </c>
      <c r="H2727" s="3">
        <v>203.25</v>
      </c>
      <c r="I2727" s="3">
        <v>386.71</v>
      </c>
      <c r="J2727" s="3">
        <v>121.82</v>
      </c>
      <c r="K2727" s="3">
        <v>231.69</v>
      </c>
      <c r="L2727" s="3"/>
      <c r="N2727" s="4"/>
    </row>
    <row r="2728" spans="1:14" ht="17.5" thickBot="1" x14ac:dyDescent="0.45">
      <c r="A2728" s="4">
        <v>45585</v>
      </c>
      <c r="B2728" s="3">
        <v>144.29</v>
      </c>
      <c r="C2728" s="3">
        <v>356.15</v>
      </c>
      <c r="D2728" s="3">
        <v>113.5</v>
      </c>
      <c r="E2728" s="3">
        <v>1.5654999999999999</v>
      </c>
      <c r="F2728" s="3">
        <v>320.26</v>
      </c>
      <c r="G2728" s="3">
        <v>456.19</v>
      </c>
      <c r="H2728" s="3">
        <v>203.25</v>
      </c>
      <c r="I2728" s="3">
        <v>386.71</v>
      </c>
      <c r="J2728" s="3">
        <v>121.83</v>
      </c>
      <c r="K2728" s="3">
        <v>231.69</v>
      </c>
      <c r="L2728" s="3"/>
      <c r="N2728" s="4"/>
    </row>
    <row r="2729" spans="1:14" ht="17.5" thickBot="1" x14ac:dyDescent="0.45">
      <c r="A2729" s="4">
        <v>45586</v>
      </c>
      <c r="B2729" s="3">
        <v>142.27000000000001</v>
      </c>
      <c r="C2729" s="3">
        <v>354.64</v>
      </c>
      <c r="D2729" s="3">
        <v>113.32</v>
      </c>
      <c r="E2729" s="3">
        <v>1.5597000000000001</v>
      </c>
      <c r="F2729" s="3">
        <v>318.02</v>
      </c>
      <c r="G2729" s="3">
        <v>455.34</v>
      </c>
      <c r="H2729" s="3">
        <v>201.99</v>
      </c>
      <c r="I2729" s="3">
        <v>386.18</v>
      </c>
      <c r="J2729" s="3">
        <v>121.83</v>
      </c>
      <c r="K2729" s="3">
        <v>230.21</v>
      </c>
      <c r="L2729" s="3"/>
      <c r="N2729" s="4"/>
    </row>
    <row r="2730" spans="1:14" ht="17.5" thickBot="1" x14ac:dyDescent="0.45">
      <c r="A2730" s="4">
        <v>45587</v>
      </c>
      <c r="B2730" s="3">
        <v>142.37</v>
      </c>
      <c r="C2730" s="3">
        <v>351</v>
      </c>
      <c r="D2730" s="3">
        <v>113.02</v>
      </c>
      <c r="E2730" s="3">
        <v>1.5561</v>
      </c>
      <c r="F2730" s="3">
        <v>316.76</v>
      </c>
      <c r="G2730" s="3">
        <v>455.13</v>
      </c>
      <c r="H2730" s="3">
        <v>201.38</v>
      </c>
      <c r="I2730" s="3">
        <v>386</v>
      </c>
      <c r="J2730" s="3">
        <v>121.83</v>
      </c>
      <c r="K2730" s="3">
        <v>229.51</v>
      </c>
      <c r="L2730" s="3"/>
      <c r="N2730" s="4"/>
    </row>
    <row r="2731" spans="1:14" ht="17.5" thickBot="1" x14ac:dyDescent="0.45">
      <c r="A2731" s="4">
        <v>45588</v>
      </c>
      <c r="B2731" s="3">
        <v>144.12</v>
      </c>
      <c r="C2731" s="3">
        <v>350.91</v>
      </c>
      <c r="D2731" s="3">
        <v>112.84</v>
      </c>
      <c r="E2731" s="3">
        <v>1.5477000000000001</v>
      </c>
      <c r="F2731" s="3">
        <v>316.14999999999998</v>
      </c>
      <c r="G2731" s="3">
        <v>450.78</v>
      </c>
      <c r="H2731" s="3">
        <v>200.99</v>
      </c>
      <c r="I2731" s="3">
        <v>382.35</v>
      </c>
      <c r="J2731" s="3">
        <v>121.83</v>
      </c>
      <c r="K2731" s="3">
        <v>229.03</v>
      </c>
      <c r="L2731" s="3"/>
      <c r="N2731" s="4"/>
    </row>
    <row r="2732" spans="1:14" ht="17.5" thickBot="1" x14ac:dyDescent="0.45">
      <c r="A2732" s="4">
        <v>45589</v>
      </c>
      <c r="B2732" s="3">
        <v>142.38</v>
      </c>
      <c r="C2732" s="3">
        <v>348.9</v>
      </c>
      <c r="D2732" s="3">
        <v>112.96</v>
      </c>
      <c r="E2732" s="3">
        <v>1.5502</v>
      </c>
      <c r="F2732" s="3">
        <v>315</v>
      </c>
      <c r="G2732" s="3">
        <v>451.85</v>
      </c>
      <c r="H2732" s="3">
        <v>200.84</v>
      </c>
      <c r="I2732" s="3">
        <v>383.13</v>
      </c>
      <c r="J2732" s="3">
        <v>121.86</v>
      </c>
      <c r="K2732" s="3">
        <v>228.8</v>
      </c>
      <c r="L2732" s="3"/>
      <c r="N2732" s="4"/>
    </row>
    <row r="2733" spans="1:14" ht="17.5" thickBot="1" x14ac:dyDescent="0.45">
      <c r="A2733" s="4">
        <v>45590</v>
      </c>
      <c r="B2733" s="3">
        <v>143.18</v>
      </c>
      <c r="C2733" s="3">
        <v>349.44</v>
      </c>
      <c r="D2733" s="3">
        <v>112.96</v>
      </c>
      <c r="E2733" s="3">
        <v>1.5492999999999999</v>
      </c>
      <c r="F2733" s="3">
        <v>315.41000000000003</v>
      </c>
      <c r="G2733" s="3">
        <v>451.55</v>
      </c>
      <c r="H2733" s="3">
        <v>200.93</v>
      </c>
      <c r="I2733" s="3">
        <v>383.05</v>
      </c>
      <c r="J2733" s="3">
        <v>121.87</v>
      </c>
      <c r="K2733" s="3">
        <v>228.9</v>
      </c>
      <c r="L2733" s="3"/>
      <c r="N2733" s="4"/>
    </row>
    <row r="2734" spans="1:14" ht="17.5" thickBot="1" x14ac:dyDescent="0.45">
      <c r="A2734" s="4">
        <v>45591</v>
      </c>
      <c r="B2734" s="3">
        <v>143.18</v>
      </c>
      <c r="C2734" s="3">
        <v>349.44</v>
      </c>
      <c r="D2734" s="3">
        <v>112.96</v>
      </c>
      <c r="E2734" s="3">
        <v>1.5492999999999999</v>
      </c>
      <c r="F2734" s="3">
        <v>315.41000000000003</v>
      </c>
      <c r="G2734" s="3">
        <v>451.55</v>
      </c>
      <c r="H2734" s="3">
        <v>200.93</v>
      </c>
      <c r="I2734" s="3">
        <v>383.05</v>
      </c>
      <c r="J2734" s="3">
        <v>121.88</v>
      </c>
      <c r="K2734" s="3">
        <v>228.9</v>
      </c>
      <c r="L2734" s="3"/>
      <c r="N2734" s="4"/>
    </row>
    <row r="2735" spans="1:14" ht="17.5" thickBot="1" x14ac:dyDescent="0.45">
      <c r="A2735" s="4">
        <v>45592</v>
      </c>
      <c r="B2735" s="3">
        <v>143.18</v>
      </c>
      <c r="C2735" s="3">
        <v>349.44</v>
      </c>
      <c r="D2735" s="3">
        <v>112.96</v>
      </c>
      <c r="E2735" s="3">
        <v>1.5492999999999999</v>
      </c>
      <c r="F2735" s="3">
        <v>315.41000000000003</v>
      </c>
      <c r="G2735" s="3">
        <v>451.55</v>
      </c>
      <c r="H2735" s="3">
        <v>200.93</v>
      </c>
      <c r="I2735" s="3">
        <v>383.05</v>
      </c>
      <c r="J2735" s="3">
        <v>121.88</v>
      </c>
      <c r="K2735" s="3">
        <v>228.9</v>
      </c>
      <c r="L2735" s="3"/>
      <c r="N2735" s="4"/>
    </row>
    <row r="2736" spans="1:14" ht="17.5" thickBot="1" x14ac:dyDescent="0.45">
      <c r="A2736" s="4">
        <v>45593</v>
      </c>
      <c r="B2736" s="3">
        <v>143.09</v>
      </c>
      <c r="C2736" s="3">
        <v>348.81</v>
      </c>
      <c r="D2736" s="3">
        <v>112.76</v>
      </c>
      <c r="E2736" s="3">
        <v>1.5513999999999999</v>
      </c>
      <c r="F2736" s="3">
        <v>315.83999999999997</v>
      </c>
      <c r="G2736" s="3">
        <v>452.79</v>
      </c>
      <c r="H2736" s="3">
        <v>200.93</v>
      </c>
      <c r="I2736" s="3">
        <v>384.2</v>
      </c>
      <c r="J2736" s="3">
        <v>121.9</v>
      </c>
      <c r="K2736" s="3">
        <v>228.92</v>
      </c>
      <c r="L2736" s="3"/>
      <c r="N2736" s="4"/>
    </row>
    <row r="2737" spans="1:14" ht="17.5" thickBot="1" x14ac:dyDescent="0.45">
      <c r="A2737" s="4">
        <v>45594</v>
      </c>
      <c r="B2737" s="3">
        <v>143.68</v>
      </c>
      <c r="C2737" s="3">
        <v>349.4</v>
      </c>
      <c r="D2737" s="3">
        <v>112.78</v>
      </c>
      <c r="E2737" s="3">
        <v>1.5510999999999999</v>
      </c>
      <c r="F2737" s="3">
        <v>315.94</v>
      </c>
      <c r="G2737" s="3">
        <v>453.69</v>
      </c>
      <c r="H2737" s="3">
        <v>200.9</v>
      </c>
      <c r="I2737" s="3">
        <v>384.78</v>
      </c>
      <c r="J2737" s="3">
        <v>121.91</v>
      </c>
      <c r="K2737" s="3">
        <v>228.88</v>
      </c>
      <c r="L2737" s="3"/>
      <c r="N2737" s="4"/>
    </row>
    <row r="2738" spans="1:14" ht="17.5" thickBot="1" x14ac:dyDescent="0.45">
      <c r="A2738" s="4">
        <v>45595</v>
      </c>
      <c r="B2738" s="3">
        <v>141.41999999999999</v>
      </c>
      <c r="C2738" s="3">
        <v>347.51</v>
      </c>
      <c r="D2738" s="3">
        <v>112.89</v>
      </c>
      <c r="E2738" s="3">
        <v>1.5476000000000001</v>
      </c>
      <c r="F2738" s="3">
        <v>314.43</v>
      </c>
      <c r="G2738" s="3">
        <v>452.43</v>
      </c>
      <c r="H2738" s="3">
        <v>200.43</v>
      </c>
      <c r="I2738" s="3">
        <v>383.53</v>
      </c>
      <c r="J2738" s="3">
        <v>121.92</v>
      </c>
      <c r="K2738" s="3">
        <v>228.29</v>
      </c>
      <c r="L2738" s="3"/>
      <c r="N2738" s="4"/>
    </row>
    <row r="2739" spans="1:14" ht="17.5" thickBot="1" x14ac:dyDescent="0.45">
      <c r="A2739" s="4">
        <v>45596</v>
      </c>
      <c r="B2739" s="3">
        <v>141.47</v>
      </c>
      <c r="C2739" s="3">
        <v>346.29</v>
      </c>
      <c r="D2739" s="3">
        <v>112.77</v>
      </c>
      <c r="E2739" s="3">
        <v>1.5344</v>
      </c>
      <c r="F2739" s="3">
        <v>312.41000000000003</v>
      </c>
      <c r="G2739" s="3">
        <v>444.97</v>
      </c>
      <c r="H2739" s="3">
        <v>199.65</v>
      </c>
      <c r="I2739" s="3">
        <v>376.11</v>
      </c>
      <c r="J2739" s="3">
        <v>121.93</v>
      </c>
      <c r="K2739" s="3">
        <v>227.38</v>
      </c>
      <c r="L2739" s="3"/>
      <c r="N2739" s="4"/>
    </row>
    <row r="2740" spans="1:14" ht="17.5" thickBot="1" x14ac:dyDescent="0.45">
      <c r="A2740" s="4">
        <v>45597</v>
      </c>
      <c r="B2740" s="3">
        <v>142.47999999999999</v>
      </c>
      <c r="C2740" s="3">
        <v>345.74</v>
      </c>
      <c r="D2740" s="3">
        <v>112.57</v>
      </c>
      <c r="E2740" s="3">
        <v>1.5359</v>
      </c>
      <c r="F2740" s="3">
        <v>313.11</v>
      </c>
      <c r="G2740" s="3">
        <v>447.27</v>
      </c>
      <c r="H2740" s="3">
        <v>199.68</v>
      </c>
      <c r="I2740" s="3">
        <v>377.87</v>
      </c>
      <c r="J2740" s="3">
        <v>121.94</v>
      </c>
      <c r="K2740" s="3">
        <v>227.39</v>
      </c>
      <c r="L2740" s="3"/>
      <c r="N2740" s="4"/>
    </row>
    <row r="2741" spans="1:14" ht="17.5" thickBot="1" x14ac:dyDescent="0.45">
      <c r="A2741" s="4">
        <v>45598</v>
      </c>
      <c r="B2741" s="3">
        <v>142.47999999999999</v>
      </c>
      <c r="C2741" s="3">
        <v>345.74</v>
      </c>
      <c r="D2741" s="3">
        <v>112.57</v>
      </c>
      <c r="E2741" s="3">
        <v>1.5359</v>
      </c>
      <c r="F2741" s="3">
        <v>313.11</v>
      </c>
      <c r="G2741" s="3">
        <v>447.27</v>
      </c>
      <c r="H2741" s="3">
        <v>199.68</v>
      </c>
      <c r="I2741" s="3">
        <v>377.87</v>
      </c>
      <c r="J2741" s="3">
        <v>121.94</v>
      </c>
      <c r="K2741" s="3">
        <v>227.39</v>
      </c>
      <c r="L2741" s="3"/>
      <c r="N2741" s="4"/>
    </row>
    <row r="2742" spans="1:14" ht="17.5" thickBot="1" x14ac:dyDescent="0.45">
      <c r="A2742" s="4">
        <v>45599</v>
      </c>
      <c r="B2742" s="3">
        <v>142.47999999999999</v>
      </c>
      <c r="C2742" s="3">
        <v>345.74</v>
      </c>
      <c r="D2742" s="3">
        <v>112.57</v>
      </c>
      <c r="E2742" s="3">
        <v>1.5359</v>
      </c>
      <c r="F2742" s="3">
        <v>313.11</v>
      </c>
      <c r="G2742" s="3">
        <v>447.27</v>
      </c>
      <c r="H2742" s="3">
        <v>199.68</v>
      </c>
      <c r="I2742" s="3">
        <v>377.87</v>
      </c>
      <c r="J2742" s="3">
        <v>121.94</v>
      </c>
      <c r="K2742" s="3">
        <v>227.39</v>
      </c>
      <c r="L2742" s="3"/>
      <c r="N2742" s="4"/>
    </row>
    <row r="2743" spans="1:14" ht="17.5" thickBot="1" x14ac:dyDescent="0.45">
      <c r="A2743" s="4">
        <v>45600</v>
      </c>
      <c r="B2743" s="3">
        <v>142.86000000000001</v>
      </c>
      <c r="C2743" s="3">
        <v>347.19</v>
      </c>
      <c r="D2743" s="3">
        <v>112.74</v>
      </c>
      <c r="E2743" s="3">
        <v>1.5367999999999999</v>
      </c>
      <c r="F2743" s="3">
        <v>314.06</v>
      </c>
      <c r="G2743" s="3">
        <v>446.01</v>
      </c>
      <c r="H2743" s="3">
        <v>200.36</v>
      </c>
      <c r="I2743" s="3">
        <v>376.97</v>
      </c>
      <c r="J2743" s="3">
        <v>121.96</v>
      </c>
      <c r="K2743" s="3">
        <v>228.17</v>
      </c>
      <c r="L2743" s="3"/>
      <c r="N2743" s="4"/>
    </row>
    <row r="2744" spans="1:14" ht="17.5" thickBot="1" x14ac:dyDescent="0.45">
      <c r="A2744" s="4">
        <v>45601</v>
      </c>
      <c r="B2744" s="3">
        <v>145.87</v>
      </c>
      <c r="C2744" s="3">
        <v>350.37</v>
      </c>
      <c r="D2744" s="3">
        <v>112.77</v>
      </c>
      <c r="E2744" s="3">
        <v>1.5456000000000001</v>
      </c>
      <c r="F2744" s="3">
        <v>317.69</v>
      </c>
      <c r="G2744" s="3">
        <v>450.9</v>
      </c>
      <c r="H2744" s="3">
        <v>201.67</v>
      </c>
      <c r="I2744" s="3">
        <v>381.5</v>
      </c>
      <c r="J2744" s="3">
        <v>121.97</v>
      </c>
      <c r="K2744" s="3">
        <v>229.71</v>
      </c>
      <c r="L2744" s="3"/>
      <c r="N2744" s="4"/>
    </row>
    <row r="2745" spans="1:14" ht="17.5" thickBot="1" x14ac:dyDescent="0.45">
      <c r="A2745" s="4">
        <v>45602</v>
      </c>
      <c r="B2745" s="3">
        <v>142.59</v>
      </c>
      <c r="C2745" s="3">
        <v>348.78</v>
      </c>
      <c r="D2745" s="3">
        <v>112.3</v>
      </c>
      <c r="E2745" s="3">
        <v>1.5562</v>
      </c>
      <c r="F2745" s="3">
        <v>316.12</v>
      </c>
      <c r="G2745" s="3">
        <v>462.59</v>
      </c>
      <c r="H2745" s="3">
        <v>200.45</v>
      </c>
      <c r="I2745" s="3">
        <v>391</v>
      </c>
      <c r="J2745" s="3">
        <v>121.98</v>
      </c>
      <c r="K2745" s="3">
        <v>228.27</v>
      </c>
      <c r="L2745" s="3"/>
      <c r="N2745" s="4"/>
    </row>
    <row r="2746" spans="1:14" ht="17.5" thickBot="1" x14ac:dyDescent="0.45">
      <c r="A2746" s="4">
        <v>45603</v>
      </c>
      <c r="B2746" s="3">
        <v>145.53</v>
      </c>
      <c r="C2746" s="3">
        <v>352.31</v>
      </c>
      <c r="D2746" s="3">
        <v>112.69</v>
      </c>
      <c r="E2746" s="3">
        <v>1.5659000000000001</v>
      </c>
      <c r="F2746" s="3">
        <v>320.06</v>
      </c>
      <c r="G2746" s="3">
        <v>465.6</v>
      </c>
      <c r="H2746" s="3">
        <v>202.18</v>
      </c>
      <c r="I2746" s="3">
        <v>393.94</v>
      </c>
      <c r="J2746" s="3">
        <v>121.99</v>
      </c>
      <c r="K2746" s="3">
        <v>230.32</v>
      </c>
      <c r="L2746" s="3"/>
      <c r="N2746" s="4"/>
    </row>
    <row r="2747" spans="1:14" ht="17.5" thickBot="1" x14ac:dyDescent="0.45">
      <c r="A2747" s="4">
        <v>45604</v>
      </c>
      <c r="B2747" s="3">
        <v>143.9</v>
      </c>
      <c r="C2747" s="3">
        <v>352.49</v>
      </c>
      <c r="D2747" s="3">
        <v>113.1</v>
      </c>
      <c r="E2747" s="3">
        <v>1.5684</v>
      </c>
      <c r="F2747" s="3">
        <v>319.12</v>
      </c>
      <c r="G2747" s="3">
        <v>467.39</v>
      </c>
      <c r="H2747" s="3">
        <v>202.13</v>
      </c>
      <c r="I2747" s="3">
        <v>395.61</v>
      </c>
      <c r="J2747" s="3">
        <v>122</v>
      </c>
      <c r="K2747" s="3">
        <v>230.23</v>
      </c>
      <c r="L2747" s="3"/>
      <c r="N2747" s="4"/>
    </row>
    <row r="2748" spans="1:14" ht="17.5" thickBot="1" x14ac:dyDescent="0.45">
      <c r="A2748" s="4">
        <v>45605</v>
      </c>
      <c r="B2748" s="3">
        <v>143.9</v>
      </c>
      <c r="C2748" s="3">
        <v>352.49</v>
      </c>
      <c r="D2748" s="3">
        <v>113.1</v>
      </c>
      <c r="E2748" s="3">
        <v>1.5684</v>
      </c>
      <c r="F2748" s="3">
        <v>319.12</v>
      </c>
      <c r="G2748" s="3">
        <v>467.39</v>
      </c>
      <c r="H2748" s="3">
        <v>202.13</v>
      </c>
      <c r="I2748" s="3">
        <v>395.61</v>
      </c>
      <c r="J2748" s="3">
        <v>122</v>
      </c>
      <c r="K2748" s="3">
        <v>230.23</v>
      </c>
      <c r="L2748" s="3"/>
      <c r="N2748" s="4"/>
    </row>
    <row r="2749" spans="1:14" ht="17.5" thickBot="1" x14ac:dyDescent="0.45">
      <c r="A2749" s="4">
        <v>45606</v>
      </c>
      <c r="B2749" s="3">
        <v>143.9</v>
      </c>
      <c r="C2749" s="3">
        <v>352.49</v>
      </c>
      <c r="D2749" s="3">
        <v>113.1</v>
      </c>
      <c r="E2749" s="3">
        <v>1.5684</v>
      </c>
      <c r="F2749" s="3">
        <v>319.12</v>
      </c>
      <c r="G2749" s="3">
        <v>467.39</v>
      </c>
      <c r="H2749" s="3">
        <v>202.13</v>
      </c>
      <c r="I2749" s="3">
        <v>395.61</v>
      </c>
      <c r="J2749" s="3">
        <v>122</v>
      </c>
      <c r="K2749" s="3">
        <v>230.23</v>
      </c>
      <c r="L2749" s="3"/>
      <c r="N2749" s="4"/>
    </row>
    <row r="2750" spans="1:14" ht="17.5" thickBot="1" x14ac:dyDescent="0.45">
      <c r="A2750" s="4">
        <v>45607</v>
      </c>
      <c r="B2750" s="3">
        <v>142.06</v>
      </c>
      <c r="C2750" s="3">
        <v>349.99</v>
      </c>
      <c r="D2750" s="3">
        <v>113.14</v>
      </c>
      <c r="E2750" s="3">
        <v>1.5685</v>
      </c>
      <c r="F2750" s="3">
        <v>317.83999999999997</v>
      </c>
      <c r="G2750" s="3">
        <v>468.16</v>
      </c>
      <c r="H2750" s="3">
        <v>201.56</v>
      </c>
      <c r="I2750" s="3">
        <v>395.93</v>
      </c>
      <c r="J2750" s="3">
        <v>122.03</v>
      </c>
      <c r="K2750" s="3">
        <v>229.55</v>
      </c>
      <c r="L2750" s="3"/>
      <c r="N2750" s="4"/>
    </row>
    <row r="2751" spans="1:14" ht="17.5" thickBot="1" x14ac:dyDescent="0.45">
      <c r="A2751" s="4">
        <v>45608</v>
      </c>
      <c r="B2751" s="3">
        <v>138.12</v>
      </c>
      <c r="C2751" s="3">
        <v>343.98</v>
      </c>
      <c r="D2751" s="3">
        <v>112.76</v>
      </c>
      <c r="E2751" s="3">
        <v>1.5604</v>
      </c>
      <c r="F2751" s="3">
        <v>312.95999999999998</v>
      </c>
      <c r="G2751" s="3">
        <v>467.44</v>
      </c>
      <c r="H2751" s="3">
        <v>199.44</v>
      </c>
      <c r="I2751" s="3">
        <v>394.88</v>
      </c>
      <c r="J2751" s="3">
        <v>122.04</v>
      </c>
      <c r="K2751" s="3">
        <v>227.01</v>
      </c>
      <c r="L2751" s="3"/>
      <c r="N2751" s="4"/>
    </row>
    <row r="2752" spans="1:14" ht="17.5" thickBot="1" x14ac:dyDescent="0.45">
      <c r="A2752" s="4">
        <v>45609</v>
      </c>
      <c r="B2752" s="3">
        <v>137.94</v>
      </c>
      <c r="C2752" s="3">
        <v>340.86</v>
      </c>
      <c r="D2752" s="3">
        <v>112.6</v>
      </c>
      <c r="E2752" s="3">
        <v>1.5579000000000001</v>
      </c>
      <c r="F2752" s="3">
        <v>311.88</v>
      </c>
      <c r="G2752" s="3">
        <v>467.18</v>
      </c>
      <c r="H2752" s="3">
        <v>198.86</v>
      </c>
      <c r="I2752" s="3">
        <v>395.17</v>
      </c>
      <c r="J2752" s="3">
        <v>122.05</v>
      </c>
      <c r="K2752" s="3">
        <v>226.34</v>
      </c>
      <c r="L2752" s="3"/>
      <c r="N2752" s="4"/>
    </row>
    <row r="2753" spans="1:14" ht="17.5" thickBot="1" x14ac:dyDescent="0.45">
      <c r="A2753" s="4">
        <v>45610</v>
      </c>
      <c r="B2753" s="3">
        <v>135.32</v>
      </c>
      <c r="C2753" s="3">
        <v>338.42</v>
      </c>
      <c r="D2753" s="3">
        <v>112.59</v>
      </c>
      <c r="E2753" s="3">
        <v>1.5548999999999999</v>
      </c>
      <c r="F2753" s="3">
        <v>309.69</v>
      </c>
      <c r="G2753" s="3">
        <v>464.5</v>
      </c>
      <c r="H2753" s="3">
        <v>198.17</v>
      </c>
      <c r="I2753" s="3">
        <v>392.6</v>
      </c>
      <c r="J2753" s="3">
        <v>122.06</v>
      </c>
      <c r="K2753" s="3">
        <v>225.51</v>
      </c>
      <c r="L2753" s="3"/>
      <c r="N2753" s="4"/>
    </row>
    <row r="2754" spans="1:14" ht="17.5" thickBot="1" x14ac:dyDescent="0.45">
      <c r="A2754" s="4">
        <v>45611</v>
      </c>
      <c r="B2754" s="3">
        <v>135.34</v>
      </c>
      <c r="C2754" s="3">
        <v>339.67</v>
      </c>
      <c r="D2754" s="3">
        <v>112.58</v>
      </c>
      <c r="E2754" s="3">
        <v>1.5461</v>
      </c>
      <c r="F2754" s="3">
        <v>308.08</v>
      </c>
      <c r="G2754" s="3">
        <v>458.52</v>
      </c>
      <c r="H2754" s="3">
        <v>197.56</v>
      </c>
      <c r="I2754" s="3">
        <v>387.71</v>
      </c>
      <c r="J2754" s="3">
        <v>122.07</v>
      </c>
      <c r="K2754" s="3">
        <v>224.79</v>
      </c>
      <c r="L2754" s="3"/>
      <c r="N2754" s="4"/>
    </row>
    <row r="2755" spans="1:14" ht="17.5" thickBot="1" x14ac:dyDescent="0.45">
      <c r="A2755" s="4">
        <v>45612</v>
      </c>
      <c r="B2755" s="3">
        <v>135.34</v>
      </c>
      <c r="C2755" s="3">
        <v>339.67</v>
      </c>
      <c r="D2755" s="3">
        <v>112.58</v>
      </c>
      <c r="E2755" s="3">
        <v>1.5461</v>
      </c>
      <c r="F2755" s="3">
        <v>308.08</v>
      </c>
      <c r="G2755" s="3">
        <v>458.52</v>
      </c>
      <c r="H2755" s="3">
        <v>197.56</v>
      </c>
      <c r="I2755" s="3">
        <v>387.71</v>
      </c>
      <c r="J2755" s="3">
        <v>122.07</v>
      </c>
      <c r="K2755" s="3">
        <v>224.79</v>
      </c>
      <c r="L2755" s="3"/>
      <c r="N2755" s="4"/>
    </row>
    <row r="2756" spans="1:14" ht="17.5" thickBot="1" x14ac:dyDescent="0.45">
      <c r="A2756" s="4">
        <v>45613</v>
      </c>
      <c r="B2756" s="3">
        <v>135.34</v>
      </c>
      <c r="C2756" s="3">
        <v>339.67</v>
      </c>
      <c r="D2756" s="3">
        <v>112.58</v>
      </c>
      <c r="E2756" s="3">
        <v>1.5461</v>
      </c>
      <c r="F2756" s="3">
        <v>308.08</v>
      </c>
      <c r="G2756" s="3">
        <v>458.52</v>
      </c>
      <c r="H2756" s="3">
        <v>197.56</v>
      </c>
      <c r="I2756" s="3">
        <v>387.71</v>
      </c>
      <c r="J2756" s="3">
        <v>122.07</v>
      </c>
      <c r="K2756" s="3">
        <v>224.79</v>
      </c>
      <c r="L2756" s="3"/>
      <c r="N2756" s="4"/>
    </row>
    <row r="2757" spans="1:14" ht="17.5" thickBot="1" x14ac:dyDescent="0.45">
      <c r="A2757" s="4">
        <v>45614</v>
      </c>
      <c r="B2757" s="3">
        <v>136.37</v>
      </c>
      <c r="C2757" s="3">
        <v>340.09</v>
      </c>
      <c r="D2757" s="3">
        <v>112.56</v>
      </c>
      <c r="E2757" s="3">
        <v>1.5491999999999999</v>
      </c>
      <c r="F2757" s="3">
        <v>308.58</v>
      </c>
      <c r="G2757" s="3">
        <v>459.9</v>
      </c>
      <c r="H2757" s="3">
        <v>197.78</v>
      </c>
      <c r="I2757" s="3">
        <v>389.33</v>
      </c>
      <c r="J2757" s="3">
        <v>122.09</v>
      </c>
      <c r="K2757" s="3">
        <v>225.01</v>
      </c>
      <c r="L2757" s="3"/>
      <c r="N2757" s="4"/>
    </row>
    <row r="2758" spans="1:14" ht="17.5" thickBot="1" x14ac:dyDescent="0.45">
      <c r="A2758" s="4">
        <v>45615</v>
      </c>
      <c r="B2758" s="3">
        <v>136.93</v>
      </c>
      <c r="C2758" s="3">
        <v>343.04</v>
      </c>
      <c r="D2758" s="3">
        <v>112.73</v>
      </c>
      <c r="E2758" s="3">
        <v>1.5541</v>
      </c>
      <c r="F2758" s="3">
        <v>310.06</v>
      </c>
      <c r="G2758" s="3">
        <v>461.26</v>
      </c>
      <c r="H2758" s="3">
        <v>198.49</v>
      </c>
      <c r="I2758" s="3">
        <v>390.63</v>
      </c>
      <c r="J2758" s="3">
        <v>122.1</v>
      </c>
      <c r="K2758" s="3">
        <v>225.85</v>
      </c>
      <c r="L2758" s="3"/>
      <c r="N2758" s="4"/>
    </row>
    <row r="2759" spans="1:14" ht="17.5" thickBot="1" x14ac:dyDescent="0.45">
      <c r="A2759" s="4">
        <v>45616</v>
      </c>
      <c r="B2759" s="3">
        <v>137.13999999999999</v>
      </c>
      <c r="C2759" s="3">
        <v>341.75</v>
      </c>
      <c r="D2759" s="3">
        <v>112.63</v>
      </c>
      <c r="E2759" s="3">
        <v>1.5516000000000001</v>
      </c>
      <c r="F2759" s="3">
        <v>309.48</v>
      </c>
      <c r="G2759" s="3">
        <v>461.28</v>
      </c>
      <c r="H2759" s="3">
        <v>198.08</v>
      </c>
      <c r="I2759" s="3">
        <v>390.78</v>
      </c>
      <c r="J2759" s="3">
        <v>122.11</v>
      </c>
      <c r="K2759" s="3">
        <v>225.36</v>
      </c>
      <c r="L2759" s="3"/>
      <c r="N2759" s="4"/>
    </row>
    <row r="2760" spans="1:14" ht="17.5" thickBot="1" x14ac:dyDescent="0.45">
      <c r="A2760" s="4">
        <v>45617</v>
      </c>
      <c r="B2760" s="3">
        <v>136.46</v>
      </c>
      <c r="C2760" s="3">
        <v>340.33</v>
      </c>
      <c r="D2760" s="3">
        <v>112.58</v>
      </c>
      <c r="E2760" s="3">
        <v>1.5553999999999999</v>
      </c>
      <c r="F2760" s="3">
        <v>309.47000000000003</v>
      </c>
      <c r="G2760" s="3">
        <v>463.51</v>
      </c>
      <c r="H2760" s="3">
        <v>198.06</v>
      </c>
      <c r="I2760" s="3">
        <v>392.79</v>
      </c>
      <c r="J2760" s="3">
        <v>122.12</v>
      </c>
      <c r="K2760" s="3">
        <v>225.36</v>
      </c>
      <c r="L2760" s="3"/>
      <c r="N2760" s="4"/>
    </row>
    <row r="2761" spans="1:14" ht="17.5" thickBot="1" x14ac:dyDescent="0.45">
      <c r="A2761" s="4">
        <v>45618</v>
      </c>
      <c r="B2761" s="3">
        <v>133.88</v>
      </c>
      <c r="C2761" s="3">
        <v>341.56</v>
      </c>
      <c r="D2761" s="3">
        <v>112.59</v>
      </c>
      <c r="E2761" s="3">
        <v>1.5592999999999999</v>
      </c>
      <c r="F2761" s="3">
        <v>308.11</v>
      </c>
      <c r="G2761" s="3">
        <v>464.87</v>
      </c>
      <c r="H2761" s="3">
        <v>197.5</v>
      </c>
      <c r="I2761" s="3">
        <v>393.93</v>
      </c>
      <c r="J2761" s="3">
        <v>122.13</v>
      </c>
      <c r="K2761" s="3">
        <v>224.74</v>
      </c>
      <c r="L2761" s="3"/>
      <c r="N2761" s="4"/>
    </row>
    <row r="2762" spans="1:14" ht="17.5" thickBot="1" x14ac:dyDescent="0.45">
      <c r="A2762" s="4">
        <v>45619</v>
      </c>
      <c r="B2762" s="3">
        <v>133.88</v>
      </c>
      <c r="C2762" s="3">
        <v>341.56</v>
      </c>
      <c r="D2762" s="3">
        <v>112.59</v>
      </c>
      <c r="E2762" s="3">
        <v>1.5592999999999999</v>
      </c>
      <c r="F2762" s="3">
        <v>308.11</v>
      </c>
      <c r="G2762" s="3">
        <v>464.87</v>
      </c>
      <c r="H2762" s="3">
        <v>197.5</v>
      </c>
      <c r="I2762" s="3">
        <v>393.93</v>
      </c>
      <c r="J2762" s="3">
        <v>122.13</v>
      </c>
      <c r="K2762" s="3">
        <v>224.74</v>
      </c>
      <c r="L2762" s="3"/>
      <c r="N2762" s="4"/>
    </row>
    <row r="2763" spans="1:14" ht="17.5" thickBot="1" x14ac:dyDescent="0.45">
      <c r="A2763" s="4">
        <v>45620</v>
      </c>
      <c r="B2763" s="3">
        <v>133.88</v>
      </c>
      <c r="C2763" s="3">
        <v>341.56</v>
      </c>
      <c r="D2763" s="3">
        <v>112.59</v>
      </c>
      <c r="E2763" s="3">
        <v>1.5592999999999999</v>
      </c>
      <c r="F2763" s="3">
        <v>308.11</v>
      </c>
      <c r="G2763" s="3">
        <v>464.87</v>
      </c>
      <c r="H2763" s="3">
        <v>197.5</v>
      </c>
      <c r="I2763" s="3">
        <v>393.93</v>
      </c>
      <c r="J2763" s="3">
        <v>122.13</v>
      </c>
      <c r="K2763" s="3">
        <v>224.74</v>
      </c>
      <c r="L2763" s="3"/>
      <c r="N2763" s="4"/>
    </row>
    <row r="2764" spans="1:14" ht="17.5" thickBot="1" x14ac:dyDescent="0.45">
      <c r="A2764" s="4">
        <v>45621</v>
      </c>
      <c r="B2764" s="3">
        <v>133.57</v>
      </c>
      <c r="C2764" s="3">
        <v>343.48</v>
      </c>
      <c r="D2764" s="3">
        <v>113.02</v>
      </c>
      <c r="E2764" s="3">
        <v>1.5660000000000001</v>
      </c>
      <c r="F2764" s="3">
        <v>309.02</v>
      </c>
      <c r="G2764" s="3">
        <v>466.35</v>
      </c>
      <c r="H2764" s="3">
        <v>198.48</v>
      </c>
      <c r="I2764" s="3">
        <v>395.04</v>
      </c>
      <c r="J2764" s="3">
        <v>122.16</v>
      </c>
      <c r="K2764" s="3">
        <v>225.86</v>
      </c>
      <c r="L2764" s="3"/>
      <c r="N2764" s="4"/>
    </row>
    <row r="2765" spans="1:14" ht="17.5" thickBot="1" x14ac:dyDescent="0.45">
      <c r="A2765" s="4">
        <v>45622</v>
      </c>
      <c r="B2765" s="3">
        <v>133.43</v>
      </c>
      <c r="C2765" s="3">
        <v>341.09</v>
      </c>
      <c r="D2765" s="3">
        <v>113.06</v>
      </c>
      <c r="E2765" s="3">
        <v>1.5671999999999999</v>
      </c>
      <c r="F2765" s="3">
        <v>308.47000000000003</v>
      </c>
      <c r="G2765" s="3">
        <v>468.91</v>
      </c>
      <c r="H2765" s="3">
        <v>198.23</v>
      </c>
      <c r="I2765" s="3">
        <v>397.3</v>
      </c>
      <c r="J2765" s="3">
        <v>122.17</v>
      </c>
      <c r="K2765" s="3">
        <v>225.58</v>
      </c>
      <c r="L2765" s="3"/>
      <c r="N2765" s="4"/>
    </row>
    <row r="2766" spans="1:14" ht="17.5" thickBot="1" x14ac:dyDescent="0.45">
      <c r="A2766" s="4">
        <v>45623</v>
      </c>
      <c r="B2766" s="3">
        <v>136.69999999999999</v>
      </c>
      <c r="C2766" s="3">
        <v>342.83</v>
      </c>
      <c r="D2766" s="3">
        <v>113.21</v>
      </c>
      <c r="E2766" s="3">
        <v>1.5676000000000001</v>
      </c>
      <c r="F2766" s="3">
        <v>310.75</v>
      </c>
      <c r="G2766" s="3">
        <v>467.26</v>
      </c>
      <c r="H2766" s="3">
        <v>199.41</v>
      </c>
      <c r="I2766" s="3">
        <v>396</v>
      </c>
      <c r="J2766" s="3">
        <v>122.18</v>
      </c>
      <c r="K2766" s="3">
        <v>226.91</v>
      </c>
      <c r="L2766" s="3"/>
      <c r="N2766" s="4"/>
    </row>
    <row r="2767" spans="1:14" ht="17.5" thickBot="1" x14ac:dyDescent="0.45">
      <c r="A2767" s="4">
        <v>45624</v>
      </c>
      <c r="B2767" s="3">
        <v>134.94999999999999</v>
      </c>
      <c r="C2767" s="3">
        <v>341.35</v>
      </c>
      <c r="D2767" s="3">
        <v>113.3</v>
      </c>
      <c r="E2767" s="3">
        <v>1.5677000000000001</v>
      </c>
      <c r="F2767" s="3">
        <v>309.94</v>
      </c>
      <c r="G2767" s="3">
        <v>467.21</v>
      </c>
      <c r="H2767" s="3">
        <v>199.17</v>
      </c>
      <c r="I2767" s="3">
        <v>395.95</v>
      </c>
      <c r="J2767" s="3">
        <v>122.19</v>
      </c>
      <c r="K2767" s="3">
        <v>226.69</v>
      </c>
      <c r="L2767" s="3"/>
      <c r="N2767" s="4"/>
    </row>
    <row r="2768" spans="1:14" ht="17.5" thickBot="1" x14ac:dyDescent="0.45">
      <c r="A2768" s="4">
        <v>45625</v>
      </c>
      <c r="B2768" s="3">
        <v>135.54</v>
      </c>
      <c r="C2768" s="3">
        <v>341.59</v>
      </c>
      <c r="D2768" s="3">
        <v>113.51</v>
      </c>
      <c r="E2768" s="3">
        <v>1.5750999999999999</v>
      </c>
      <c r="F2768" s="3">
        <v>311.37</v>
      </c>
      <c r="G2768" s="3">
        <v>469.7</v>
      </c>
      <c r="H2768" s="3">
        <v>199.99</v>
      </c>
      <c r="I2768" s="3">
        <v>398.2</v>
      </c>
      <c r="J2768" s="3">
        <v>122.2</v>
      </c>
      <c r="K2768" s="3">
        <v>227.62</v>
      </c>
      <c r="L2768" s="3"/>
      <c r="N2768" s="4"/>
    </row>
    <row r="2769" spans="1:14" ht="17.5" thickBot="1" x14ac:dyDescent="0.45">
      <c r="A2769" s="4">
        <v>45626</v>
      </c>
      <c r="B2769" s="3">
        <v>135.54</v>
      </c>
      <c r="C2769" s="3">
        <v>341.59</v>
      </c>
      <c r="D2769" s="3">
        <v>113.51</v>
      </c>
      <c r="E2769" s="3">
        <v>1.5750999999999999</v>
      </c>
      <c r="F2769" s="3">
        <v>311.37</v>
      </c>
      <c r="G2769" s="3">
        <v>469.7</v>
      </c>
      <c r="H2769" s="3">
        <v>199.99</v>
      </c>
      <c r="I2769" s="3">
        <v>398.2</v>
      </c>
      <c r="J2769" s="3">
        <v>122.2</v>
      </c>
      <c r="K2769" s="3">
        <v>227.62</v>
      </c>
      <c r="L2769" s="3"/>
      <c r="N2769" s="4"/>
    </row>
    <row r="2770" spans="1:14" ht="17.5" thickBot="1" x14ac:dyDescent="0.45">
      <c r="A2770" s="4">
        <v>45627</v>
      </c>
      <c r="B2770" s="3">
        <v>135.54</v>
      </c>
      <c r="C2770" s="3">
        <v>341.59</v>
      </c>
      <c r="D2770" s="3">
        <v>113.51</v>
      </c>
      <c r="E2770" s="3">
        <v>1.5750999999999999</v>
      </c>
      <c r="F2770" s="3">
        <v>311.37</v>
      </c>
      <c r="G2770" s="3">
        <v>469.7</v>
      </c>
      <c r="H2770" s="3">
        <v>199.99</v>
      </c>
      <c r="I2770" s="3">
        <v>398.2</v>
      </c>
      <c r="J2770" s="3">
        <v>122.2</v>
      </c>
      <c r="K2770" s="3">
        <v>227.62</v>
      </c>
      <c r="L2770" s="3"/>
      <c r="N2770" s="4"/>
    </row>
    <row r="2771" spans="1:14" ht="17.5" thickBot="1" x14ac:dyDescent="0.45">
      <c r="A2771" s="4">
        <v>45628</v>
      </c>
      <c r="B2771" s="3">
        <v>136.5</v>
      </c>
      <c r="C2771" s="3">
        <v>343.59</v>
      </c>
      <c r="D2771" s="3">
        <v>113.54</v>
      </c>
      <c r="E2771" s="3">
        <v>1.5781000000000001</v>
      </c>
      <c r="F2771" s="3">
        <v>312.97000000000003</v>
      </c>
      <c r="G2771" s="3">
        <v>470.8</v>
      </c>
      <c r="H2771" s="3">
        <v>200.54</v>
      </c>
      <c r="I2771" s="3">
        <v>399.12</v>
      </c>
      <c r="J2771" s="3">
        <v>122.23</v>
      </c>
      <c r="K2771" s="3">
        <v>228.26</v>
      </c>
      <c r="L2771" s="3"/>
      <c r="N2771" s="4"/>
    </row>
    <row r="2772" spans="1:14" ht="17.5" thickBot="1" x14ac:dyDescent="0.45">
      <c r="A2772" s="4">
        <v>45629</v>
      </c>
      <c r="B2772" s="3">
        <v>137.47</v>
      </c>
      <c r="C2772" s="3">
        <v>347.86</v>
      </c>
      <c r="D2772" s="3">
        <v>113.56</v>
      </c>
      <c r="E2772" s="3">
        <v>1.5813999999999999</v>
      </c>
      <c r="F2772" s="3">
        <v>315.48</v>
      </c>
      <c r="G2772" s="3">
        <v>470.97</v>
      </c>
      <c r="H2772" s="3">
        <v>201.34</v>
      </c>
      <c r="I2772" s="3">
        <v>399.33</v>
      </c>
      <c r="J2772" s="3">
        <v>122.24</v>
      </c>
      <c r="K2772" s="3">
        <v>229.2</v>
      </c>
      <c r="L2772" s="3"/>
      <c r="N2772" s="4"/>
    </row>
    <row r="2773" spans="1:14" ht="17.5" thickBot="1" x14ac:dyDescent="0.45">
      <c r="A2773" s="4">
        <v>45630</v>
      </c>
      <c r="B2773" s="3">
        <v>137.54</v>
      </c>
      <c r="C2773" s="3">
        <v>347.26</v>
      </c>
      <c r="D2773" s="3">
        <v>113.63</v>
      </c>
      <c r="E2773" s="3">
        <v>1.5874999999999999</v>
      </c>
      <c r="F2773" s="3">
        <v>315.69</v>
      </c>
      <c r="G2773" s="3">
        <v>473.95</v>
      </c>
      <c r="H2773" s="3">
        <v>201.63</v>
      </c>
      <c r="I2773" s="3">
        <v>401.77</v>
      </c>
      <c r="J2773" s="3">
        <v>122.25</v>
      </c>
      <c r="K2773" s="3">
        <v>229.51</v>
      </c>
      <c r="L2773" s="3"/>
      <c r="N2773" s="4"/>
    </row>
    <row r="2774" spans="1:14" ht="17.5" thickBot="1" x14ac:dyDescent="0.45">
      <c r="A2774" s="4">
        <v>45631</v>
      </c>
      <c r="B2774" s="3">
        <v>136.38999999999999</v>
      </c>
      <c r="C2774" s="3">
        <v>346.89</v>
      </c>
      <c r="D2774" s="3">
        <v>113.74</v>
      </c>
      <c r="E2774" s="3">
        <v>1.5868</v>
      </c>
      <c r="F2774" s="3">
        <v>315.55</v>
      </c>
      <c r="G2774" s="3">
        <v>473.25</v>
      </c>
      <c r="H2774" s="3">
        <v>201.63</v>
      </c>
      <c r="I2774" s="3">
        <v>401.13</v>
      </c>
      <c r="J2774" s="3">
        <v>122.26</v>
      </c>
      <c r="K2774" s="3">
        <v>229.51</v>
      </c>
      <c r="L2774" s="3"/>
      <c r="N2774" s="4"/>
    </row>
    <row r="2775" spans="1:14" ht="17.5" thickBot="1" x14ac:dyDescent="0.45">
      <c r="A2775" s="4">
        <v>45632</v>
      </c>
      <c r="B2775" s="3">
        <v>138.63</v>
      </c>
      <c r="C2775" s="3">
        <v>346.92</v>
      </c>
      <c r="D2775" s="3">
        <v>113.84</v>
      </c>
      <c r="E2775" s="3">
        <v>1.5891</v>
      </c>
      <c r="F2775" s="3">
        <v>316.83999999999997</v>
      </c>
      <c r="G2775" s="3">
        <v>474</v>
      </c>
      <c r="H2775" s="3">
        <v>202.19</v>
      </c>
      <c r="I2775" s="3">
        <v>401.75</v>
      </c>
      <c r="J2775" s="3">
        <v>122.26</v>
      </c>
      <c r="K2775" s="3">
        <v>230.13</v>
      </c>
      <c r="L2775" s="3"/>
      <c r="N2775" s="4"/>
    </row>
    <row r="2776" spans="1:14" ht="17.5" thickBot="1" x14ac:dyDescent="0.45">
      <c r="A2776" s="4">
        <v>45633</v>
      </c>
      <c r="B2776" s="3">
        <v>138.63</v>
      </c>
      <c r="C2776" s="3">
        <v>346.92</v>
      </c>
      <c r="D2776" s="3">
        <v>113.84</v>
      </c>
      <c r="E2776" s="3">
        <v>1.5891</v>
      </c>
      <c r="F2776" s="3">
        <v>316.83999999999997</v>
      </c>
      <c r="G2776" s="3">
        <v>474</v>
      </c>
      <c r="H2776" s="3">
        <v>202.19</v>
      </c>
      <c r="I2776" s="3">
        <v>401.75</v>
      </c>
      <c r="J2776" s="3">
        <v>122.27</v>
      </c>
      <c r="K2776" s="3">
        <v>230.13</v>
      </c>
      <c r="L2776" s="3"/>
      <c r="N2776" s="4"/>
    </row>
    <row r="2777" spans="1:14" ht="17.5" thickBot="1" x14ac:dyDescent="0.45">
      <c r="A2777" s="4">
        <v>45634</v>
      </c>
      <c r="B2777" s="3">
        <v>138.63</v>
      </c>
      <c r="C2777" s="3">
        <v>346.92</v>
      </c>
      <c r="D2777" s="3">
        <v>113.84</v>
      </c>
      <c r="E2777" s="3">
        <v>1.5891</v>
      </c>
      <c r="F2777" s="3">
        <v>316.83999999999997</v>
      </c>
      <c r="G2777" s="3">
        <v>474</v>
      </c>
      <c r="H2777" s="3">
        <v>202.19</v>
      </c>
      <c r="I2777" s="3">
        <v>401.75</v>
      </c>
      <c r="J2777" s="3">
        <v>122.27</v>
      </c>
      <c r="K2777" s="3">
        <v>230.13</v>
      </c>
      <c r="L2777" s="3"/>
      <c r="N2777" s="4"/>
    </row>
    <row r="2778" spans="1:14" ht="17.5" thickBot="1" x14ac:dyDescent="0.45">
      <c r="A2778" s="4">
        <v>45635</v>
      </c>
      <c r="B2778" s="3">
        <v>142.24</v>
      </c>
      <c r="C2778" s="3">
        <v>349</v>
      </c>
      <c r="D2778" s="3">
        <v>113.74</v>
      </c>
      <c r="E2778" s="3">
        <v>1.5844</v>
      </c>
      <c r="F2778" s="3">
        <v>319.36</v>
      </c>
      <c r="G2778" s="3">
        <v>470.94</v>
      </c>
      <c r="H2778" s="3">
        <v>202.95</v>
      </c>
      <c r="I2778" s="3">
        <v>399.61</v>
      </c>
      <c r="J2778" s="3">
        <v>122.29</v>
      </c>
      <c r="K2778" s="3">
        <v>231.02</v>
      </c>
      <c r="L2778" s="3"/>
      <c r="N2778" s="4"/>
    </row>
    <row r="2779" spans="1:14" ht="17.5" thickBot="1" x14ac:dyDescent="0.45">
      <c r="A2779" s="4">
        <v>45636</v>
      </c>
      <c r="B2779" s="3">
        <v>141.68</v>
      </c>
      <c r="C2779" s="3">
        <v>347.56</v>
      </c>
      <c r="D2779" s="3">
        <v>113.61</v>
      </c>
      <c r="E2779" s="3">
        <v>1.5793999999999999</v>
      </c>
      <c r="F2779" s="3">
        <v>316.7</v>
      </c>
      <c r="G2779" s="3">
        <v>469.51</v>
      </c>
      <c r="H2779" s="3">
        <v>201.86</v>
      </c>
      <c r="I2779" s="3">
        <v>398.3</v>
      </c>
      <c r="J2779" s="3">
        <v>122.3</v>
      </c>
      <c r="K2779" s="3">
        <v>229.77</v>
      </c>
      <c r="L2779" s="3"/>
      <c r="N2779" s="4"/>
    </row>
    <row r="2780" spans="1:14" ht="17.5" thickBot="1" x14ac:dyDescent="0.45">
      <c r="A2780" s="4">
        <v>45637</v>
      </c>
      <c r="B2780" s="3">
        <v>140.56</v>
      </c>
      <c r="C2780" s="3">
        <v>346.46</v>
      </c>
      <c r="D2780" s="3">
        <v>113.49</v>
      </c>
      <c r="E2780" s="3">
        <v>1.5841000000000001</v>
      </c>
      <c r="F2780" s="3">
        <v>316.63</v>
      </c>
      <c r="G2780" s="3">
        <v>472.78</v>
      </c>
      <c r="H2780" s="3">
        <v>201.66</v>
      </c>
      <c r="I2780" s="3">
        <v>401.36</v>
      </c>
      <c r="J2780" s="3">
        <v>122.31</v>
      </c>
      <c r="K2780" s="3">
        <v>229.52</v>
      </c>
      <c r="L2780" s="3"/>
      <c r="N2780" s="4"/>
    </row>
    <row r="2781" spans="1:14" ht="17.5" thickBot="1" x14ac:dyDescent="0.45">
      <c r="A2781" s="4">
        <v>45638</v>
      </c>
      <c r="B2781" s="3">
        <v>142.08000000000001</v>
      </c>
      <c r="C2781" s="3">
        <v>348.5</v>
      </c>
      <c r="D2781" s="3">
        <v>113.24</v>
      </c>
      <c r="E2781" s="3">
        <v>1.5791999999999999</v>
      </c>
      <c r="F2781" s="3">
        <v>317.74</v>
      </c>
      <c r="G2781" s="3">
        <v>470.45</v>
      </c>
      <c r="H2781" s="3">
        <v>201.72</v>
      </c>
      <c r="I2781" s="3">
        <v>399.16</v>
      </c>
      <c r="J2781" s="3">
        <v>122.32</v>
      </c>
      <c r="K2781" s="3">
        <v>229.59</v>
      </c>
      <c r="L2781" s="3"/>
      <c r="N2781" s="4"/>
    </row>
    <row r="2782" spans="1:14" ht="17.5" thickBot="1" x14ac:dyDescent="0.45">
      <c r="A2782" s="4">
        <v>45639</v>
      </c>
      <c r="B2782" s="3">
        <v>138.94</v>
      </c>
      <c r="C2782" s="3">
        <v>345.73</v>
      </c>
      <c r="D2782" s="3">
        <v>113.02</v>
      </c>
      <c r="E2782" s="3">
        <v>1.5752999999999999</v>
      </c>
      <c r="F2782" s="3">
        <v>314.68</v>
      </c>
      <c r="G2782" s="3">
        <v>469.63</v>
      </c>
      <c r="H2782" s="3">
        <v>200.34</v>
      </c>
      <c r="I2782" s="3">
        <v>399.05</v>
      </c>
      <c r="J2782" s="3">
        <v>122.33</v>
      </c>
      <c r="K2782" s="3">
        <v>227.99</v>
      </c>
      <c r="L2782" s="3"/>
      <c r="N2782" s="4"/>
    </row>
    <row r="2783" spans="1:14" ht="17.5" thickBot="1" x14ac:dyDescent="0.45">
      <c r="A2783" s="4">
        <v>45640</v>
      </c>
      <c r="B2783" s="3">
        <v>138.94</v>
      </c>
      <c r="C2783" s="3">
        <v>345.73</v>
      </c>
      <c r="D2783" s="3">
        <v>113.02</v>
      </c>
      <c r="E2783" s="3">
        <v>1.5752999999999999</v>
      </c>
      <c r="F2783" s="3">
        <v>314.68</v>
      </c>
      <c r="G2783" s="3">
        <v>469.63</v>
      </c>
      <c r="H2783" s="3">
        <v>200.34</v>
      </c>
      <c r="I2783" s="3">
        <v>399.05</v>
      </c>
      <c r="J2783" s="3">
        <v>122.33</v>
      </c>
      <c r="K2783" s="3">
        <v>227.99</v>
      </c>
      <c r="L2783" s="3"/>
      <c r="N2783" s="4"/>
    </row>
    <row r="2784" spans="1:14" ht="17.5" thickBot="1" x14ac:dyDescent="0.45">
      <c r="A2784" s="4">
        <v>45641</v>
      </c>
      <c r="B2784" s="3">
        <v>138.94</v>
      </c>
      <c r="C2784" s="3">
        <v>345.73</v>
      </c>
      <c r="D2784" s="3">
        <v>113.02</v>
      </c>
      <c r="E2784" s="3">
        <v>1.5752999999999999</v>
      </c>
      <c r="F2784" s="3">
        <v>314.68</v>
      </c>
      <c r="G2784" s="3">
        <v>469.63</v>
      </c>
      <c r="H2784" s="3">
        <v>200.34</v>
      </c>
      <c r="I2784" s="3">
        <v>399.05</v>
      </c>
      <c r="J2784" s="3">
        <v>122.33</v>
      </c>
      <c r="K2784" s="3">
        <v>227.99</v>
      </c>
      <c r="L2784" s="3"/>
      <c r="N2784" s="4"/>
    </row>
    <row r="2785" spans="1:14" ht="17.5" thickBot="1" x14ac:dyDescent="0.45">
      <c r="A2785" s="4">
        <v>45642</v>
      </c>
      <c r="B2785" s="3">
        <v>137.88</v>
      </c>
      <c r="C2785" s="3">
        <v>344.14</v>
      </c>
      <c r="D2785" s="3">
        <v>112.98</v>
      </c>
      <c r="E2785" s="3">
        <v>1.5771999999999999</v>
      </c>
      <c r="F2785" s="3">
        <v>313.58999999999997</v>
      </c>
      <c r="G2785" s="3">
        <v>470.93</v>
      </c>
      <c r="H2785" s="3">
        <v>200</v>
      </c>
      <c r="I2785" s="3">
        <v>400.71</v>
      </c>
      <c r="J2785" s="3">
        <v>122.36</v>
      </c>
      <c r="K2785" s="3">
        <v>227.58</v>
      </c>
      <c r="L2785" s="3"/>
      <c r="N2785" s="4"/>
    </row>
    <row r="2786" spans="1:14" ht="17.5" thickBot="1" x14ac:dyDescent="0.45">
      <c r="A2786" s="4">
        <v>45643</v>
      </c>
      <c r="B2786" s="3">
        <v>137.66999999999999</v>
      </c>
      <c r="C2786" s="3">
        <v>342.43</v>
      </c>
      <c r="D2786" s="3">
        <v>112.89</v>
      </c>
      <c r="E2786" s="3">
        <v>1.5723</v>
      </c>
      <c r="F2786" s="3">
        <v>312.33999999999997</v>
      </c>
      <c r="G2786" s="3">
        <v>468.9</v>
      </c>
      <c r="H2786" s="3">
        <v>199.53</v>
      </c>
      <c r="I2786" s="3">
        <v>398.59</v>
      </c>
      <c r="J2786" s="3">
        <v>122.37</v>
      </c>
      <c r="K2786" s="3">
        <v>227.04</v>
      </c>
      <c r="L2786" s="3"/>
      <c r="N2786" s="4"/>
    </row>
    <row r="2787" spans="1:14" ht="17.5" thickBot="1" x14ac:dyDescent="0.45">
      <c r="A2787" s="4">
        <v>45644</v>
      </c>
      <c r="B2787" s="3">
        <v>138.6</v>
      </c>
      <c r="C2787" s="3">
        <v>342.69</v>
      </c>
      <c r="D2787" s="3">
        <v>112.64</v>
      </c>
      <c r="E2787" s="3">
        <v>1.5507</v>
      </c>
      <c r="F2787" s="3">
        <v>311.08</v>
      </c>
      <c r="G2787" s="3">
        <v>455.55</v>
      </c>
      <c r="H2787" s="3">
        <v>198.74</v>
      </c>
      <c r="I2787" s="3">
        <v>386.95</v>
      </c>
      <c r="J2787" s="3">
        <v>122.38</v>
      </c>
      <c r="K2787" s="3">
        <v>226.14</v>
      </c>
      <c r="L2787" s="3"/>
      <c r="N2787" s="4"/>
    </row>
    <row r="2788" spans="1:14" ht="17.5" thickBot="1" x14ac:dyDescent="0.45">
      <c r="A2788" s="4">
        <v>45645</v>
      </c>
      <c r="B2788" s="3">
        <v>137.80000000000001</v>
      </c>
      <c r="C2788" s="3">
        <v>337.54</v>
      </c>
      <c r="D2788" s="3">
        <v>112.2</v>
      </c>
      <c r="E2788" s="3">
        <v>1.5423</v>
      </c>
      <c r="F2788" s="3">
        <v>307.52</v>
      </c>
      <c r="G2788" s="3">
        <v>454.97</v>
      </c>
      <c r="H2788" s="3">
        <v>197</v>
      </c>
      <c r="I2788" s="3">
        <v>386.67</v>
      </c>
      <c r="J2788" s="3">
        <v>122.39</v>
      </c>
      <c r="K2788" s="3">
        <v>224.11</v>
      </c>
      <c r="L2788" s="3"/>
      <c r="N2788" s="4"/>
    </row>
    <row r="2789" spans="1:14" ht="17.5" thickBot="1" x14ac:dyDescent="0.45">
      <c r="A2789" s="4">
        <v>45646</v>
      </c>
      <c r="B2789" s="3">
        <v>137.58000000000001</v>
      </c>
      <c r="C2789" s="3">
        <v>334.36</v>
      </c>
      <c r="D2789" s="3">
        <v>112.28</v>
      </c>
      <c r="E2789" s="3">
        <v>1.5486</v>
      </c>
      <c r="F2789" s="3">
        <v>306.99</v>
      </c>
      <c r="G2789" s="3">
        <v>459.93</v>
      </c>
      <c r="H2789" s="3">
        <v>197.03</v>
      </c>
      <c r="I2789" s="3">
        <v>390.97</v>
      </c>
      <c r="J2789" s="3">
        <v>122.4</v>
      </c>
      <c r="K2789" s="3">
        <v>224.14</v>
      </c>
      <c r="L2789" s="3"/>
      <c r="N2789" s="4"/>
    </row>
    <row r="2790" spans="1:14" ht="17.5" thickBot="1" x14ac:dyDescent="0.45">
      <c r="A2790" s="4">
        <v>45647</v>
      </c>
      <c r="B2790" s="3">
        <v>137.58000000000001</v>
      </c>
      <c r="C2790" s="3">
        <v>334.36</v>
      </c>
      <c r="D2790" s="3">
        <v>112.28</v>
      </c>
      <c r="E2790" s="3">
        <v>1.5486</v>
      </c>
      <c r="F2790" s="3">
        <v>306.99</v>
      </c>
      <c r="G2790" s="3">
        <v>459.93</v>
      </c>
      <c r="H2790" s="3">
        <v>197.03</v>
      </c>
      <c r="I2790" s="3">
        <v>390.97</v>
      </c>
      <c r="J2790" s="3">
        <v>122.4</v>
      </c>
      <c r="K2790" s="3">
        <v>224.14</v>
      </c>
      <c r="L2790" s="3"/>
      <c r="N2790" s="4"/>
    </row>
    <row r="2791" spans="1:14" ht="17.5" thickBot="1" x14ac:dyDescent="0.45">
      <c r="A2791" s="4">
        <v>45648</v>
      </c>
      <c r="B2791" s="3">
        <v>137.58000000000001</v>
      </c>
      <c r="C2791" s="3">
        <v>334.36</v>
      </c>
      <c r="D2791" s="3">
        <v>112.28</v>
      </c>
      <c r="E2791" s="3">
        <v>1.5486</v>
      </c>
      <c r="F2791" s="3">
        <v>306.99</v>
      </c>
      <c r="G2791" s="3">
        <v>459.93</v>
      </c>
      <c r="H2791" s="3">
        <v>197.03</v>
      </c>
      <c r="I2791" s="3">
        <v>390.97</v>
      </c>
      <c r="J2791" s="3">
        <v>122.4</v>
      </c>
      <c r="K2791" s="3">
        <v>224.14</v>
      </c>
      <c r="L2791" s="3"/>
      <c r="N2791" s="4"/>
    </row>
    <row r="2792" spans="1:14" ht="17.5" thickBot="1" x14ac:dyDescent="0.45">
      <c r="A2792" s="4">
        <v>45649</v>
      </c>
      <c r="B2792" s="3">
        <v>138.46</v>
      </c>
      <c r="C2792" s="3">
        <v>338.05</v>
      </c>
      <c r="D2792" s="3">
        <v>112.13</v>
      </c>
      <c r="E2792" s="3">
        <v>1.5529999999999999</v>
      </c>
      <c r="F2792" s="3">
        <v>308.58999999999997</v>
      </c>
      <c r="G2792" s="3">
        <v>462.82</v>
      </c>
      <c r="H2792" s="3">
        <v>197.31</v>
      </c>
      <c r="I2792" s="3">
        <v>393.61</v>
      </c>
      <c r="J2792" s="3">
        <v>122.43</v>
      </c>
      <c r="K2792" s="3">
        <v>224.47</v>
      </c>
      <c r="L2792" s="3"/>
      <c r="N2792" s="4"/>
    </row>
    <row r="2793" spans="1:14" ht="17.5" thickBot="1" x14ac:dyDescent="0.45">
      <c r="A2793" s="4">
        <v>45650</v>
      </c>
      <c r="B2793" s="3">
        <v>140.37</v>
      </c>
      <c r="C2793" s="3">
        <v>339.36</v>
      </c>
      <c r="D2793" s="3">
        <v>112.03</v>
      </c>
      <c r="E2793" s="3">
        <v>1.5599000000000001</v>
      </c>
      <c r="F2793" s="3">
        <v>310.06</v>
      </c>
      <c r="G2793" s="3">
        <v>467.24</v>
      </c>
      <c r="H2793" s="3">
        <v>197.84</v>
      </c>
      <c r="I2793" s="3">
        <v>397.92</v>
      </c>
      <c r="J2793" s="3">
        <v>122.44</v>
      </c>
      <c r="K2793" s="3">
        <v>225.07</v>
      </c>
      <c r="L2793" s="3"/>
      <c r="N2793" s="4"/>
    </row>
    <row r="2794" spans="1:14" ht="17.5" thickBot="1" x14ac:dyDescent="0.45">
      <c r="A2794" s="4">
        <v>45651</v>
      </c>
      <c r="B2794" s="3">
        <v>140.37</v>
      </c>
      <c r="C2794" s="3">
        <v>339.36</v>
      </c>
      <c r="D2794" s="3">
        <v>112.03</v>
      </c>
      <c r="E2794" s="3">
        <v>1.5599000000000001</v>
      </c>
      <c r="F2794" s="3">
        <v>310.06</v>
      </c>
      <c r="G2794" s="3">
        <v>467.24</v>
      </c>
      <c r="H2794" s="3">
        <v>197.84</v>
      </c>
      <c r="I2794" s="3">
        <v>397.92</v>
      </c>
      <c r="J2794" s="3">
        <v>122.44</v>
      </c>
      <c r="K2794" s="3">
        <v>225.07</v>
      </c>
      <c r="L2794" s="3"/>
      <c r="N2794" s="4"/>
    </row>
    <row r="2795" spans="1:14" ht="17.5" thickBot="1" x14ac:dyDescent="0.45">
      <c r="A2795" s="4">
        <v>45652</v>
      </c>
      <c r="B2795" s="3">
        <v>140.37</v>
      </c>
      <c r="C2795" s="3">
        <v>339.36</v>
      </c>
      <c r="D2795" s="3">
        <v>112.03</v>
      </c>
      <c r="E2795" s="3">
        <v>1.5599000000000001</v>
      </c>
      <c r="F2795" s="3">
        <v>310.06</v>
      </c>
      <c r="G2795" s="3">
        <v>467.24</v>
      </c>
      <c r="H2795" s="3">
        <v>197.84</v>
      </c>
      <c r="I2795" s="3">
        <v>397.92</v>
      </c>
      <c r="J2795" s="3">
        <v>122.44</v>
      </c>
      <c r="K2795" s="3">
        <v>225.07</v>
      </c>
      <c r="L2795" s="3"/>
      <c r="N2795" s="4"/>
    </row>
    <row r="2796" spans="1:14" ht="17.5" thickBot="1" x14ac:dyDescent="0.45">
      <c r="A2796" s="4">
        <v>45653</v>
      </c>
      <c r="B2796" s="3">
        <v>139.84</v>
      </c>
      <c r="C2796" s="3">
        <v>340.03</v>
      </c>
      <c r="D2796" s="3">
        <v>111.95</v>
      </c>
      <c r="E2796" s="3">
        <v>1.5535000000000001</v>
      </c>
      <c r="F2796" s="3">
        <v>310.51</v>
      </c>
      <c r="G2796" s="3">
        <v>462</v>
      </c>
      <c r="H2796" s="3">
        <v>197.8</v>
      </c>
      <c r="I2796" s="3">
        <v>393.33</v>
      </c>
      <c r="J2796" s="3">
        <v>122.47</v>
      </c>
      <c r="K2796" s="3">
        <v>225.03</v>
      </c>
      <c r="L2796" s="3"/>
      <c r="N2796" s="4"/>
    </row>
    <row r="2797" spans="1:14" ht="17.5" thickBot="1" x14ac:dyDescent="0.45">
      <c r="A2797" s="4">
        <v>45654</v>
      </c>
      <c r="B2797" s="3">
        <v>139.84</v>
      </c>
      <c r="C2797" s="3">
        <v>340.03</v>
      </c>
      <c r="D2797" s="3">
        <v>111.95</v>
      </c>
      <c r="E2797" s="3">
        <v>1.5535000000000001</v>
      </c>
      <c r="F2797" s="3">
        <v>310.51</v>
      </c>
      <c r="G2797" s="3">
        <v>462</v>
      </c>
      <c r="H2797" s="3">
        <v>197.8</v>
      </c>
      <c r="I2797" s="3">
        <v>393.33</v>
      </c>
      <c r="J2797" s="3">
        <v>122.47</v>
      </c>
      <c r="K2797" s="3">
        <v>225.03</v>
      </c>
      <c r="L2797" s="3"/>
      <c r="N2797" s="4"/>
    </row>
    <row r="2798" spans="1:14" ht="17.5" thickBot="1" x14ac:dyDescent="0.45">
      <c r="A2798" s="4">
        <v>45655</v>
      </c>
      <c r="B2798" s="3">
        <v>139.84</v>
      </c>
      <c r="C2798" s="3">
        <v>340.03</v>
      </c>
      <c r="D2798" s="3">
        <v>111.95</v>
      </c>
      <c r="E2798" s="3">
        <v>1.5535000000000001</v>
      </c>
      <c r="F2798" s="3">
        <v>310.51</v>
      </c>
      <c r="G2798" s="3">
        <v>462</v>
      </c>
      <c r="H2798" s="3">
        <v>197.8</v>
      </c>
      <c r="I2798" s="3">
        <v>393.33</v>
      </c>
      <c r="J2798" s="3">
        <v>122.47</v>
      </c>
      <c r="K2798" s="3">
        <v>225.03</v>
      </c>
      <c r="L2798" s="3"/>
      <c r="N2798" s="4"/>
    </row>
    <row r="2799" spans="1:14" ht="17.5" thickBot="1" x14ac:dyDescent="0.45">
      <c r="A2799" s="4">
        <v>45656</v>
      </c>
      <c r="B2799" s="3">
        <v>139.54</v>
      </c>
      <c r="C2799" s="3">
        <v>338.8</v>
      </c>
      <c r="D2799" s="3">
        <v>112.15</v>
      </c>
      <c r="E2799" s="3">
        <v>1.5468</v>
      </c>
      <c r="F2799" s="3">
        <v>308.87</v>
      </c>
      <c r="G2799" s="3">
        <v>457.26</v>
      </c>
      <c r="H2799" s="3">
        <v>197.43</v>
      </c>
      <c r="I2799" s="3">
        <v>389.01</v>
      </c>
      <c r="J2799" s="3">
        <v>122.5</v>
      </c>
      <c r="K2799" s="3">
        <v>224.59</v>
      </c>
      <c r="L2799" s="3"/>
      <c r="N2799" s="4"/>
    </row>
    <row r="2800" spans="1:14" ht="17.5" thickBot="1" x14ac:dyDescent="0.45">
      <c r="A2800" s="4">
        <v>45657</v>
      </c>
      <c r="B2800" s="3">
        <v>140.05000000000001</v>
      </c>
      <c r="C2800" s="3">
        <v>338.08</v>
      </c>
      <c r="D2800" s="3">
        <v>112.24</v>
      </c>
      <c r="E2800" s="3">
        <v>1.5447</v>
      </c>
      <c r="F2800" s="3">
        <v>308.58</v>
      </c>
      <c r="G2800" s="3">
        <v>455.64</v>
      </c>
      <c r="H2800" s="3">
        <v>197.31</v>
      </c>
      <c r="I2800" s="3">
        <v>387.53</v>
      </c>
      <c r="J2800" s="3">
        <v>122.51</v>
      </c>
      <c r="K2800" s="3">
        <v>224.46</v>
      </c>
      <c r="L2800" s="3"/>
      <c r="N2800" s="4"/>
    </row>
    <row r="2801" spans="1:14" ht="17.5" thickBot="1" x14ac:dyDescent="0.45">
      <c r="A2801" s="4">
        <v>45658</v>
      </c>
      <c r="B2801" s="3">
        <v>140.05000000000001</v>
      </c>
      <c r="C2801" s="3">
        <v>338.08</v>
      </c>
      <c r="D2801" s="3">
        <v>112.24</v>
      </c>
      <c r="E2801" s="3">
        <v>1.5447</v>
      </c>
      <c r="F2801" s="3">
        <v>308.58</v>
      </c>
      <c r="G2801" s="3">
        <v>455.64</v>
      </c>
      <c r="H2801" s="3">
        <v>197.31</v>
      </c>
      <c r="I2801" s="3">
        <v>387.53</v>
      </c>
      <c r="J2801" s="3">
        <v>122.51</v>
      </c>
      <c r="K2801" s="3">
        <v>224.46</v>
      </c>
      <c r="L2801" s="3"/>
      <c r="N2801" s="4"/>
    </row>
    <row r="2802" spans="1:14" ht="17.5" thickBot="1" x14ac:dyDescent="0.45">
      <c r="A2802" s="4">
        <v>45659</v>
      </c>
      <c r="B2802" s="3">
        <v>136.79</v>
      </c>
      <c r="C2802" s="3">
        <v>338.15</v>
      </c>
      <c r="D2802" s="3">
        <v>112.36</v>
      </c>
      <c r="E2802" s="3">
        <v>1.5445</v>
      </c>
      <c r="F2802" s="3">
        <v>306.64999999999998</v>
      </c>
      <c r="G2802" s="3">
        <v>455.17</v>
      </c>
      <c r="H2802" s="3">
        <v>196.59</v>
      </c>
      <c r="I2802" s="3">
        <v>387.1</v>
      </c>
      <c r="J2802" s="3">
        <v>122.53</v>
      </c>
      <c r="K2802" s="3">
        <v>223.64</v>
      </c>
      <c r="L2802" s="3"/>
      <c r="N2802" s="4"/>
    </row>
    <row r="2803" spans="1:14" ht="17.5" thickBot="1" x14ac:dyDescent="0.45">
      <c r="A2803" s="4">
        <v>45660</v>
      </c>
      <c r="B2803" s="3">
        <v>137.86000000000001</v>
      </c>
      <c r="C2803" s="3">
        <v>339.47</v>
      </c>
      <c r="D2803" s="3">
        <v>112.27</v>
      </c>
      <c r="E2803" s="3">
        <v>1.5516000000000001</v>
      </c>
      <c r="F2803" s="3">
        <v>307.49</v>
      </c>
      <c r="G2803" s="3">
        <v>460.6</v>
      </c>
      <c r="H2803" s="3">
        <v>196.77</v>
      </c>
      <c r="I2803" s="3">
        <v>391.86</v>
      </c>
      <c r="J2803" s="3">
        <v>122.54</v>
      </c>
      <c r="K2803" s="3">
        <v>223.84</v>
      </c>
      <c r="L2803" s="3"/>
      <c r="N2803" s="4"/>
    </row>
    <row r="2804" spans="1:14" ht="17.5" thickBot="1" x14ac:dyDescent="0.45">
      <c r="A2804" s="4">
        <v>45661</v>
      </c>
      <c r="B2804" s="3">
        <v>137.86000000000001</v>
      </c>
      <c r="C2804" s="3">
        <v>339.47</v>
      </c>
      <c r="D2804" s="3">
        <v>112.27</v>
      </c>
      <c r="E2804" s="3">
        <v>1.5516000000000001</v>
      </c>
      <c r="F2804" s="3">
        <v>307.49</v>
      </c>
      <c r="G2804" s="3">
        <v>460.6</v>
      </c>
      <c r="H2804" s="3">
        <v>196.77</v>
      </c>
      <c r="I2804" s="3">
        <v>391.86</v>
      </c>
      <c r="J2804" s="3">
        <v>122.54</v>
      </c>
      <c r="K2804" s="3">
        <v>223.84</v>
      </c>
      <c r="L2804" s="3"/>
      <c r="N2804" s="4"/>
    </row>
    <row r="2805" spans="1:14" ht="17.5" thickBot="1" x14ac:dyDescent="0.45">
      <c r="A2805" s="4">
        <v>45662</v>
      </c>
      <c r="B2805" s="3">
        <v>137.86000000000001</v>
      </c>
      <c r="C2805" s="3">
        <v>339.47</v>
      </c>
      <c r="D2805" s="3">
        <v>112.27</v>
      </c>
      <c r="E2805" s="3">
        <v>1.5516000000000001</v>
      </c>
      <c r="F2805" s="3">
        <v>307.49</v>
      </c>
      <c r="G2805" s="3">
        <v>460.6</v>
      </c>
      <c r="H2805" s="3">
        <v>196.77</v>
      </c>
      <c r="I2805" s="3">
        <v>391.86</v>
      </c>
      <c r="J2805" s="3">
        <v>122.54</v>
      </c>
      <c r="K2805" s="3">
        <v>223.84</v>
      </c>
      <c r="L2805" s="3"/>
      <c r="N2805" s="4"/>
    </row>
    <row r="2806" spans="1:14" ht="17.5" thickBot="1" x14ac:dyDescent="0.45">
      <c r="A2806" s="4">
        <v>45663</v>
      </c>
      <c r="B2806" s="3">
        <v>137.44999999999999</v>
      </c>
      <c r="C2806" s="3">
        <v>340.03</v>
      </c>
      <c r="D2806" s="3">
        <v>112.09</v>
      </c>
      <c r="E2806" s="3">
        <v>1.5566</v>
      </c>
      <c r="F2806" s="3">
        <v>308.20999999999998</v>
      </c>
      <c r="G2806" s="3">
        <v>462.86</v>
      </c>
      <c r="H2806" s="3">
        <v>196.98</v>
      </c>
      <c r="I2806" s="3">
        <v>394.16</v>
      </c>
      <c r="J2806" s="3">
        <v>122.56</v>
      </c>
      <c r="K2806" s="3">
        <v>224.09</v>
      </c>
      <c r="L2806" s="3"/>
      <c r="N2806" s="4"/>
    </row>
    <row r="2807" spans="1:14" ht="17.5" thickBot="1" x14ac:dyDescent="0.45">
      <c r="A2807" s="4">
        <v>45664</v>
      </c>
      <c r="B2807" s="3">
        <v>135.72999999999999</v>
      </c>
      <c r="C2807" s="3">
        <v>340.55</v>
      </c>
      <c r="D2807" s="3">
        <v>111.91</v>
      </c>
      <c r="E2807" s="3">
        <v>1.5490999999999999</v>
      </c>
      <c r="F2807" s="3">
        <v>307.24</v>
      </c>
      <c r="G2807" s="3">
        <v>457.94</v>
      </c>
      <c r="H2807" s="3">
        <v>196.33</v>
      </c>
      <c r="I2807" s="3">
        <v>389.65</v>
      </c>
      <c r="J2807" s="3">
        <v>122.57</v>
      </c>
      <c r="K2807" s="3">
        <v>223.35</v>
      </c>
      <c r="L2807" s="3"/>
      <c r="N2807" s="4"/>
    </row>
    <row r="2808" spans="1:14" ht="17.5" thickBot="1" x14ac:dyDescent="0.45">
      <c r="A2808" s="4">
        <v>45665</v>
      </c>
      <c r="B2808" s="3">
        <v>134.63</v>
      </c>
      <c r="C2808" s="3">
        <v>339.16</v>
      </c>
      <c r="D2808" s="3">
        <v>111.87</v>
      </c>
      <c r="E2808" s="3">
        <v>1.5479000000000001</v>
      </c>
      <c r="F2808" s="3">
        <v>305.89999999999998</v>
      </c>
      <c r="G2808" s="3">
        <v>458.89</v>
      </c>
      <c r="H2808" s="3">
        <v>195.73</v>
      </c>
      <c r="I2808" s="3">
        <v>390.19</v>
      </c>
      <c r="J2808" s="3">
        <v>122.58</v>
      </c>
      <c r="K2808" s="3">
        <v>222.64</v>
      </c>
      <c r="L2808" s="3"/>
      <c r="N2808" s="4"/>
    </row>
    <row r="2809" spans="1:14" ht="17.5" thickBot="1" x14ac:dyDescent="0.45">
      <c r="A2809" s="4">
        <v>45666</v>
      </c>
      <c r="B2809" s="3">
        <v>134.36000000000001</v>
      </c>
      <c r="C2809" s="3">
        <v>337.18</v>
      </c>
      <c r="D2809" s="3">
        <v>112.04</v>
      </c>
      <c r="E2809" s="3">
        <v>1.5479000000000001</v>
      </c>
      <c r="F2809" s="3">
        <v>305.35000000000002</v>
      </c>
      <c r="G2809" s="3">
        <v>458.96</v>
      </c>
      <c r="H2809" s="3">
        <v>195.54</v>
      </c>
      <c r="I2809" s="3">
        <v>390.3</v>
      </c>
      <c r="J2809" s="3">
        <v>122.59</v>
      </c>
      <c r="K2809" s="3">
        <v>222.41</v>
      </c>
      <c r="L2809" s="3"/>
      <c r="N2809" s="4"/>
    </row>
    <row r="2810" spans="1:14" ht="17.5" thickBot="1" x14ac:dyDescent="0.45">
      <c r="A2810" s="4">
        <v>45667</v>
      </c>
      <c r="B2810" s="3">
        <v>133.27000000000001</v>
      </c>
      <c r="C2810" s="3">
        <v>334.69</v>
      </c>
      <c r="D2810" s="3">
        <v>111.81</v>
      </c>
      <c r="E2810" s="3">
        <v>1.5330999999999999</v>
      </c>
      <c r="F2810" s="3">
        <v>302.22000000000003</v>
      </c>
      <c r="G2810" s="3">
        <v>451.8</v>
      </c>
      <c r="H2810" s="3">
        <v>194.16</v>
      </c>
      <c r="I2810" s="3">
        <v>384.65</v>
      </c>
      <c r="J2810" s="3">
        <v>122.6</v>
      </c>
      <c r="K2810" s="3">
        <v>220.81</v>
      </c>
      <c r="L2810" s="3"/>
      <c r="N2810" s="4"/>
    </row>
    <row r="2811" spans="1:14" ht="17.5" thickBot="1" x14ac:dyDescent="0.45">
      <c r="A2811" s="4">
        <v>45668</v>
      </c>
      <c r="B2811" s="3">
        <v>133.27000000000001</v>
      </c>
      <c r="C2811" s="3">
        <v>334.69</v>
      </c>
      <c r="D2811" s="3">
        <v>111.81</v>
      </c>
      <c r="E2811" s="3">
        <v>1.5330999999999999</v>
      </c>
      <c r="F2811" s="3">
        <v>302.22000000000003</v>
      </c>
      <c r="G2811" s="3">
        <v>451.8</v>
      </c>
      <c r="H2811" s="3">
        <v>194.16</v>
      </c>
      <c r="I2811" s="3">
        <v>384.65</v>
      </c>
      <c r="J2811" s="3">
        <v>122.6</v>
      </c>
      <c r="K2811" s="3">
        <v>220.81</v>
      </c>
      <c r="L2811" s="3"/>
      <c r="N2811" s="4"/>
    </row>
    <row r="2812" spans="1:14" ht="17.5" thickBot="1" x14ac:dyDescent="0.45">
      <c r="A2812" s="4">
        <v>45669</v>
      </c>
      <c r="B2812" s="3">
        <v>133.27000000000001</v>
      </c>
      <c r="C2812" s="3">
        <v>334.69</v>
      </c>
      <c r="D2812" s="3">
        <v>111.81</v>
      </c>
      <c r="E2812" s="3">
        <v>1.5330999999999999</v>
      </c>
      <c r="F2812" s="3">
        <v>302.22000000000003</v>
      </c>
      <c r="G2812" s="3">
        <v>451.8</v>
      </c>
      <c r="H2812" s="3">
        <v>194.16</v>
      </c>
      <c r="I2812" s="3">
        <v>384.65</v>
      </c>
      <c r="J2812" s="3">
        <v>122.6</v>
      </c>
      <c r="K2812" s="3">
        <v>220.81</v>
      </c>
      <c r="L2812" s="3"/>
      <c r="N2812" s="4"/>
    </row>
    <row r="2813" spans="1:14" ht="17.5" thickBot="1" x14ac:dyDescent="0.45">
      <c r="A2813" s="4">
        <v>45670</v>
      </c>
      <c r="B2813" s="3">
        <v>132.02000000000001</v>
      </c>
      <c r="C2813" s="3">
        <v>329.66</v>
      </c>
      <c r="D2813" s="3">
        <v>111.59</v>
      </c>
      <c r="E2813" s="3">
        <v>1.5297000000000001</v>
      </c>
      <c r="F2813" s="3">
        <v>300.04000000000002</v>
      </c>
      <c r="G2813" s="3">
        <v>452.82</v>
      </c>
      <c r="H2813" s="3">
        <v>193.22</v>
      </c>
      <c r="I2813" s="3">
        <v>385.25</v>
      </c>
      <c r="J2813" s="3">
        <v>122.63</v>
      </c>
      <c r="K2813" s="3">
        <v>219.73</v>
      </c>
      <c r="L2813" s="3"/>
      <c r="N2813" s="4"/>
    </row>
    <row r="2814" spans="1:14" ht="17.5" thickBot="1" x14ac:dyDescent="0.45">
      <c r="A2814" s="4">
        <v>45671</v>
      </c>
      <c r="B2814" s="3">
        <v>134.38999999999999</v>
      </c>
      <c r="C2814" s="3">
        <v>332.59</v>
      </c>
      <c r="D2814" s="3">
        <v>111.61</v>
      </c>
      <c r="E2814" s="3">
        <v>1.5323</v>
      </c>
      <c r="F2814" s="3">
        <v>302.41000000000003</v>
      </c>
      <c r="G2814" s="3">
        <v>453.73</v>
      </c>
      <c r="H2814" s="3">
        <v>194.17</v>
      </c>
      <c r="I2814" s="3">
        <v>385.76</v>
      </c>
      <c r="J2814" s="3">
        <v>122.64</v>
      </c>
      <c r="K2814" s="3">
        <v>220.79</v>
      </c>
      <c r="L2814" s="3"/>
      <c r="N2814" s="4"/>
    </row>
    <row r="2815" spans="1:14" ht="17.5" thickBot="1" x14ac:dyDescent="0.45">
      <c r="A2815" s="4">
        <v>45672</v>
      </c>
      <c r="B2815" s="3">
        <v>134.66</v>
      </c>
      <c r="C2815" s="3">
        <v>333.38</v>
      </c>
      <c r="D2815" s="3">
        <v>112.06</v>
      </c>
      <c r="E2815" s="3">
        <v>1.55</v>
      </c>
      <c r="F2815" s="3">
        <v>304.83</v>
      </c>
      <c r="G2815" s="3">
        <v>461.65</v>
      </c>
      <c r="H2815" s="3">
        <v>195.6</v>
      </c>
      <c r="I2815" s="3">
        <v>392.84</v>
      </c>
      <c r="J2815" s="3">
        <v>122.65</v>
      </c>
      <c r="K2815" s="3">
        <v>222.43</v>
      </c>
      <c r="L2815" s="3"/>
      <c r="N2815" s="4"/>
    </row>
    <row r="2816" spans="1:14" ht="17.5" thickBot="1" x14ac:dyDescent="0.45">
      <c r="A2816" s="4">
        <v>45673</v>
      </c>
      <c r="B2816" s="3">
        <v>136.53</v>
      </c>
      <c r="C2816" s="3">
        <v>337.57</v>
      </c>
      <c r="D2816" s="3">
        <v>112.36</v>
      </c>
      <c r="E2816" s="3">
        <v>1.5527</v>
      </c>
      <c r="F2816" s="3">
        <v>306.95</v>
      </c>
      <c r="G2816" s="3">
        <v>460.61</v>
      </c>
      <c r="H2816" s="3">
        <v>196.55</v>
      </c>
      <c r="I2816" s="3">
        <v>392.15</v>
      </c>
      <c r="J2816" s="3">
        <v>122.66</v>
      </c>
      <c r="K2816" s="3">
        <v>223.53</v>
      </c>
      <c r="L2816" s="3"/>
      <c r="N2816" s="4"/>
    </row>
    <row r="2817" spans="1:14" ht="17.5" thickBot="1" x14ac:dyDescent="0.45">
      <c r="A2817" s="4">
        <v>45674</v>
      </c>
      <c r="B2817" s="3">
        <v>136.80000000000001</v>
      </c>
      <c r="C2817" s="3">
        <v>336.87</v>
      </c>
      <c r="D2817" s="3">
        <v>112.41</v>
      </c>
      <c r="E2817" s="3">
        <v>1.5597000000000001</v>
      </c>
      <c r="F2817" s="3">
        <v>307.73</v>
      </c>
      <c r="G2817" s="3">
        <v>464.73</v>
      </c>
      <c r="H2817" s="3">
        <v>196.86</v>
      </c>
      <c r="I2817" s="3">
        <v>395.74</v>
      </c>
      <c r="J2817" s="3">
        <v>122.67</v>
      </c>
      <c r="K2817" s="3">
        <v>223.87</v>
      </c>
      <c r="L2817" s="3"/>
      <c r="N2817" s="4"/>
    </row>
    <row r="2818" spans="1:14" ht="17.5" thickBot="1" x14ac:dyDescent="0.45">
      <c r="A2818" s="4">
        <v>45675</v>
      </c>
      <c r="B2818" s="3">
        <v>136.80000000000001</v>
      </c>
      <c r="C2818" s="3">
        <v>336.87</v>
      </c>
      <c r="D2818" s="3">
        <v>112.41</v>
      </c>
      <c r="E2818" s="3">
        <v>1.5597000000000001</v>
      </c>
      <c r="F2818" s="3">
        <v>307.73</v>
      </c>
      <c r="G2818" s="3">
        <v>464.73</v>
      </c>
      <c r="H2818" s="3">
        <v>196.86</v>
      </c>
      <c r="I2818" s="3">
        <v>395.74</v>
      </c>
      <c r="J2818" s="3">
        <v>122.67</v>
      </c>
      <c r="K2818" s="3">
        <v>223.87</v>
      </c>
      <c r="L2818" s="3"/>
      <c r="N2818" s="4"/>
    </row>
    <row r="2819" spans="1:14" ht="17.5" thickBot="1" x14ac:dyDescent="0.45">
      <c r="A2819" s="4">
        <v>45676</v>
      </c>
      <c r="B2819" s="3">
        <v>136.80000000000001</v>
      </c>
      <c r="C2819" s="3">
        <v>336.87</v>
      </c>
      <c r="D2819" s="3">
        <v>112.41</v>
      </c>
      <c r="E2819" s="3">
        <v>1.5597000000000001</v>
      </c>
      <c r="F2819" s="3">
        <v>307.73</v>
      </c>
      <c r="G2819" s="3">
        <v>464.73</v>
      </c>
      <c r="H2819" s="3">
        <v>196.86</v>
      </c>
      <c r="I2819" s="3">
        <v>395.74</v>
      </c>
      <c r="J2819" s="3">
        <v>122.67</v>
      </c>
      <c r="K2819" s="3">
        <v>223.87</v>
      </c>
      <c r="L2819" s="3"/>
      <c r="N2819" s="4"/>
    </row>
    <row r="2820" spans="1:14" ht="17.5" thickBot="1" x14ac:dyDescent="0.45">
      <c r="A2820" s="4">
        <v>45677</v>
      </c>
      <c r="B2820" s="3">
        <v>139.11000000000001</v>
      </c>
      <c r="C2820" s="3">
        <v>339.97</v>
      </c>
      <c r="D2820" s="3">
        <v>112.45</v>
      </c>
      <c r="E2820" s="3">
        <v>1.5596000000000001</v>
      </c>
      <c r="F2820" s="3">
        <v>310.64999999999998</v>
      </c>
      <c r="G2820" s="3">
        <v>464.59</v>
      </c>
      <c r="H2820" s="3">
        <v>197.99</v>
      </c>
      <c r="I2820" s="3">
        <v>395.65</v>
      </c>
      <c r="J2820" s="3">
        <v>122.7</v>
      </c>
      <c r="K2820" s="3">
        <v>225.2</v>
      </c>
      <c r="L2820" s="3"/>
      <c r="N2820" s="4"/>
    </row>
    <row r="2821" spans="1:14" ht="17.5" thickBot="1" x14ac:dyDescent="0.45">
      <c r="A2821" s="4">
        <v>45678</v>
      </c>
      <c r="B2821" s="3">
        <v>140.46</v>
      </c>
      <c r="C2821" s="3">
        <v>341.11</v>
      </c>
      <c r="D2821" s="3">
        <v>112.66</v>
      </c>
      <c r="E2821" s="3">
        <v>1.5709</v>
      </c>
      <c r="F2821" s="3">
        <v>312.39</v>
      </c>
      <c r="G2821" s="3">
        <v>468.47</v>
      </c>
      <c r="H2821" s="3">
        <v>198.9</v>
      </c>
      <c r="I2821" s="3">
        <v>399.2</v>
      </c>
      <c r="J2821" s="3">
        <v>122.71</v>
      </c>
      <c r="K2821" s="3">
        <v>226.25</v>
      </c>
      <c r="L2821" s="3"/>
      <c r="N2821" s="4"/>
    </row>
    <row r="2822" spans="1:14" ht="17.5" thickBot="1" x14ac:dyDescent="0.45">
      <c r="A2822" s="4">
        <v>45679</v>
      </c>
      <c r="B2822" s="3">
        <v>138.03</v>
      </c>
      <c r="C2822" s="3">
        <v>341.72</v>
      </c>
      <c r="D2822" s="3">
        <v>112.63</v>
      </c>
      <c r="E2822" s="3">
        <v>1.5759000000000001</v>
      </c>
      <c r="F2822" s="3">
        <v>312.04000000000002</v>
      </c>
      <c r="G2822" s="3">
        <v>471.01</v>
      </c>
      <c r="H2822" s="3">
        <v>198.7</v>
      </c>
      <c r="I2822" s="3">
        <v>401.7</v>
      </c>
      <c r="J2822" s="3">
        <v>122.72</v>
      </c>
      <c r="K2822" s="3">
        <v>225.99</v>
      </c>
      <c r="L2822" s="3"/>
      <c r="N2822" s="4"/>
    </row>
    <row r="2823" spans="1:14" ht="17.5" thickBot="1" x14ac:dyDescent="0.45">
      <c r="A2823" s="4">
        <v>45680</v>
      </c>
      <c r="B2823" s="3">
        <v>137.53</v>
      </c>
      <c r="C2823" s="3">
        <v>340.99</v>
      </c>
      <c r="D2823" s="3">
        <v>112.54</v>
      </c>
      <c r="E2823" s="3">
        <v>1.5789</v>
      </c>
      <c r="F2823" s="3">
        <v>312.22000000000003</v>
      </c>
      <c r="G2823" s="3">
        <v>473.45</v>
      </c>
      <c r="H2823" s="3">
        <v>198.56</v>
      </c>
      <c r="I2823" s="3">
        <v>403.97</v>
      </c>
      <c r="J2823" s="3">
        <v>122.73</v>
      </c>
      <c r="K2823" s="3">
        <v>225.85</v>
      </c>
      <c r="L2823" s="3"/>
      <c r="N2823" s="4"/>
    </row>
    <row r="2824" spans="1:14" ht="17.5" thickBot="1" x14ac:dyDescent="0.45">
      <c r="A2824" s="4">
        <v>45681</v>
      </c>
      <c r="B2824" s="3">
        <v>140.05000000000001</v>
      </c>
      <c r="C2824" s="3">
        <v>343.7</v>
      </c>
      <c r="D2824" s="3">
        <v>112.6</v>
      </c>
      <c r="E2824" s="3">
        <v>1.5797000000000001</v>
      </c>
      <c r="F2824" s="3">
        <v>314.43</v>
      </c>
      <c r="G2824" s="3">
        <v>471.97</v>
      </c>
      <c r="H2824" s="3">
        <v>199.57</v>
      </c>
      <c r="I2824" s="3">
        <v>402.63</v>
      </c>
      <c r="J2824" s="3">
        <v>122.74</v>
      </c>
      <c r="K2824" s="3">
        <v>227.02</v>
      </c>
      <c r="L2824" s="3"/>
      <c r="N2824" s="4"/>
    </row>
    <row r="2825" spans="1:14" ht="17.5" thickBot="1" x14ac:dyDescent="0.45">
      <c r="A2825" s="4">
        <v>45682</v>
      </c>
      <c r="B2825" s="3">
        <v>140.05000000000001</v>
      </c>
      <c r="C2825" s="3">
        <v>343.7</v>
      </c>
      <c r="D2825" s="3">
        <v>112.6</v>
      </c>
      <c r="E2825" s="3">
        <v>1.5797000000000001</v>
      </c>
      <c r="F2825" s="3">
        <v>314.43</v>
      </c>
      <c r="G2825" s="3">
        <v>471.97</v>
      </c>
      <c r="H2825" s="3">
        <v>199.57</v>
      </c>
      <c r="I2825" s="3">
        <v>402.63</v>
      </c>
      <c r="J2825" s="3">
        <v>122.74</v>
      </c>
      <c r="K2825" s="3">
        <v>227.02</v>
      </c>
      <c r="L2825" s="3"/>
      <c r="N2825" s="4"/>
    </row>
    <row r="2826" spans="1:14" ht="17.5" thickBot="1" x14ac:dyDescent="0.45">
      <c r="A2826" s="4">
        <v>45683</v>
      </c>
      <c r="B2826" s="3">
        <v>140.05000000000001</v>
      </c>
      <c r="C2826" s="3">
        <v>343.7</v>
      </c>
      <c r="D2826" s="3">
        <v>112.6</v>
      </c>
      <c r="E2826" s="3">
        <v>1.5797000000000001</v>
      </c>
      <c r="F2826" s="3">
        <v>314.43</v>
      </c>
      <c r="G2826" s="3">
        <v>471.97</v>
      </c>
      <c r="H2826" s="3">
        <v>199.57</v>
      </c>
      <c r="I2826" s="3">
        <v>402.63</v>
      </c>
      <c r="J2826" s="3">
        <v>122.74</v>
      </c>
      <c r="K2826" s="3">
        <v>227.02</v>
      </c>
      <c r="L2826" s="3"/>
      <c r="N2826" s="4"/>
    </row>
    <row r="2827" spans="1:14" ht="17.5" thickBot="1" x14ac:dyDescent="0.45">
      <c r="A2827" s="4">
        <v>45684</v>
      </c>
      <c r="B2827" s="3">
        <v>140.96</v>
      </c>
      <c r="C2827" s="3">
        <v>344.56</v>
      </c>
      <c r="D2827" s="3">
        <v>112.97</v>
      </c>
      <c r="E2827" s="3">
        <v>1.5716000000000001</v>
      </c>
      <c r="F2827" s="3">
        <v>314.27</v>
      </c>
      <c r="G2827" s="3">
        <v>466.59</v>
      </c>
      <c r="H2827" s="3">
        <v>199.85</v>
      </c>
      <c r="I2827" s="3">
        <v>397.17</v>
      </c>
      <c r="J2827" s="3">
        <v>122.76</v>
      </c>
      <c r="K2827" s="3">
        <v>227.34</v>
      </c>
      <c r="L2827" s="3"/>
      <c r="N2827" s="4"/>
    </row>
    <row r="2828" spans="1:14" ht="17.5" thickBot="1" x14ac:dyDescent="0.45">
      <c r="A2828" s="4">
        <v>45685</v>
      </c>
      <c r="B2828" s="3">
        <v>141.26</v>
      </c>
      <c r="C2828" s="3">
        <v>344.32</v>
      </c>
      <c r="D2828" s="3">
        <v>112.97</v>
      </c>
      <c r="E2828" s="3">
        <v>1.577</v>
      </c>
      <c r="F2828" s="3">
        <v>314.24</v>
      </c>
      <c r="G2828" s="3">
        <v>470.21</v>
      </c>
      <c r="H2828" s="3">
        <v>199.74</v>
      </c>
      <c r="I2828" s="3">
        <v>400.52</v>
      </c>
      <c r="J2828" s="3">
        <v>122.77</v>
      </c>
      <c r="K2828" s="3">
        <v>227.21</v>
      </c>
      <c r="L2828" s="3"/>
      <c r="N2828" s="4"/>
    </row>
    <row r="2829" spans="1:14" ht="17.5" thickBot="1" x14ac:dyDescent="0.45">
      <c r="A2829" s="4">
        <v>45686</v>
      </c>
      <c r="B2829" s="3">
        <v>141.26</v>
      </c>
      <c r="C2829" s="3">
        <v>344.32</v>
      </c>
      <c r="D2829" s="3">
        <v>112.97</v>
      </c>
      <c r="E2829" s="3">
        <v>1.577</v>
      </c>
      <c r="F2829" s="3">
        <v>314.24</v>
      </c>
      <c r="G2829" s="3">
        <v>470.21</v>
      </c>
      <c r="H2829" s="3">
        <v>199.74</v>
      </c>
      <c r="I2829" s="3">
        <v>400.52</v>
      </c>
      <c r="J2829" s="3">
        <v>122.77</v>
      </c>
      <c r="K2829" s="3">
        <v>227.21</v>
      </c>
      <c r="L2829" s="3"/>
      <c r="N2829" s="4"/>
    </row>
    <row r="2830" spans="1:14" ht="17.5" thickBot="1" x14ac:dyDescent="0.45">
      <c r="A2830" s="4">
        <v>45687</v>
      </c>
      <c r="B2830" s="3">
        <v>141.26</v>
      </c>
      <c r="C2830" s="3">
        <v>344.32</v>
      </c>
      <c r="D2830" s="3">
        <v>112.97</v>
      </c>
      <c r="E2830" s="3">
        <v>1.577</v>
      </c>
      <c r="F2830" s="3">
        <v>314.24</v>
      </c>
      <c r="G2830" s="3">
        <v>470.21</v>
      </c>
      <c r="H2830" s="3">
        <v>199.74</v>
      </c>
      <c r="I2830" s="3">
        <v>400.52</v>
      </c>
      <c r="J2830" s="3">
        <v>122.77</v>
      </c>
      <c r="K2830" s="3">
        <v>227.21</v>
      </c>
      <c r="L2830" s="3"/>
      <c r="N2830" s="4"/>
    </row>
    <row r="2831" spans="1:14" ht="17.5" thickBot="1" x14ac:dyDescent="0.45">
      <c r="A2831" s="4">
        <v>45688</v>
      </c>
      <c r="B2831" s="3">
        <v>141.26</v>
      </c>
      <c r="C2831" s="3">
        <v>344.32</v>
      </c>
      <c r="D2831" s="3">
        <v>112.97</v>
      </c>
      <c r="E2831" s="3">
        <v>1.577</v>
      </c>
      <c r="F2831" s="3">
        <v>314.24</v>
      </c>
      <c r="G2831" s="3">
        <v>470.21</v>
      </c>
      <c r="H2831" s="3">
        <v>199.74</v>
      </c>
      <c r="I2831" s="3">
        <v>400.52</v>
      </c>
      <c r="J2831" s="3">
        <v>122.78</v>
      </c>
      <c r="K2831" s="3">
        <v>227.21</v>
      </c>
      <c r="L2831" s="3"/>
      <c r="N2831" s="4"/>
    </row>
    <row r="2832" spans="1:14" ht="17.5" thickBot="1" x14ac:dyDescent="0.45">
      <c r="A2832" s="4">
        <v>45689</v>
      </c>
      <c r="B2832" s="3">
        <v>141.26</v>
      </c>
      <c r="C2832" s="3">
        <v>344.32</v>
      </c>
      <c r="D2832" s="3">
        <v>112.97</v>
      </c>
      <c r="E2832" s="3">
        <v>1.577</v>
      </c>
      <c r="F2832" s="3">
        <v>314.24</v>
      </c>
      <c r="G2832" s="3">
        <v>470.21</v>
      </c>
      <c r="H2832" s="3">
        <v>199.74</v>
      </c>
      <c r="I2832" s="3">
        <v>400.52</v>
      </c>
      <c r="J2832" s="3">
        <v>122.78</v>
      </c>
      <c r="K2832" s="3">
        <v>227.21</v>
      </c>
      <c r="L2832" s="3"/>
      <c r="N2832" s="4"/>
    </row>
    <row r="2833" spans="1:14" ht="17.5" thickBot="1" x14ac:dyDescent="0.45">
      <c r="A2833" s="4">
        <v>45690</v>
      </c>
      <c r="B2833" s="3">
        <v>141.26</v>
      </c>
      <c r="C2833" s="3">
        <v>344.32</v>
      </c>
      <c r="D2833" s="3">
        <v>112.97</v>
      </c>
      <c r="E2833" s="3">
        <v>1.577</v>
      </c>
      <c r="F2833" s="3">
        <v>314.24</v>
      </c>
      <c r="G2833" s="3">
        <v>470.21</v>
      </c>
      <c r="H2833" s="3">
        <v>199.74</v>
      </c>
      <c r="I2833" s="3">
        <v>400.52</v>
      </c>
      <c r="J2833" s="3">
        <v>122.78</v>
      </c>
      <c r="K2833" s="3">
        <v>227.21</v>
      </c>
      <c r="L2833" s="3"/>
      <c r="N2833" s="4"/>
    </row>
    <row r="2834" spans="1:14" ht="17.5" thickBot="1" x14ac:dyDescent="0.45">
      <c r="A2834" s="4">
        <v>45691</v>
      </c>
      <c r="B2834" s="3">
        <v>141.19999999999999</v>
      </c>
      <c r="C2834" s="3">
        <v>338.5</v>
      </c>
      <c r="D2834" s="3">
        <v>113.01</v>
      </c>
      <c r="E2834" s="3">
        <v>1.5693999999999999</v>
      </c>
      <c r="F2834" s="3">
        <v>311.86</v>
      </c>
      <c r="G2834" s="3">
        <v>463.42</v>
      </c>
      <c r="H2834" s="3">
        <v>199.15</v>
      </c>
      <c r="I2834" s="3">
        <v>396.12</v>
      </c>
      <c r="J2834" s="3">
        <v>122.83</v>
      </c>
      <c r="K2834" s="3">
        <v>226.5</v>
      </c>
      <c r="L2834" s="3"/>
      <c r="N2834" s="4"/>
    </row>
    <row r="2835" spans="1:14" ht="17.5" thickBot="1" x14ac:dyDescent="0.45">
      <c r="A2835" s="4">
        <v>45692</v>
      </c>
      <c r="B2835" s="3">
        <v>145.1</v>
      </c>
      <c r="C2835" s="3">
        <v>343.38</v>
      </c>
      <c r="D2835" s="3">
        <v>113.01</v>
      </c>
      <c r="E2835" s="3">
        <v>1.5771999999999999</v>
      </c>
      <c r="F2835" s="3">
        <v>315.61</v>
      </c>
      <c r="G2835" s="3">
        <v>466.09</v>
      </c>
      <c r="H2835" s="3">
        <v>200.54</v>
      </c>
      <c r="I2835" s="3">
        <v>398.58</v>
      </c>
      <c r="J2835" s="3">
        <v>122.84</v>
      </c>
      <c r="K2835" s="3">
        <v>228.12</v>
      </c>
      <c r="L2835" s="3"/>
      <c r="N2835" s="4"/>
    </row>
    <row r="2836" spans="1:14" ht="17.5" thickBot="1" x14ac:dyDescent="0.45">
      <c r="A2836" s="4">
        <v>45693</v>
      </c>
      <c r="B2836" s="3">
        <v>143.71</v>
      </c>
      <c r="C2836" s="3">
        <v>345.44</v>
      </c>
      <c r="D2836" s="3">
        <v>113.45</v>
      </c>
      <c r="E2836" s="3">
        <v>1.5846</v>
      </c>
      <c r="F2836" s="3">
        <v>316.47000000000003</v>
      </c>
      <c r="G2836" s="3">
        <v>467.75</v>
      </c>
      <c r="H2836" s="3">
        <v>201.35</v>
      </c>
      <c r="I2836" s="3">
        <v>400.17</v>
      </c>
      <c r="J2836" s="3">
        <v>122.85</v>
      </c>
      <c r="K2836" s="3">
        <v>229.02</v>
      </c>
      <c r="L2836" s="3"/>
      <c r="N2836" s="4"/>
    </row>
    <row r="2837" spans="1:14" ht="17.5" thickBot="1" x14ac:dyDescent="0.45">
      <c r="A2837" s="4">
        <v>45694</v>
      </c>
      <c r="B2837" s="3">
        <v>145.77000000000001</v>
      </c>
      <c r="C2837" s="3">
        <v>347.32</v>
      </c>
      <c r="D2837" s="3">
        <v>113.53</v>
      </c>
      <c r="E2837" s="3">
        <v>1.5886</v>
      </c>
      <c r="F2837" s="3">
        <v>318.74</v>
      </c>
      <c r="G2837" s="3">
        <v>469.21</v>
      </c>
      <c r="H2837" s="3">
        <v>202.04</v>
      </c>
      <c r="I2837" s="3">
        <v>401.49</v>
      </c>
      <c r="J2837" s="3">
        <v>122.86</v>
      </c>
      <c r="K2837" s="3">
        <v>229.83</v>
      </c>
      <c r="L2837" s="3"/>
      <c r="N2837" s="4"/>
    </row>
    <row r="2838" spans="1:14" ht="17.5" thickBot="1" x14ac:dyDescent="0.45">
      <c r="A2838" s="4">
        <v>45695</v>
      </c>
      <c r="B2838" s="3">
        <v>147.41</v>
      </c>
      <c r="C2838" s="3">
        <v>348.89</v>
      </c>
      <c r="D2838" s="3">
        <v>113.44</v>
      </c>
      <c r="E2838" s="3">
        <v>1.5815999999999999</v>
      </c>
      <c r="F2838" s="3">
        <v>319.32</v>
      </c>
      <c r="G2838" s="3">
        <v>464.97</v>
      </c>
      <c r="H2838" s="3">
        <v>202.07</v>
      </c>
      <c r="I2838" s="3">
        <v>397.93</v>
      </c>
      <c r="J2838" s="3">
        <v>122.87</v>
      </c>
      <c r="K2838" s="3">
        <v>229.9</v>
      </c>
      <c r="L2838" s="3"/>
      <c r="N2838" s="4"/>
    </row>
    <row r="2839" spans="1:14" ht="17.5" thickBot="1" x14ac:dyDescent="0.45">
      <c r="A2839" s="4">
        <v>45696</v>
      </c>
      <c r="B2839" s="3">
        <v>147.41</v>
      </c>
      <c r="C2839" s="3">
        <v>348.89</v>
      </c>
      <c r="D2839" s="3">
        <v>113.44</v>
      </c>
      <c r="E2839" s="3">
        <v>1.5815999999999999</v>
      </c>
      <c r="F2839" s="3">
        <v>319.32</v>
      </c>
      <c r="G2839" s="3">
        <v>464.97</v>
      </c>
      <c r="H2839" s="3">
        <v>202.07</v>
      </c>
      <c r="I2839" s="3">
        <v>397.93</v>
      </c>
      <c r="J2839" s="3">
        <v>122.87</v>
      </c>
      <c r="K2839" s="3">
        <v>229.9</v>
      </c>
      <c r="L2839" s="3"/>
      <c r="N2839" s="4"/>
    </row>
    <row r="2840" spans="1:14" ht="17.5" thickBot="1" x14ac:dyDescent="0.45">
      <c r="A2840" s="4">
        <v>45697</v>
      </c>
      <c r="B2840" s="3">
        <v>147.41</v>
      </c>
      <c r="C2840" s="3">
        <v>348.89</v>
      </c>
      <c r="D2840" s="3">
        <v>113.44</v>
      </c>
      <c r="E2840" s="3">
        <v>1.5815999999999999</v>
      </c>
      <c r="F2840" s="3">
        <v>319.32</v>
      </c>
      <c r="G2840" s="3">
        <v>464.97</v>
      </c>
      <c r="H2840" s="3">
        <v>202.07</v>
      </c>
      <c r="I2840" s="3">
        <v>397.93</v>
      </c>
      <c r="J2840" s="3">
        <v>122.87</v>
      </c>
      <c r="K2840" s="3">
        <v>229.9</v>
      </c>
      <c r="L2840" s="3"/>
      <c r="N2840" s="4"/>
    </row>
    <row r="2841" spans="1:14" ht="17.5" thickBot="1" x14ac:dyDescent="0.45">
      <c r="A2841" s="4">
        <v>45698</v>
      </c>
      <c r="B2841" s="3">
        <v>150.04</v>
      </c>
      <c r="C2841" s="3">
        <v>348.47</v>
      </c>
      <c r="D2841" s="3">
        <v>113.34</v>
      </c>
      <c r="E2841" s="3">
        <v>1.5855999999999999</v>
      </c>
      <c r="F2841" s="3">
        <v>320.64999999999998</v>
      </c>
      <c r="G2841" s="3">
        <v>467.61</v>
      </c>
      <c r="H2841" s="3">
        <v>202.49</v>
      </c>
      <c r="I2841" s="3">
        <v>400.51</v>
      </c>
      <c r="J2841" s="3">
        <v>122.9</v>
      </c>
      <c r="K2841" s="3">
        <v>230.36</v>
      </c>
      <c r="L2841" s="3"/>
      <c r="N2841" s="4"/>
    </row>
    <row r="2842" spans="1:14" ht="17.5" thickBot="1" x14ac:dyDescent="0.45">
      <c r="A2842" s="4">
        <v>45699</v>
      </c>
      <c r="B2842" s="3">
        <v>148.66</v>
      </c>
      <c r="C2842" s="3">
        <v>348.04</v>
      </c>
      <c r="D2842" s="3">
        <v>113.3</v>
      </c>
      <c r="E2842" s="3">
        <v>1.5844</v>
      </c>
      <c r="F2842" s="3">
        <v>319.85000000000002</v>
      </c>
      <c r="G2842" s="3">
        <v>467.86</v>
      </c>
      <c r="H2842" s="3">
        <v>202.01</v>
      </c>
      <c r="I2842" s="3">
        <v>400.91</v>
      </c>
      <c r="J2842" s="3">
        <v>122.9</v>
      </c>
      <c r="K2842" s="3">
        <v>229.81</v>
      </c>
      <c r="L2842" s="3"/>
      <c r="N2842" s="4"/>
    </row>
    <row r="2843" spans="1:14" ht="17.5" thickBot="1" x14ac:dyDescent="0.45">
      <c r="A2843" s="4">
        <v>45700</v>
      </c>
      <c r="B2843" s="3">
        <v>152.38</v>
      </c>
      <c r="C2843" s="3">
        <v>349.58</v>
      </c>
      <c r="D2843" s="3">
        <v>113.01</v>
      </c>
      <c r="E2843" s="3">
        <v>1.5810999999999999</v>
      </c>
      <c r="F2843" s="3">
        <v>321.41000000000003</v>
      </c>
      <c r="G2843" s="3">
        <v>466.04</v>
      </c>
      <c r="H2843" s="3">
        <v>202.23</v>
      </c>
      <c r="I2843" s="3">
        <v>399.53</v>
      </c>
      <c r="J2843" s="3">
        <v>122.91</v>
      </c>
      <c r="K2843" s="3">
        <v>230.06</v>
      </c>
      <c r="L2843" s="3"/>
      <c r="N2843" s="4"/>
    </row>
    <row r="2844" spans="1:14" ht="17.5" thickBot="1" x14ac:dyDescent="0.45">
      <c r="A2844" s="4">
        <v>45701</v>
      </c>
      <c r="B2844" s="3">
        <v>151.96</v>
      </c>
      <c r="C2844" s="3">
        <v>351.17</v>
      </c>
      <c r="D2844" s="3">
        <v>113.21</v>
      </c>
      <c r="E2844" s="3">
        <v>1.5935999999999999</v>
      </c>
      <c r="F2844" s="3">
        <v>323.39</v>
      </c>
      <c r="G2844" s="3">
        <v>470.58</v>
      </c>
      <c r="H2844" s="3">
        <v>203.4</v>
      </c>
      <c r="I2844" s="3">
        <v>403.71</v>
      </c>
      <c r="J2844" s="3">
        <v>122.92</v>
      </c>
      <c r="K2844" s="3">
        <v>231.41</v>
      </c>
      <c r="L2844" s="3"/>
      <c r="N2844" s="4"/>
    </row>
    <row r="2845" spans="1:14" ht="17.5" thickBot="1" x14ac:dyDescent="0.45">
      <c r="A2845" s="4">
        <v>45702</v>
      </c>
      <c r="B2845" s="3">
        <v>157.63999999999999</v>
      </c>
      <c r="C2845" s="3">
        <v>355.04</v>
      </c>
      <c r="D2845" s="3">
        <v>113.45</v>
      </c>
      <c r="E2845" s="3">
        <v>1.5956999999999999</v>
      </c>
      <c r="F2845" s="3">
        <v>327.33</v>
      </c>
      <c r="G2845" s="3">
        <v>470.33</v>
      </c>
      <c r="H2845" s="3">
        <v>205.03</v>
      </c>
      <c r="I2845" s="3">
        <v>403.56</v>
      </c>
      <c r="J2845" s="3">
        <v>122.93</v>
      </c>
      <c r="K2845" s="3">
        <v>233.28</v>
      </c>
      <c r="L2845" s="3"/>
      <c r="N2845" s="4"/>
    </row>
    <row r="2846" spans="1:14" ht="17.5" thickBot="1" x14ac:dyDescent="0.45">
      <c r="A2846" s="4">
        <v>45703</v>
      </c>
      <c r="B2846" s="3">
        <v>157.63999999999999</v>
      </c>
      <c r="C2846" s="3">
        <v>355.04</v>
      </c>
      <c r="D2846" s="3">
        <v>113.45</v>
      </c>
      <c r="E2846" s="3">
        <v>1.5956999999999999</v>
      </c>
      <c r="F2846" s="3">
        <v>327.33</v>
      </c>
      <c r="G2846" s="3">
        <v>470.33</v>
      </c>
      <c r="H2846" s="3">
        <v>205.03</v>
      </c>
      <c r="I2846" s="3">
        <v>403.56</v>
      </c>
      <c r="J2846" s="3">
        <v>122.93</v>
      </c>
      <c r="K2846" s="3">
        <v>233.28</v>
      </c>
      <c r="L2846" s="3"/>
      <c r="N2846" s="4"/>
    </row>
    <row r="2847" spans="1:14" ht="17.5" thickBot="1" x14ac:dyDescent="0.45">
      <c r="A2847" s="4">
        <v>45704</v>
      </c>
      <c r="B2847" s="3">
        <v>157.63999999999999</v>
      </c>
      <c r="C2847" s="3">
        <v>355.04</v>
      </c>
      <c r="D2847" s="3">
        <v>113.45</v>
      </c>
      <c r="E2847" s="3">
        <v>1.5956999999999999</v>
      </c>
      <c r="F2847" s="3">
        <v>327.33</v>
      </c>
      <c r="G2847" s="3">
        <v>470.33</v>
      </c>
      <c r="H2847" s="3">
        <v>205.03</v>
      </c>
      <c r="I2847" s="3">
        <v>403.56</v>
      </c>
      <c r="J2847" s="3">
        <v>122.93</v>
      </c>
      <c r="K2847" s="3">
        <v>233.28</v>
      </c>
      <c r="L2847" s="3"/>
      <c r="N2847" s="4"/>
    </row>
    <row r="2848" spans="1:14" ht="17.5" thickBot="1" x14ac:dyDescent="0.45">
      <c r="A2848" s="4">
        <v>45705</v>
      </c>
      <c r="B2848" s="3">
        <v>157.63999999999999</v>
      </c>
      <c r="C2848" s="3">
        <v>356.88</v>
      </c>
      <c r="D2848" s="3">
        <v>113.56</v>
      </c>
      <c r="E2848" s="3">
        <v>1.5956999999999999</v>
      </c>
      <c r="F2848" s="3">
        <v>328.27</v>
      </c>
      <c r="G2848" s="3">
        <v>470.13</v>
      </c>
      <c r="H2848" s="3">
        <v>205.24</v>
      </c>
      <c r="I2848" s="3">
        <v>403.37</v>
      </c>
      <c r="J2848" s="3">
        <v>122.96</v>
      </c>
      <c r="K2848" s="3">
        <v>233.55</v>
      </c>
      <c r="L2848" s="3"/>
      <c r="N2848" s="4"/>
    </row>
    <row r="2849" spans="1:14" ht="17.5" thickBot="1" x14ac:dyDescent="0.45">
      <c r="A2849" s="4">
        <v>45706</v>
      </c>
      <c r="B2849" s="3">
        <v>160.1</v>
      </c>
      <c r="C2849" s="3">
        <v>359.16</v>
      </c>
      <c r="D2849" s="3">
        <v>113.38</v>
      </c>
      <c r="E2849" s="3">
        <v>1.5963000000000001</v>
      </c>
      <c r="F2849" s="3">
        <v>329.6</v>
      </c>
      <c r="G2849" s="3">
        <v>470.62</v>
      </c>
      <c r="H2849" s="3">
        <v>205.41</v>
      </c>
      <c r="I2849" s="3">
        <v>404.46</v>
      </c>
      <c r="J2849" s="3">
        <v>122.97</v>
      </c>
      <c r="K2849" s="3">
        <v>233.75</v>
      </c>
      <c r="L2849" s="3"/>
      <c r="N2849" s="4"/>
    </row>
    <row r="2850" spans="1:14" ht="17.5" thickBot="1" x14ac:dyDescent="0.45">
      <c r="A2850" s="4">
        <v>45707</v>
      </c>
      <c r="B2850" s="3">
        <v>159.86000000000001</v>
      </c>
      <c r="C2850" s="3">
        <v>358.72</v>
      </c>
      <c r="D2850" s="3">
        <v>113.38</v>
      </c>
      <c r="E2850" s="3">
        <v>1.5952</v>
      </c>
      <c r="F2850" s="3">
        <v>328.76</v>
      </c>
      <c r="G2850" s="3">
        <v>471.94</v>
      </c>
      <c r="H2850" s="3">
        <v>205.03</v>
      </c>
      <c r="I2850" s="3">
        <v>405.2</v>
      </c>
      <c r="J2850" s="3">
        <v>122.98</v>
      </c>
      <c r="K2850" s="3">
        <v>233.31</v>
      </c>
      <c r="L2850" s="3"/>
      <c r="N2850" s="4"/>
    </row>
    <row r="2851" spans="1:14" ht="17.5" thickBot="1" x14ac:dyDescent="0.45">
      <c r="A2851" s="4">
        <v>45708</v>
      </c>
      <c r="B2851" s="3">
        <v>157.24</v>
      </c>
      <c r="C2851" s="3">
        <v>356.34</v>
      </c>
      <c r="D2851" s="3">
        <v>113.54</v>
      </c>
      <c r="E2851" s="3">
        <v>1.5915999999999999</v>
      </c>
      <c r="F2851" s="3">
        <v>327.19</v>
      </c>
      <c r="G2851" s="3">
        <v>470.32</v>
      </c>
      <c r="H2851" s="3">
        <v>204.67</v>
      </c>
      <c r="I2851" s="3">
        <v>403.77</v>
      </c>
      <c r="J2851" s="3">
        <v>122.99</v>
      </c>
      <c r="K2851" s="3">
        <v>232.88</v>
      </c>
      <c r="L2851" s="3"/>
      <c r="N2851" s="4"/>
    </row>
    <row r="2852" spans="1:14" ht="17.5" thickBot="1" x14ac:dyDescent="0.45">
      <c r="A2852" s="4">
        <v>45709</v>
      </c>
      <c r="B2852" s="3">
        <v>163.53</v>
      </c>
      <c r="C2852" s="3">
        <v>360.6</v>
      </c>
      <c r="D2852" s="3">
        <v>113.77</v>
      </c>
      <c r="E2852" s="3">
        <v>1.5831999999999999</v>
      </c>
      <c r="F2852" s="3">
        <v>330.17</v>
      </c>
      <c r="G2852" s="3">
        <v>462.49</v>
      </c>
      <c r="H2852" s="3">
        <v>206.01</v>
      </c>
      <c r="I2852" s="3">
        <v>396.6</v>
      </c>
      <c r="J2852" s="3">
        <v>123</v>
      </c>
      <c r="K2852" s="3">
        <v>234.42</v>
      </c>
      <c r="L2852" s="3"/>
      <c r="N2852" s="4"/>
    </row>
    <row r="2853" spans="1:14" ht="17.5" thickBot="1" x14ac:dyDescent="0.45">
      <c r="A2853" s="4">
        <v>45710</v>
      </c>
      <c r="B2853" s="3">
        <v>163.53</v>
      </c>
      <c r="C2853" s="3">
        <v>360.6</v>
      </c>
      <c r="D2853" s="3">
        <v>113.77</v>
      </c>
      <c r="E2853" s="3">
        <v>1.5831999999999999</v>
      </c>
      <c r="F2853" s="3">
        <v>330.17</v>
      </c>
      <c r="G2853" s="3">
        <v>462.49</v>
      </c>
      <c r="H2853" s="3">
        <v>206.01</v>
      </c>
      <c r="I2853" s="3">
        <v>396.6</v>
      </c>
      <c r="J2853" s="3">
        <v>123</v>
      </c>
      <c r="K2853" s="3">
        <v>234.42</v>
      </c>
      <c r="L2853" s="3"/>
      <c r="N2853" s="4"/>
    </row>
    <row r="2854" spans="1:14" ht="17.5" thickBot="1" x14ac:dyDescent="0.45">
      <c r="A2854" s="4">
        <v>45711</v>
      </c>
      <c r="B2854" s="3">
        <v>163.53</v>
      </c>
      <c r="C2854" s="3">
        <v>360.6</v>
      </c>
      <c r="D2854" s="3">
        <v>113.77</v>
      </c>
      <c r="E2854" s="3">
        <v>1.5831999999999999</v>
      </c>
      <c r="F2854" s="3">
        <v>330.17</v>
      </c>
      <c r="G2854" s="3">
        <v>462.49</v>
      </c>
      <c r="H2854" s="3">
        <v>206.01</v>
      </c>
      <c r="I2854" s="3">
        <v>396.6</v>
      </c>
      <c r="J2854" s="3">
        <v>123</v>
      </c>
      <c r="K2854" s="3">
        <v>234.42</v>
      </c>
      <c r="L2854" s="3"/>
      <c r="N2854" s="4"/>
    </row>
    <row r="2855" spans="1:14" ht="17.5" thickBot="1" x14ac:dyDescent="0.45">
      <c r="A2855" s="4">
        <v>45712</v>
      </c>
      <c r="B2855" s="3">
        <v>162.63999999999999</v>
      </c>
      <c r="C2855" s="3">
        <v>358.85</v>
      </c>
      <c r="D2855" s="3">
        <v>113.98</v>
      </c>
      <c r="E2855" s="3">
        <v>1.5801000000000001</v>
      </c>
      <c r="F2855" s="3">
        <v>328.81</v>
      </c>
      <c r="G2855" s="3">
        <v>460.39</v>
      </c>
      <c r="H2855" s="3">
        <v>205.7</v>
      </c>
      <c r="I2855" s="3">
        <v>394.58</v>
      </c>
      <c r="J2855" s="3">
        <v>123.02</v>
      </c>
      <c r="K2855" s="3">
        <v>234.06</v>
      </c>
      <c r="L2855" s="3"/>
      <c r="N2855" s="4"/>
    </row>
    <row r="2856" spans="1:14" ht="17.5" thickBot="1" x14ac:dyDescent="0.45">
      <c r="A2856" s="4">
        <v>45713</v>
      </c>
      <c r="B2856" s="3">
        <v>160.49</v>
      </c>
      <c r="C2856" s="3">
        <v>355.09</v>
      </c>
      <c r="D2856" s="3">
        <v>114.36</v>
      </c>
      <c r="E2856" s="3">
        <v>1.5781000000000001</v>
      </c>
      <c r="F2856" s="3">
        <v>326.95999999999998</v>
      </c>
      <c r="G2856" s="3">
        <v>458.93</v>
      </c>
      <c r="H2856" s="3">
        <v>205.46</v>
      </c>
      <c r="I2856" s="3">
        <v>392.69</v>
      </c>
      <c r="J2856" s="3">
        <v>123.03</v>
      </c>
      <c r="K2856" s="3">
        <v>233.75</v>
      </c>
      <c r="L2856" s="3"/>
      <c r="N2856" s="4"/>
    </row>
    <row r="2857" spans="1:14" ht="17.5" thickBot="1" x14ac:dyDescent="0.45">
      <c r="A2857" s="4">
        <v>45714</v>
      </c>
      <c r="B2857" s="3">
        <v>165.49</v>
      </c>
      <c r="C2857" s="3">
        <v>358.5</v>
      </c>
      <c r="D2857" s="3">
        <v>114.53</v>
      </c>
      <c r="E2857" s="3">
        <v>1.5820000000000001</v>
      </c>
      <c r="F2857" s="3">
        <v>330.55</v>
      </c>
      <c r="G2857" s="3">
        <v>458.59</v>
      </c>
      <c r="H2857" s="3">
        <v>206.89</v>
      </c>
      <c r="I2857" s="3">
        <v>392.83</v>
      </c>
      <c r="J2857" s="3">
        <v>123.04</v>
      </c>
      <c r="K2857" s="3">
        <v>235.4</v>
      </c>
      <c r="L2857" s="3"/>
      <c r="N2857" s="4"/>
    </row>
    <row r="2858" spans="1:14" ht="17.5" thickBot="1" x14ac:dyDescent="0.45">
      <c r="A2858" s="4">
        <v>45715</v>
      </c>
      <c r="B2858" s="3">
        <v>165.29</v>
      </c>
      <c r="C2858" s="3">
        <v>356.23</v>
      </c>
      <c r="D2858" s="3">
        <v>114.52</v>
      </c>
      <c r="E2858" s="3">
        <v>1.5691999999999999</v>
      </c>
      <c r="F2858" s="3">
        <v>328.28</v>
      </c>
      <c r="G2858" s="3">
        <v>451.9</v>
      </c>
      <c r="H2858" s="3">
        <v>205.88</v>
      </c>
      <c r="I2858" s="3">
        <v>386.61</v>
      </c>
      <c r="J2858" s="3">
        <v>123.05</v>
      </c>
      <c r="K2858" s="3">
        <v>234.25</v>
      </c>
      <c r="L2858" s="3"/>
      <c r="N2858" s="4"/>
    </row>
    <row r="2859" spans="1:14" ht="17.5" thickBot="1" x14ac:dyDescent="0.45">
      <c r="A2859" s="4">
        <v>45716</v>
      </c>
      <c r="B2859" s="3">
        <v>159.9</v>
      </c>
      <c r="C2859" s="3">
        <v>347.43</v>
      </c>
      <c r="D2859" s="3">
        <v>114.75</v>
      </c>
      <c r="E2859" s="3">
        <v>1.5770999999999999</v>
      </c>
      <c r="F2859" s="3">
        <v>323.99</v>
      </c>
      <c r="G2859" s="3">
        <v>458.83</v>
      </c>
      <c r="H2859" s="3">
        <v>204.6</v>
      </c>
      <c r="I2859" s="3">
        <v>392.78</v>
      </c>
      <c r="J2859" s="3">
        <v>123.06</v>
      </c>
      <c r="K2859" s="3">
        <v>232.76</v>
      </c>
      <c r="L2859" s="3"/>
      <c r="N2859" s="4"/>
    </row>
    <row r="2860" spans="1:14" ht="17.5" thickBot="1" x14ac:dyDescent="0.45">
      <c r="A2860" s="4">
        <v>45717</v>
      </c>
      <c r="B2860" s="3">
        <v>159.9</v>
      </c>
      <c r="C2860" s="3">
        <v>347.43</v>
      </c>
      <c r="D2860" s="3">
        <v>114.75</v>
      </c>
      <c r="E2860" s="3">
        <v>1.5770999999999999</v>
      </c>
      <c r="F2860" s="3">
        <v>323.99</v>
      </c>
      <c r="G2860" s="3">
        <v>458.83</v>
      </c>
      <c r="H2860" s="3">
        <v>204.6</v>
      </c>
      <c r="I2860" s="3">
        <v>392.78</v>
      </c>
      <c r="J2860" s="3">
        <v>123.06</v>
      </c>
      <c r="K2860" s="3">
        <v>232.76</v>
      </c>
      <c r="L2860" s="3"/>
      <c r="N2860" s="4"/>
    </row>
    <row r="2861" spans="1:14" ht="17.5" thickBot="1" x14ac:dyDescent="0.45">
      <c r="A2861" s="4">
        <v>45718</v>
      </c>
      <c r="B2861" s="3">
        <v>159.9</v>
      </c>
      <c r="C2861" s="3">
        <v>347.43</v>
      </c>
      <c r="D2861" s="3">
        <v>114.75</v>
      </c>
      <c r="E2861" s="3">
        <v>1.5770999999999999</v>
      </c>
      <c r="F2861" s="3">
        <v>323.99</v>
      </c>
      <c r="G2861" s="3">
        <v>458.83</v>
      </c>
      <c r="H2861" s="3">
        <v>204.6</v>
      </c>
      <c r="I2861" s="3">
        <v>392.78</v>
      </c>
      <c r="J2861" s="3">
        <v>123.06</v>
      </c>
      <c r="K2861" s="3">
        <v>232.76</v>
      </c>
      <c r="L2861" s="3"/>
      <c r="N2861" s="4"/>
    </row>
    <row r="2862" spans="1:14" ht="17.5" thickBot="1" x14ac:dyDescent="0.45">
      <c r="A2862" s="4">
        <v>45719</v>
      </c>
      <c r="B2862" s="3">
        <v>160.32</v>
      </c>
      <c r="C2862" s="3">
        <v>348.43</v>
      </c>
      <c r="D2862" s="3">
        <v>114.94</v>
      </c>
      <c r="E2862" s="3">
        <v>1.5692999999999999</v>
      </c>
      <c r="F2862" s="3">
        <v>324.94</v>
      </c>
      <c r="G2862" s="3">
        <v>451.08</v>
      </c>
      <c r="H2862" s="3">
        <v>205.01</v>
      </c>
      <c r="I2862" s="3">
        <v>386.02</v>
      </c>
      <c r="J2862" s="3">
        <v>123.09</v>
      </c>
      <c r="K2862" s="3">
        <v>233.27</v>
      </c>
      <c r="L2862" s="3"/>
      <c r="N2862" s="4"/>
    </row>
    <row r="2863" spans="1:14" ht="17.5" thickBot="1" x14ac:dyDescent="0.45">
      <c r="A2863" s="4">
        <v>45720</v>
      </c>
      <c r="B2863" s="3">
        <v>159.83000000000001</v>
      </c>
      <c r="C2863" s="3">
        <v>348.14</v>
      </c>
      <c r="D2863" s="3">
        <v>114.9</v>
      </c>
      <c r="E2863" s="3">
        <v>1.5577000000000001</v>
      </c>
      <c r="F2863" s="3">
        <v>323.07</v>
      </c>
      <c r="G2863" s="3">
        <v>445.56</v>
      </c>
      <c r="H2863" s="3">
        <v>204.3</v>
      </c>
      <c r="I2863" s="3">
        <v>381.36</v>
      </c>
      <c r="J2863" s="3">
        <v>123.1</v>
      </c>
      <c r="K2863" s="3">
        <v>232.4</v>
      </c>
      <c r="L2863" s="3"/>
      <c r="N2863" s="4"/>
    </row>
    <row r="2864" spans="1:14" ht="17.5" thickBot="1" x14ac:dyDescent="0.45">
      <c r="A2864" s="4">
        <v>45721</v>
      </c>
      <c r="B2864" s="3">
        <v>164.26</v>
      </c>
      <c r="C2864" s="3">
        <v>353.74</v>
      </c>
      <c r="D2864" s="3">
        <v>114.67</v>
      </c>
      <c r="E2864" s="3">
        <v>1.5670999999999999</v>
      </c>
      <c r="F2864" s="3">
        <v>328.46</v>
      </c>
      <c r="G2864" s="3">
        <v>450.52</v>
      </c>
      <c r="H2864" s="3">
        <v>205.9</v>
      </c>
      <c r="I2864" s="3">
        <v>385.45</v>
      </c>
      <c r="J2864" s="3">
        <v>123.11</v>
      </c>
      <c r="K2864" s="3">
        <v>234.25</v>
      </c>
      <c r="L2864" s="3"/>
      <c r="N2864" s="4"/>
    </row>
    <row r="2865" spans="1:14" ht="17.5" thickBot="1" x14ac:dyDescent="0.45">
      <c r="A2865" s="4">
        <v>45722</v>
      </c>
      <c r="B2865" s="3">
        <v>170.03</v>
      </c>
      <c r="C2865" s="3">
        <v>359.11</v>
      </c>
      <c r="D2865" s="3">
        <v>114.54</v>
      </c>
      <c r="E2865" s="3">
        <v>1.5573999999999999</v>
      </c>
      <c r="F2865" s="3">
        <v>331.94</v>
      </c>
      <c r="G2865" s="3">
        <v>443.26</v>
      </c>
      <c r="H2865" s="3">
        <v>206.99</v>
      </c>
      <c r="I2865" s="3">
        <v>378.6</v>
      </c>
      <c r="J2865" s="3">
        <v>123.12</v>
      </c>
      <c r="K2865" s="3">
        <v>235.54</v>
      </c>
      <c r="L2865" s="3"/>
      <c r="N2865" s="4"/>
    </row>
    <row r="2866" spans="1:14" ht="17.5" thickBot="1" x14ac:dyDescent="0.45">
      <c r="A2866" s="4">
        <v>45723</v>
      </c>
      <c r="B2866" s="3">
        <v>169.32</v>
      </c>
      <c r="C2866" s="3">
        <v>356.03</v>
      </c>
      <c r="D2866" s="3">
        <v>114.58</v>
      </c>
      <c r="E2866" s="3">
        <v>1.5592999999999999</v>
      </c>
      <c r="F2866" s="3">
        <v>330.68</v>
      </c>
      <c r="G2866" s="3">
        <v>445.87</v>
      </c>
      <c r="H2866" s="3">
        <v>206.65</v>
      </c>
      <c r="I2866" s="3">
        <v>380.52</v>
      </c>
      <c r="J2866" s="3">
        <v>123.13</v>
      </c>
      <c r="K2866" s="3">
        <v>235.09</v>
      </c>
      <c r="L2866" s="3"/>
      <c r="N2866" s="4"/>
    </row>
    <row r="2867" spans="1:14" ht="17.5" thickBot="1" x14ac:dyDescent="0.45">
      <c r="A2867" s="4">
        <v>45724</v>
      </c>
      <c r="B2867" s="3">
        <v>169.32</v>
      </c>
      <c r="C2867" s="3">
        <v>356.03</v>
      </c>
      <c r="D2867" s="3">
        <v>114.58</v>
      </c>
      <c r="E2867" s="3">
        <v>1.5592999999999999</v>
      </c>
      <c r="F2867" s="3">
        <v>330.68</v>
      </c>
      <c r="G2867" s="3">
        <v>445.87</v>
      </c>
      <c r="H2867" s="3">
        <v>206.65</v>
      </c>
      <c r="I2867" s="3">
        <v>380.52</v>
      </c>
      <c r="J2867" s="3">
        <v>123.13</v>
      </c>
      <c r="K2867" s="3">
        <v>235.09</v>
      </c>
      <c r="L2867" s="3"/>
      <c r="N2867" s="4"/>
    </row>
    <row r="2868" spans="1:14" ht="17.5" thickBot="1" x14ac:dyDescent="0.45">
      <c r="A2868" s="4">
        <v>45725</v>
      </c>
      <c r="B2868" s="3">
        <v>169.32</v>
      </c>
      <c r="C2868" s="3">
        <v>356.03</v>
      </c>
      <c r="D2868" s="3">
        <v>114.58</v>
      </c>
      <c r="E2868" s="3">
        <v>1.5592999999999999</v>
      </c>
      <c r="F2868" s="3">
        <v>330.68</v>
      </c>
      <c r="G2868" s="3">
        <v>445.87</v>
      </c>
      <c r="H2868" s="3">
        <v>206.65</v>
      </c>
      <c r="I2868" s="3">
        <v>380.52</v>
      </c>
      <c r="J2868" s="3">
        <v>123.13</v>
      </c>
      <c r="K2868" s="3">
        <v>235.09</v>
      </c>
      <c r="L2868" s="3"/>
      <c r="N2868" s="4"/>
    </row>
    <row r="2869" spans="1:14" ht="17.5" thickBot="1" x14ac:dyDescent="0.45">
      <c r="A2869" s="4">
        <v>45726</v>
      </c>
      <c r="B2869" s="3">
        <v>166.26</v>
      </c>
      <c r="C2869" s="3">
        <v>352.08</v>
      </c>
      <c r="D2869" s="3">
        <v>114.7</v>
      </c>
      <c r="E2869" s="3">
        <v>1.5396000000000001</v>
      </c>
      <c r="F2869" s="3">
        <v>325.74</v>
      </c>
      <c r="G2869" s="3">
        <v>434.68</v>
      </c>
      <c r="H2869" s="3">
        <v>205.07</v>
      </c>
      <c r="I2869" s="3">
        <v>370.46</v>
      </c>
      <c r="J2869" s="3">
        <v>123.15</v>
      </c>
      <c r="K2869" s="3">
        <v>233.27</v>
      </c>
      <c r="L2869" s="3"/>
      <c r="N2869" s="4"/>
    </row>
    <row r="2870" spans="1:14" ht="17.5" thickBot="1" x14ac:dyDescent="0.45">
      <c r="A2870" s="4">
        <v>45727</v>
      </c>
      <c r="B2870" s="3">
        <v>165.78</v>
      </c>
      <c r="C2870" s="3">
        <v>348.9</v>
      </c>
      <c r="D2870" s="3">
        <v>114.57</v>
      </c>
      <c r="E2870" s="3">
        <v>1.5316000000000001</v>
      </c>
      <c r="F2870" s="3">
        <v>323.81</v>
      </c>
      <c r="G2870" s="3">
        <v>431.07</v>
      </c>
      <c r="H2870" s="3">
        <v>204.31</v>
      </c>
      <c r="I2870" s="3">
        <v>367.39</v>
      </c>
      <c r="J2870" s="3">
        <v>123.16</v>
      </c>
      <c r="K2870" s="3">
        <v>232.35</v>
      </c>
      <c r="L2870" s="3"/>
      <c r="N2870" s="4"/>
    </row>
    <row r="2871" spans="1:14" ht="17.5" thickBot="1" x14ac:dyDescent="0.45">
      <c r="A2871" s="4">
        <v>45728</v>
      </c>
      <c r="B2871" s="3">
        <v>165.51</v>
      </c>
      <c r="C2871" s="3">
        <v>349.6</v>
      </c>
      <c r="D2871" s="3">
        <v>114.37</v>
      </c>
      <c r="E2871" s="3">
        <v>1.5355000000000001</v>
      </c>
      <c r="F2871" s="3">
        <v>324.44</v>
      </c>
      <c r="G2871" s="3">
        <v>432.8</v>
      </c>
      <c r="H2871" s="3">
        <v>204.31</v>
      </c>
      <c r="I2871" s="3">
        <v>369.14</v>
      </c>
      <c r="J2871" s="3">
        <v>123.17</v>
      </c>
      <c r="K2871" s="3">
        <v>232.4</v>
      </c>
      <c r="L2871" s="3"/>
      <c r="N2871" s="4"/>
    </row>
    <row r="2872" spans="1:14" ht="17.5" thickBot="1" x14ac:dyDescent="0.45">
      <c r="A2872" s="4">
        <v>45729</v>
      </c>
      <c r="B2872" s="3">
        <v>164.1</v>
      </c>
      <c r="C2872" s="3">
        <v>347.95</v>
      </c>
      <c r="D2872" s="3">
        <v>114.42</v>
      </c>
      <c r="E2872" s="3">
        <v>1.5269999999999999</v>
      </c>
      <c r="F2872" s="3">
        <v>322.58</v>
      </c>
      <c r="G2872" s="3">
        <v>426.98</v>
      </c>
      <c r="H2872" s="3">
        <v>203.74</v>
      </c>
      <c r="I2872" s="3">
        <v>364.44</v>
      </c>
      <c r="J2872" s="3">
        <v>123.18</v>
      </c>
      <c r="K2872" s="3">
        <v>231.76</v>
      </c>
      <c r="L2872" s="3"/>
      <c r="N2872" s="4"/>
    </row>
    <row r="2873" spans="1:14" ht="17.5" thickBot="1" x14ac:dyDescent="0.45">
      <c r="A2873" s="4">
        <v>45730</v>
      </c>
      <c r="B2873" s="3">
        <v>167.55</v>
      </c>
      <c r="C2873" s="3">
        <v>350.78</v>
      </c>
      <c r="D2873" s="3">
        <v>114.34</v>
      </c>
      <c r="E2873" s="3">
        <v>1.542</v>
      </c>
      <c r="F2873" s="3">
        <v>327.17</v>
      </c>
      <c r="G2873" s="3">
        <v>435.91</v>
      </c>
      <c r="H2873" s="3">
        <v>205.25</v>
      </c>
      <c r="I2873" s="3">
        <v>371.99</v>
      </c>
      <c r="J2873" s="3">
        <v>123.19</v>
      </c>
      <c r="K2873" s="3">
        <v>233.53</v>
      </c>
      <c r="L2873" s="3"/>
      <c r="N2873" s="4"/>
    </row>
    <row r="2874" spans="1:14" ht="17.5" thickBot="1" x14ac:dyDescent="0.45">
      <c r="A2874" s="4">
        <v>45731</v>
      </c>
      <c r="B2874" s="3">
        <v>167.55</v>
      </c>
      <c r="C2874" s="3">
        <v>350.78</v>
      </c>
      <c r="D2874" s="3">
        <v>114.34</v>
      </c>
      <c r="E2874" s="3">
        <v>1.542</v>
      </c>
      <c r="F2874" s="3">
        <v>327.17</v>
      </c>
      <c r="G2874" s="3">
        <v>435.91</v>
      </c>
      <c r="H2874" s="3">
        <v>205.25</v>
      </c>
      <c r="I2874" s="3">
        <v>371.99</v>
      </c>
      <c r="J2874" s="3">
        <v>123.19</v>
      </c>
      <c r="K2874" s="3">
        <v>233.53</v>
      </c>
      <c r="L2874" s="3"/>
      <c r="N2874" s="4"/>
    </row>
    <row r="2875" spans="1:14" ht="17.5" thickBot="1" x14ac:dyDescent="0.45">
      <c r="A2875" s="4">
        <v>45732</v>
      </c>
      <c r="B2875" s="3">
        <v>167.55</v>
      </c>
      <c r="C2875" s="3">
        <v>350.78</v>
      </c>
      <c r="D2875" s="3">
        <v>114.34</v>
      </c>
      <c r="E2875" s="3">
        <v>1.542</v>
      </c>
      <c r="F2875" s="3">
        <v>327.17</v>
      </c>
      <c r="G2875" s="3">
        <v>435.91</v>
      </c>
      <c r="H2875" s="3">
        <v>205.25</v>
      </c>
      <c r="I2875" s="3">
        <v>371.99</v>
      </c>
      <c r="J2875" s="3">
        <v>123.19</v>
      </c>
      <c r="K2875" s="3">
        <v>233.53</v>
      </c>
      <c r="L2875" s="3"/>
      <c r="N2875" s="4"/>
    </row>
    <row r="2876" spans="1:14" ht="17.5" thickBot="1" x14ac:dyDescent="0.45">
      <c r="A2876" s="4">
        <v>45733</v>
      </c>
      <c r="B2876" s="3">
        <v>168.86</v>
      </c>
      <c r="C2876" s="3">
        <v>354.8</v>
      </c>
      <c r="D2876" s="3">
        <v>114.35</v>
      </c>
      <c r="E2876" s="3">
        <v>1.5507</v>
      </c>
      <c r="F2876" s="3">
        <v>329.72</v>
      </c>
      <c r="G2876" s="3">
        <v>438.28</v>
      </c>
      <c r="H2876" s="3">
        <v>206.3</v>
      </c>
      <c r="I2876" s="3">
        <v>374.58</v>
      </c>
      <c r="J2876" s="3">
        <v>123.22</v>
      </c>
      <c r="K2876" s="3">
        <v>234.72</v>
      </c>
      <c r="L2876" s="3"/>
      <c r="N2876" s="4"/>
    </row>
    <row r="2877" spans="1:14" ht="17.5" thickBot="1" x14ac:dyDescent="0.45">
      <c r="A2877" s="4">
        <v>45734</v>
      </c>
      <c r="B2877" s="3">
        <v>172.79</v>
      </c>
      <c r="C2877" s="3">
        <v>359.11</v>
      </c>
      <c r="D2877" s="3">
        <v>114.36</v>
      </c>
      <c r="E2877" s="3">
        <v>1.5467</v>
      </c>
      <c r="F2877" s="3">
        <v>332.09</v>
      </c>
      <c r="G2877" s="3">
        <v>433.58</v>
      </c>
      <c r="H2877" s="3">
        <v>207.15</v>
      </c>
      <c r="I2877" s="3">
        <v>370.34</v>
      </c>
      <c r="J2877" s="3">
        <v>123.23</v>
      </c>
      <c r="K2877" s="3">
        <v>235.7</v>
      </c>
      <c r="L2877" s="3"/>
      <c r="N2877" s="4"/>
    </row>
    <row r="2878" spans="1:14" ht="17.5" thickBot="1" x14ac:dyDescent="0.45">
      <c r="A2878" s="4">
        <v>45735</v>
      </c>
      <c r="B2878" s="3">
        <v>173.09</v>
      </c>
      <c r="C2878" s="3">
        <v>358.86</v>
      </c>
      <c r="D2878" s="3">
        <v>114.51</v>
      </c>
      <c r="E2878" s="3">
        <v>1.5544</v>
      </c>
      <c r="F2878" s="3">
        <v>332.57</v>
      </c>
      <c r="G2878" s="3">
        <v>437.96</v>
      </c>
      <c r="H2878" s="3">
        <v>207.41</v>
      </c>
      <c r="I2878" s="3">
        <v>374.32</v>
      </c>
      <c r="J2878" s="3">
        <v>123.23</v>
      </c>
      <c r="K2878" s="3">
        <v>236</v>
      </c>
      <c r="L2878" s="3"/>
      <c r="N2878" s="4"/>
    </row>
    <row r="2879" spans="1:14" ht="17.5" thickBot="1" x14ac:dyDescent="0.45">
      <c r="A2879" s="4">
        <v>45736</v>
      </c>
      <c r="B2879" s="3">
        <v>169.38</v>
      </c>
      <c r="C2879" s="3">
        <v>358.25</v>
      </c>
      <c r="D2879" s="3">
        <v>114.76</v>
      </c>
      <c r="E2879" s="3">
        <v>1.5528</v>
      </c>
      <c r="F2879" s="3">
        <v>330.4</v>
      </c>
      <c r="G2879" s="3">
        <v>437.14</v>
      </c>
      <c r="H2879" s="3">
        <v>206.72</v>
      </c>
      <c r="I2879" s="3">
        <v>373.41</v>
      </c>
      <c r="J2879" s="3">
        <v>123.24</v>
      </c>
      <c r="K2879" s="3">
        <v>235.18</v>
      </c>
      <c r="L2879" s="3"/>
      <c r="N2879" s="4"/>
    </row>
    <row r="2880" spans="1:14" ht="17.5" thickBot="1" x14ac:dyDescent="0.45">
      <c r="A2880" s="4">
        <v>45737</v>
      </c>
      <c r="B2880" s="3">
        <v>165.65</v>
      </c>
      <c r="C2880" s="3">
        <v>356.11</v>
      </c>
      <c r="D2880" s="3">
        <v>114.69</v>
      </c>
      <c r="E2880" s="3">
        <v>1.5508999999999999</v>
      </c>
      <c r="F2880" s="3">
        <v>327.97</v>
      </c>
      <c r="G2880" s="3">
        <v>437.32</v>
      </c>
      <c r="H2880" s="3">
        <v>205.72</v>
      </c>
      <c r="I2880" s="3">
        <v>373.32</v>
      </c>
      <c r="J2880" s="3">
        <v>123.25</v>
      </c>
      <c r="K2880" s="3">
        <v>234.03</v>
      </c>
      <c r="L2880" s="3"/>
      <c r="N2880" s="4"/>
    </row>
    <row r="2881" spans="1:14" ht="17.5" thickBot="1" x14ac:dyDescent="0.45">
      <c r="A2881" s="4">
        <v>45738</v>
      </c>
      <c r="B2881" s="3">
        <v>165.65</v>
      </c>
      <c r="C2881" s="3">
        <v>356.11</v>
      </c>
      <c r="D2881" s="3">
        <v>114.69</v>
      </c>
      <c r="E2881" s="3">
        <v>1.5508999999999999</v>
      </c>
      <c r="F2881" s="3">
        <v>327.97</v>
      </c>
      <c r="G2881" s="3">
        <v>437.32</v>
      </c>
      <c r="H2881" s="3">
        <v>205.72</v>
      </c>
      <c r="I2881" s="3">
        <v>373.32</v>
      </c>
      <c r="J2881" s="3">
        <v>123.25</v>
      </c>
      <c r="K2881" s="3">
        <v>234.03</v>
      </c>
      <c r="L2881" s="3"/>
      <c r="N2881" s="4"/>
    </row>
    <row r="2882" spans="1:14" ht="17.5" thickBot="1" x14ac:dyDescent="0.45">
      <c r="A2882" s="4">
        <v>45739</v>
      </c>
      <c r="B2882" s="3">
        <v>165.65</v>
      </c>
      <c r="C2882" s="3">
        <v>356.11</v>
      </c>
      <c r="D2882" s="3">
        <v>114.69</v>
      </c>
      <c r="E2882" s="3">
        <v>1.5508999999999999</v>
      </c>
      <c r="F2882" s="3">
        <v>327.97</v>
      </c>
      <c r="G2882" s="3">
        <v>437.32</v>
      </c>
      <c r="H2882" s="3">
        <v>205.72</v>
      </c>
      <c r="I2882" s="3">
        <v>373.32</v>
      </c>
      <c r="J2882" s="3">
        <v>123.25</v>
      </c>
      <c r="K2882" s="3">
        <v>234.03</v>
      </c>
      <c r="L2882" s="3"/>
      <c r="N2882" s="4"/>
    </row>
    <row r="2883" spans="1:14" ht="17.5" thickBot="1" x14ac:dyDescent="0.45">
      <c r="A2883" s="4">
        <v>45740</v>
      </c>
      <c r="B2883" s="3">
        <v>167.01</v>
      </c>
      <c r="C2883" s="3">
        <v>357.81</v>
      </c>
      <c r="D2883" s="3">
        <v>114.39</v>
      </c>
      <c r="E2883" s="3">
        <v>1.56</v>
      </c>
      <c r="F2883" s="3">
        <v>329.26</v>
      </c>
      <c r="G2883" s="3">
        <v>445.09</v>
      </c>
      <c r="H2883" s="3">
        <v>205.91</v>
      </c>
      <c r="I2883" s="3">
        <v>379.96</v>
      </c>
      <c r="J2883" s="3">
        <v>123.28</v>
      </c>
      <c r="K2883" s="3">
        <v>234.25</v>
      </c>
      <c r="L2883" s="3"/>
      <c r="N2883" s="4"/>
    </row>
    <row r="2884" spans="1:14" ht="17.5" thickBot="1" x14ac:dyDescent="0.45">
      <c r="A2884" s="4">
        <v>45741</v>
      </c>
      <c r="B2884" s="3">
        <v>163.34</v>
      </c>
      <c r="C2884" s="3">
        <v>355.92</v>
      </c>
      <c r="D2884" s="3">
        <v>114.32</v>
      </c>
      <c r="E2884" s="3">
        <v>1.5622</v>
      </c>
      <c r="F2884" s="3">
        <v>327.99</v>
      </c>
      <c r="G2884" s="3">
        <v>445.91</v>
      </c>
      <c r="H2884" s="3">
        <v>205.47</v>
      </c>
      <c r="I2884" s="3">
        <v>380.85</v>
      </c>
      <c r="J2884" s="3">
        <v>123.29</v>
      </c>
      <c r="K2884" s="3">
        <v>233.73</v>
      </c>
      <c r="L2884" s="3"/>
      <c r="N2884" s="4"/>
    </row>
    <row r="2885" spans="1:14" ht="17.5" thickBot="1" x14ac:dyDescent="0.45">
      <c r="A2885" s="4">
        <v>45742</v>
      </c>
      <c r="B2885" s="3">
        <v>164.16</v>
      </c>
      <c r="C2885" s="3">
        <v>357.24</v>
      </c>
      <c r="D2885" s="3">
        <v>114.22</v>
      </c>
      <c r="E2885" s="3">
        <v>1.5536000000000001</v>
      </c>
      <c r="F2885" s="3">
        <v>327.49</v>
      </c>
      <c r="G2885" s="3">
        <v>441.09</v>
      </c>
      <c r="H2885" s="3">
        <v>205.18</v>
      </c>
      <c r="I2885" s="3">
        <v>376.5</v>
      </c>
      <c r="J2885" s="3">
        <v>123.3</v>
      </c>
      <c r="K2885" s="3">
        <v>233.41</v>
      </c>
      <c r="L2885" s="3"/>
      <c r="N2885" s="4"/>
    </row>
    <row r="2886" spans="1:14" ht="17.5" thickBot="1" x14ac:dyDescent="0.45">
      <c r="A2886" s="4">
        <v>45743</v>
      </c>
      <c r="B2886" s="3">
        <v>164.84</v>
      </c>
      <c r="C2886" s="3">
        <v>355.99</v>
      </c>
      <c r="D2886" s="3">
        <v>114.05</v>
      </c>
      <c r="E2886" s="3">
        <v>1.5505</v>
      </c>
      <c r="F2886" s="3">
        <v>327.17</v>
      </c>
      <c r="G2886" s="3">
        <v>439.6</v>
      </c>
      <c r="H2886" s="3">
        <v>204.99</v>
      </c>
      <c r="I2886" s="3">
        <v>375.37</v>
      </c>
      <c r="J2886" s="3">
        <v>123.31</v>
      </c>
      <c r="K2886" s="3">
        <v>233.21</v>
      </c>
      <c r="L2886" s="3"/>
      <c r="N2886" s="4"/>
    </row>
    <row r="2887" spans="1:14" ht="17.5" thickBot="1" x14ac:dyDescent="0.45">
      <c r="A2887" s="4">
        <v>45744</v>
      </c>
      <c r="B2887" s="3">
        <v>163.72</v>
      </c>
      <c r="C2887" s="3">
        <v>353.51</v>
      </c>
      <c r="D2887" s="3">
        <v>114.41</v>
      </c>
      <c r="E2887" s="3">
        <v>1.5389999999999999</v>
      </c>
      <c r="F2887" s="3">
        <v>324.62</v>
      </c>
      <c r="G2887" s="3">
        <v>430.84</v>
      </c>
      <c r="H2887" s="3">
        <v>204.57</v>
      </c>
      <c r="I2887" s="3">
        <v>367.83</v>
      </c>
      <c r="J2887" s="3">
        <v>123.32</v>
      </c>
      <c r="K2887" s="3">
        <v>232.7</v>
      </c>
      <c r="L2887" s="3"/>
      <c r="N2887" s="4"/>
    </row>
    <row r="2888" spans="1:14" ht="17.5" thickBot="1" x14ac:dyDescent="0.45">
      <c r="A2888" s="4">
        <v>45745</v>
      </c>
      <c r="B2888" s="3">
        <v>163.72</v>
      </c>
      <c r="C2888" s="3">
        <v>353.51</v>
      </c>
      <c r="D2888" s="3">
        <v>114.41</v>
      </c>
      <c r="E2888" s="3">
        <v>1.5389999999999999</v>
      </c>
      <c r="F2888" s="3">
        <v>324.62</v>
      </c>
      <c r="G2888" s="3">
        <v>430.84</v>
      </c>
      <c r="H2888" s="3">
        <v>204.57</v>
      </c>
      <c r="I2888" s="3">
        <v>367.83</v>
      </c>
      <c r="J2888" s="3">
        <v>123.32</v>
      </c>
      <c r="K2888" s="3">
        <v>232.7</v>
      </c>
      <c r="L2888" s="3"/>
      <c r="N2888" s="4"/>
    </row>
    <row r="2889" spans="1:14" ht="17.5" thickBot="1" x14ac:dyDescent="0.45">
      <c r="A2889" s="4">
        <v>45746</v>
      </c>
      <c r="B2889" s="3">
        <v>163.72</v>
      </c>
      <c r="C2889" s="3">
        <v>353.51</v>
      </c>
      <c r="D2889" s="3">
        <v>114.41</v>
      </c>
      <c r="E2889" s="3">
        <v>1.5389999999999999</v>
      </c>
      <c r="F2889" s="3">
        <v>324.62</v>
      </c>
      <c r="G2889" s="3">
        <v>430.84</v>
      </c>
      <c r="H2889" s="3">
        <v>204.57</v>
      </c>
      <c r="I2889" s="3">
        <v>367.83</v>
      </c>
      <c r="J2889" s="3">
        <v>123.32</v>
      </c>
      <c r="K2889" s="3">
        <v>232.7</v>
      </c>
      <c r="L2889" s="3"/>
      <c r="N2889" s="4"/>
    </row>
    <row r="2890" spans="1:14" ht="17.5" thickBot="1" x14ac:dyDescent="0.45">
      <c r="A2890" s="4">
        <v>45747</v>
      </c>
      <c r="B2890" s="3">
        <v>161.93</v>
      </c>
      <c r="C2890" s="3">
        <v>346.44</v>
      </c>
      <c r="D2890" s="3">
        <v>114.65</v>
      </c>
      <c r="E2890" s="3">
        <v>1.5368999999999999</v>
      </c>
      <c r="F2890" s="3">
        <v>320.70999999999998</v>
      </c>
      <c r="G2890" s="3">
        <v>433.33</v>
      </c>
      <c r="H2890" s="3">
        <v>203.42</v>
      </c>
      <c r="I2890" s="3">
        <v>370.38</v>
      </c>
      <c r="J2890" s="3">
        <v>123.34</v>
      </c>
      <c r="K2890" s="3">
        <v>231.31</v>
      </c>
      <c r="L2890" s="3"/>
      <c r="N2890" s="4"/>
    </row>
    <row r="2891" spans="1:14" ht="17.5" thickBot="1" x14ac:dyDescent="0.45">
      <c r="A2891" s="4">
        <v>45748</v>
      </c>
      <c r="B2891" s="3">
        <v>162.18</v>
      </c>
      <c r="C2891" s="3">
        <v>349.01</v>
      </c>
      <c r="D2891" s="3">
        <v>114.84</v>
      </c>
      <c r="E2891" s="3">
        <v>1.5437000000000001</v>
      </c>
      <c r="F2891" s="3">
        <v>322.51</v>
      </c>
      <c r="G2891" s="3">
        <v>434.92</v>
      </c>
      <c r="H2891" s="3">
        <v>204.29</v>
      </c>
      <c r="I2891" s="3">
        <v>371.6</v>
      </c>
      <c r="J2891" s="3">
        <v>123.35</v>
      </c>
      <c r="K2891" s="3">
        <v>232.34</v>
      </c>
      <c r="L2891" s="3"/>
      <c r="N2891" s="4"/>
    </row>
    <row r="2892" spans="1:14" ht="17.5" thickBot="1" x14ac:dyDescent="0.45">
      <c r="A2892" s="4">
        <v>45749</v>
      </c>
      <c r="B2892" s="3">
        <v>162.33000000000001</v>
      </c>
      <c r="C2892" s="3">
        <v>349.99</v>
      </c>
      <c r="D2892" s="3">
        <v>114.87</v>
      </c>
      <c r="E2892" s="3">
        <v>1.5478000000000001</v>
      </c>
      <c r="F2892" s="3">
        <v>322.73</v>
      </c>
      <c r="G2892" s="3">
        <v>437.77</v>
      </c>
      <c r="H2892" s="3">
        <v>204.39</v>
      </c>
      <c r="I2892" s="3">
        <v>373.88</v>
      </c>
      <c r="J2892" s="3">
        <v>123.36</v>
      </c>
      <c r="K2892" s="3">
        <v>232.44</v>
      </c>
      <c r="L2892" s="3"/>
      <c r="N2892" s="4"/>
    </row>
    <row r="2893" spans="1:14" ht="17.5" thickBot="1" x14ac:dyDescent="0.45">
      <c r="A2893" s="4">
        <v>45750</v>
      </c>
      <c r="B2893" s="3">
        <v>159.69</v>
      </c>
      <c r="C2893" s="3">
        <v>347.32</v>
      </c>
      <c r="D2893" s="3">
        <v>115.03</v>
      </c>
      <c r="E2893" s="3">
        <v>1.5193000000000001</v>
      </c>
      <c r="F2893" s="3">
        <v>317.33999999999997</v>
      </c>
      <c r="G2893" s="3">
        <v>416.46</v>
      </c>
      <c r="H2893" s="3">
        <v>203.2</v>
      </c>
      <c r="I2893" s="3">
        <v>355.87</v>
      </c>
      <c r="J2893" s="3">
        <v>123.37</v>
      </c>
      <c r="K2893" s="3">
        <v>231.05</v>
      </c>
      <c r="L2893" s="3"/>
      <c r="N2893" s="4"/>
    </row>
    <row r="2894" spans="1:14" ht="17.5" thickBot="1" x14ac:dyDescent="0.45">
      <c r="A2894" s="4">
        <v>45751</v>
      </c>
      <c r="B2894" s="3">
        <v>159.69</v>
      </c>
      <c r="C2894" s="3">
        <v>347.32</v>
      </c>
      <c r="D2894" s="3">
        <v>115.03</v>
      </c>
      <c r="E2894" s="3">
        <v>1.5193000000000001</v>
      </c>
      <c r="F2894" s="3">
        <v>317.33999999999997</v>
      </c>
      <c r="G2894" s="3">
        <v>416.46</v>
      </c>
      <c r="H2894" s="3">
        <v>203.2</v>
      </c>
      <c r="I2894" s="3">
        <v>355.87</v>
      </c>
      <c r="J2894" s="3">
        <v>123.37</v>
      </c>
      <c r="K2894" s="3">
        <v>231.05</v>
      </c>
      <c r="L2894" s="3"/>
      <c r="N2894" s="4"/>
    </row>
    <row r="2895" spans="1:14" ht="17.5" thickBot="1" x14ac:dyDescent="0.45">
      <c r="A2895" s="4">
        <v>45752</v>
      </c>
      <c r="B2895" s="3">
        <v>159.69</v>
      </c>
      <c r="C2895" s="3">
        <v>347.32</v>
      </c>
      <c r="D2895" s="3">
        <v>115.03</v>
      </c>
      <c r="E2895" s="3">
        <v>1.5193000000000001</v>
      </c>
      <c r="F2895" s="3">
        <v>317.33999999999997</v>
      </c>
      <c r="G2895" s="3">
        <v>416.46</v>
      </c>
      <c r="H2895" s="3">
        <v>203.2</v>
      </c>
      <c r="I2895" s="3">
        <v>355.87</v>
      </c>
      <c r="J2895" s="3">
        <v>123.37</v>
      </c>
      <c r="K2895" s="3">
        <v>231.05</v>
      </c>
      <c r="L2895" s="3"/>
      <c r="N2895" s="4"/>
    </row>
    <row r="2896" spans="1:14" ht="17.5" thickBot="1" x14ac:dyDescent="0.45">
      <c r="A2896" s="4">
        <v>45753</v>
      </c>
      <c r="B2896" s="3">
        <v>159.69</v>
      </c>
      <c r="C2896" s="3">
        <v>347.32</v>
      </c>
      <c r="D2896" s="3">
        <v>115.03</v>
      </c>
      <c r="E2896" s="3">
        <v>1.5193000000000001</v>
      </c>
      <c r="F2896" s="3">
        <v>317.33999999999997</v>
      </c>
      <c r="G2896" s="3">
        <v>416.46</v>
      </c>
      <c r="H2896" s="3">
        <v>203.2</v>
      </c>
      <c r="I2896" s="3">
        <v>355.87</v>
      </c>
      <c r="J2896" s="3">
        <v>123.37</v>
      </c>
      <c r="K2896" s="3">
        <v>231.05</v>
      </c>
      <c r="L2896" s="3"/>
      <c r="N2896" s="4"/>
    </row>
    <row r="2897" spans="1:14" ht="17.5" thickBot="1" x14ac:dyDescent="0.45">
      <c r="A2897" s="4">
        <v>45754</v>
      </c>
      <c r="B2897" s="3">
        <v>138.32</v>
      </c>
      <c r="C2897" s="3">
        <v>311.51</v>
      </c>
      <c r="D2897" s="3">
        <v>113.83</v>
      </c>
      <c r="E2897" s="3">
        <v>1.4480999999999999</v>
      </c>
      <c r="F2897" s="3">
        <v>286.85000000000002</v>
      </c>
      <c r="G2897" s="3">
        <v>390.89</v>
      </c>
      <c r="H2897" s="3">
        <v>191.85</v>
      </c>
      <c r="I2897" s="3">
        <v>333.61</v>
      </c>
      <c r="J2897" s="3">
        <v>123.41</v>
      </c>
      <c r="K2897" s="3">
        <v>217.86</v>
      </c>
      <c r="L2897" s="3"/>
      <c r="N2897" s="4"/>
    </row>
    <row r="2898" spans="1:14" ht="17.5" thickBot="1" x14ac:dyDescent="0.45">
      <c r="A2898" s="4">
        <v>45755</v>
      </c>
      <c r="B2898" s="3">
        <v>140.29</v>
      </c>
      <c r="C2898" s="3">
        <v>312.7</v>
      </c>
      <c r="D2898" s="3">
        <v>113.41</v>
      </c>
      <c r="E2898" s="3">
        <v>1.4440999999999999</v>
      </c>
      <c r="F2898" s="3">
        <v>290.39</v>
      </c>
      <c r="G2898" s="3">
        <v>384.67</v>
      </c>
      <c r="H2898" s="3">
        <v>192.62</v>
      </c>
      <c r="I2898" s="3">
        <v>328.6</v>
      </c>
      <c r="J2898" s="3">
        <v>123.42</v>
      </c>
      <c r="K2898" s="3">
        <v>218.76</v>
      </c>
      <c r="L2898" s="3"/>
      <c r="N2898" s="4"/>
    </row>
    <row r="2899" spans="1:14" ht="17.5" thickBot="1" x14ac:dyDescent="0.45">
      <c r="A2899" s="4">
        <v>45756</v>
      </c>
      <c r="B2899" s="3">
        <v>141.81</v>
      </c>
      <c r="C2899" s="3">
        <v>309.13</v>
      </c>
      <c r="D2899" s="3">
        <v>112.3</v>
      </c>
      <c r="E2899" s="3">
        <v>1.4885999999999999</v>
      </c>
      <c r="F2899" s="3">
        <v>294.33999999999997</v>
      </c>
      <c r="G2899" s="3">
        <v>421.24</v>
      </c>
      <c r="H2899" s="3">
        <v>193.76</v>
      </c>
      <c r="I2899" s="3">
        <v>360.19</v>
      </c>
      <c r="J2899" s="3">
        <v>123.43</v>
      </c>
      <c r="K2899" s="3">
        <v>220.08</v>
      </c>
      <c r="L2899" s="3"/>
      <c r="N2899" s="4"/>
    </row>
    <row r="2900" spans="1:14" ht="17.5" thickBot="1" x14ac:dyDescent="0.45">
      <c r="A2900" s="4">
        <v>45757</v>
      </c>
      <c r="B2900" s="3">
        <v>144.88</v>
      </c>
      <c r="C2900" s="3">
        <v>324.10000000000002</v>
      </c>
      <c r="D2900" s="3">
        <v>112.71</v>
      </c>
      <c r="E2900" s="3">
        <v>1.4827999999999999</v>
      </c>
      <c r="F2900" s="3">
        <v>301.02</v>
      </c>
      <c r="G2900" s="3">
        <v>406.6</v>
      </c>
      <c r="H2900" s="3">
        <v>196.09</v>
      </c>
      <c r="I2900" s="3">
        <v>347.31</v>
      </c>
      <c r="J2900" s="3">
        <v>123.44</v>
      </c>
      <c r="K2900" s="3">
        <v>222.78</v>
      </c>
      <c r="L2900" s="3"/>
      <c r="N2900" s="4"/>
    </row>
    <row r="2901" spans="1:14" ht="17.5" thickBot="1" x14ac:dyDescent="0.45">
      <c r="A2901" s="4">
        <v>45758</v>
      </c>
      <c r="B2901" s="3">
        <v>146.44999999999999</v>
      </c>
      <c r="C2901" s="3">
        <v>328</v>
      </c>
      <c r="D2901" s="3">
        <v>112.2</v>
      </c>
      <c r="E2901" s="3">
        <v>1.4943</v>
      </c>
      <c r="F2901" s="3">
        <v>303.24</v>
      </c>
      <c r="G2901" s="3">
        <v>413.51</v>
      </c>
      <c r="H2901" s="3">
        <v>196.86</v>
      </c>
      <c r="I2901" s="3">
        <v>353.55</v>
      </c>
      <c r="J2901" s="3">
        <v>123.45</v>
      </c>
      <c r="K2901" s="3">
        <v>223.65</v>
      </c>
      <c r="L2901" s="3"/>
      <c r="N2901" s="4"/>
    </row>
    <row r="2902" spans="1:14" ht="17.5" thickBot="1" x14ac:dyDescent="0.45">
      <c r="A2902" s="4">
        <v>45759</v>
      </c>
      <c r="B2902" s="3">
        <v>146.44999999999999</v>
      </c>
      <c r="C2902" s="3">
        <v>328</v>
      </c>
      <c r="D2902" s="3">
        <v>112.2</v>
      </c>
      <c r="E2902" s="3">
        <v>1.4943</v>
      </c>
      <c r="F2902" s="3">
        <v>303.24</v>
      </c>
      <c r="G2902" s="3">
        <v>413.51</v>
      </c>
      <c r="H2902" s="3">
        <v>196.86</v>
      </c>
      <c r="I2902" s="3">
        <v>353.55</v>
      </c>
      <c r="J2902" s="3">
        <v>123.45</v>
      </c>
      <c r="K2902" s="3">
        <v>223.65</v>
      </c>
      <c r="L2902" s="3"/>
      <c r="N2902" s="4"/>
    </row>
    <row r="2903" spans="1:14" ht="17.5" thickBot="1" x14ac:dyDescent="0.45">
      <c r="A2903" s="4">
        <v>45760</v>
      </c>
      <c r="B2903" s="3">
        <v>146.44999999999999</v>
      </c>
      <c r="C2903" s="3">
        <v>328</v>
      </c>
      <c r="D2903" s="3">
        <v>112.2</v>
      </c>
      <c r="E2903" s="3">
        <v>1.4943</v>
      </c>
      <c r="F2903" s="3">
        <v>303.24</v>
      </c>
      <c r="G2903" s="3">
        <v>413.51</v>
      </c>
      <c r="H2903" s="3">
        <v>196.86</v>
      </c>
      <c r="I2903" s="3">
        <v>353.55</v>
      </c>
      <c r="J2903" s="3">
        <v>123.45</v>
      </c>
      <c r="K2903" s="3">
        <v>223.65</v>
      </c>
      <c r="L2903" s="3"/>
      <c r="N2903" s="4"/>
    </row>
    <row r="2904" spans="1:14" ht="17.5" thickBot="1" x14ac:dyDescent="0.45">
      <c r="A2904" s="4">
        <v>45761</v>
      </c>
      <c r="B2904" s="3">
        <v>149.83000000000001</v>
      </c>
      <c r="C2904" s="3">
        <v>333.35</v>
      </c>
      <c r="D2904" s="3">
        <v>112.58</v>
      </c>
      <c r="E2904" s="3">
        <v>1.5075000000000001</v>
      </c>
      <c r="F2904" s="3">
        <v>307.75</v>
      </c>
      <c r="G2904" s="3">
        <v>416.5</v>
      </c>
      <c r="H2904" s="3">
        <v>198.82</v>
      </c>
      <c r="I2904" s="3">
        <v>356.58</v>
      </c>
      <c r="J2904" s="3">
        <v>123.48</v>
      </c>
      <c r="K2904" s="3">
        <v>225.95</v>
      </c>
      <c r="L2904" s="3"/>
      <c r="N2904" s="4"/>
    </row>
    <row r="2905" spans="1:14" ht="17.5" thickBot="1" x14ac:dyDescent="0.45">
      <c r="A2905" s="4">
        <v>45762</v>
      </c>
      <c r="B2905" s="3">
        <v>150.11000000000001</v>
      </c>
      <c r="C2905" s="3">
        <v>337.36</v>
      </c>
      <c r="D2905" s="3">
        <v>113.01</v>
      </c>
      <c r="E2905" s="3">
        <v>1.5111000000000001</v>
      </c>
      <c r="F2905" s="3">
        <v>309.88</v>
      </c>
      <c r="G2905" s="3">
        <v>415.55</v>
      </c>
      <c r="H2905" s="3">
        <v>199.66</v>
      </c>
      <c r="I2905" s="3">
        <v>355.68</v>
      </c>
      <c r="J2905" s="3">
        <v>123.48</v>
      </c>
      <c r="K2905" s="3">
        <v>226.93</v>
      </c>
      <c r="L2905" s="3"/>
      <c r="N2905" s="4"/>
    </row>
    <row r="2906" spans="1:14" ht="17.5" thickBot="1" x14ac:dyDescent="0.45">
      <c r="A2906" s="4">
        <v>45763</v>
      </c>
      <c r="B2906" s="3">
        <v>147.22</v>
      </c>
      <c r="C2906" s="3">
        <v>333.82</v>
      </c>
      <c r="D2906" s="3">
        <v>113.31</v>
      </c>
      <c r="E2906" s="3">
        <v>1.4997</v>
      </c>
      <c r="F2906" s="3">
        <v>306.88</v>
      </c>
      <c r="G2906" s="3">
        <v>406.42</v>
      </c>
      <c r="H2906" s="3">
        <v>198.98</v>
      </c>
      <c r="I2906" s="3">
        <v>347.82</v>
      </c>
      <c r="J2906" s="3">
        <v>123.49</v>
      </c>
      <c r="K2906" s="3">
        <v>226.1</v>
      </c>
      <c r="L2906" s="3"/>
      <c r="N2906" s="4"/>
    </row>
    <row r="2907" spans="1:14" ht="17.5" thickBot="1" x14ac:dyDescent="0.45">
      <c r="A2907" s="4">
        <v>45764</v>
      </c>
      <c r="B2907" s="3">
        <v>149.80000000000001</v>
      </c>
      <c r="C2907" s="3">
        <v>337.83</v>
      </c>
      <c r="D2907" s="3">
        <v>113.35</v>
      </c>
      <c r="E2907" s="3">
        <v>1.5016</v>
      </c>
      <c r="F2907" s="3">
        <v>308.69</v>
      </c>
      <c r="G2907" s="3">
        <v>406.6</v>
      </c>
      <c r="H2907" s="3">
        <v>199.56</v>
      </c>
      <c r="I2907" s="3">
        <v>348.23</v>
      </c>
      <c r="J2907" s="3">
        <v>123.5</v>
      </c>
      <c r="K2907" s="3">
        <v>226.75</v>
      </c>
      <c r="L2907" s="3"/>
      <c r="N2907" s="4"/>
    </row>
    <row r="2908" spans="1:14" ht="17.5" thickBot="1" x14ac:dyDescent="0.45">
      <c r="A2908" s="4">
        <v>45765</v>
      </c>
      <c r="B2908" s="3">
        <v>149.80000000000001</v>
      </c>
      <c r="C2908" s="3">
        <v>337.83</v>
      </c>
      <c r="D2908" s="3">
        <v>113.35</v>
      </c>
      <c r="E2908" s="3">
        <v>1.5016</v>
      </c>
      <c r="F2908" s="3">
        <v>308.69</v>
      </c>
      <c r="G2908" s="3">
        <v>406.6</v>
      </c>
      <c r="H2908" s="3">
        <v>199.56</v>
      </c>
      <c r="I2908" s="3">
        <v>348.23</v>
      </c>
      <c r="J2908" s="3">
        <v>123.5</v>
      </c>
      <c r="K2908" s="3">
        <v>226.75</v>
      </c>
      <c r="L2908" s="3"/>
      <c r="N2908" s="4"/>
    </row>
    <row r="2909" spans="1:14" ht="17.5" thickBot="1" x14ac:dyDescent="0.45">
      <c r="A2909" s="4">
        <v>45766</v>
      </c>
      <c r="B2909" s="3">
        <v>149.80000000000001</v>
      </c>
      <c r="C2909" s="3">
        <v>337.83</v>
      </c>
      <c r="D2909" s="3">
        <v>113.35</v>
      </c>
      <c r="E2909" s="3">
        <v>1.5016</v>
      </c>
      <c r="F2909" s="3">
        <v>308.69</v>
      </c>
      <c r="G2909" s="3">
        <v>406.6</v>
      </c>
      <c r="H2909" s="3">
        <v>199.56</v>
      </c>
      <c r="I2909" s="3">
        <v>348.23</v>
      </c>
      <c r="J2909" s="3">
        <v>123.5</v>
      </c>
      <c r="K2909" s="3">
        <v>226.75</v>
      </c>
      <c r="L2909" s="3"/>
      <c r="N2909" s="4"/>
    </row>
    <row r="2910" spans="1:14" ht="17.5" thickBot="1" x14ac:dyDescent="0.45">
      <c r="A2910" s="4">
        <v>45767</v>
      </c>
      <c r="B2910" s="3">
        <v>149.80000000000001</v>
      </c>
      <c r="C2910" s="3">
        <v>337.83</v>
      </c>
      <c r="D2910" s="3">
        <v>113.35</v>
      </c>
      <c r="E2910" s="3">
        <v>1.5016</v>
      </c>
      <c r="F2910" s="3">
        <v>308.69</v>
      </c>
      <c r="G2910" s="3">
        <v>406.6</v>
      </c>
      <c r="H2910" s="3">
        <v>199.56</v>
      </c>
      <c r="I2910" s="3">
        <v>348.23</v>
      </c>
      <c r="J2910" s="3">
        <v>123.51</v>
      </c>
      <c r="K2910" s="3">
        <v>226.75</v>
      </c>
      <c r="L2910" s="3"/>
      <c r="N2910" s="4"/>
    </row>
    <row r="2911" spans="1:14" ht="17.5" thickBot="1" x14ac:dyDescent="0.45">
      <c r="A2911" s="4">
        <v>45768</v>
      </c>
      <c r="B2911" s="3">
        <v>149.80000000000001</v>
      </c>
      <c r="C2911" s="3">
        <v>337.83</v>
      </c>
      <c r="D2911" s="3">
        <v>113.35</v>
      </c>
      <c r="E2911" s="3">
        <v>1.5016</v>
      </c>
      <c r="F2911" s="3">
        <v>308.69</v>
      </c>
      <c r="G2911" s="3">
        <v>406.6</v>
      </c>
      <c r="H2911" s="3">
        <v>199.56</v>
      </c>
      <c r="I2911" s="3">
        <v>348.23</v>
      </c>
      <c r="J2911" s="3">
        <v>123.51</v>
      </c>
      <c r="K2911" s="3">
        <v>226.75</v>
      </c>
      <c r="L2911" s="3"/>
      <c r="N2911" s="4"/>
    </row>
    <row r="2912" spans="1:14" ht="17.5" thickBot="1" x14ac:dyDescent="0.45">
      <c r="A2912" s="4">
        <v>45769</v>
      </c>
      <c r="B2912" s="3">
        <v>151.02000000000001</v>
      </c>
      <c r="C2912" s="3">
        <v>339.07</v>
      </c>
      <c r="D2912" s="3">
        <v>113.1</v>
      </c>
      <c r="E2912" s="3">
        <v>1.5046999999999999</v>
      </c>
      <c r="F2912" s="3">
        <v>310.45999999999998</v>
      </c>
      <c r="G2912" s="3">
        <v>406.8</v>
      </c>
      <c r="H2912" s="3">
        <v>200.15</v>
      </c>
      <c r="I2912" s="3">
        <v>348.55</v>
      </c>
      <c r="J2912" s="3">
        <v>123.55</v>
      </c>
      <c r="K2912" s="3">
        <v>227.42</v>
      </c>
      <c r="L2912" s="3"/>
      <c r="N2912" s="4"/>
    </row>
    <row r="2913" spans="1:14" ht="17.5" thickBot="1" x14ac:dyDescent="0.45">
      <c r="A2913" s="4">
        <v>45770</v>
      </c>
      <c r="B2913" s="3">
        <v>154.49</v>
      </c>
      <c r="C2913" s="3">
        <v>346.08</v>
      </c>
      <c r="D2913" s="3">
        <v>113.51</v>
      </c>
      <c r="E2913" s="3">
        <v>1.5184</v>
      </c>
      <c r="F2913" s="3">
        <v>315.39</v>
      </c>
      <c r="G2913" s="3">
        <v>413.39</v>
      </c>
      <c r="H2913" s="3">
        <v>201.87</v>
      </c>
      <c r="I2913" s="3">
        <v>354.13</v>
      </c>
      <c r="J2913" s="3">
        <v>123.56</v>
      </c>
      <c r="K2913" s="3">
        <v>229.39</v>
      </c>
      <c r="L2913" s="3"/>
      <c r="N2913" s="4"/>
    </row>
    <row r="2914" spans="1:14" ht="17.5" thickBot="1" x14ac:dyDescent="0.45">
      <c r="A2914" s="4">
        <v>45771</v>
      </c>
      <c r="B2914" s="3">
        <v>153.22999999999999</v>
      </c>
      <c r="C2914" s="3">
        <v>343.83</v>
      </c>
      <c r="D2914" s="3">
        <v>113.71</v>
      </c>
      <c r="E2914" s="3">
        <v>1.5329999999999999</v>
      </c>
      <c r="F2914" s="3">
        <v>316.26</v>
      </c>
      <c r="G2914" s="3">
        <v>422.06</v>
      </c>
      <c r="H2914" s="3">
        <v>202.53</v>
      </c>
      <c r="I2914" s="3">
        <v>361.49</v>
      </c>
      <c r="J2914" s="3">
        <v>123.57</v>
      </c>
      <c r="K2914" s="3">
        <v>230.14</v>
      </c>
      <c r="L2914" s="3"/>
      <c r="N2914" s="4"/>
    </row>
    <row r="2915" spans="1:14" ht="17.5" thickBot="1" x14ac:dyDescent="0.45">
      <c r="A2915" s="4">
        <v>45772</v>
      </c>
      <c r="B2915" s="3">
        <v>153.91</v>
      </c>
      <c r="C2915" s="3">
        <v>345.32</v>
      </c>
      <c r="D2915" s="3">
        <v>114.07</v>
      </c>
      <c r="E2915" s="3">
        <v>1.5388999999999999</v>
      </c>
      <c r="F2915" s="3">
        <v>317.56</v>
      </c>
      <c r="G2915" s="3">
        <v>425.14</v>
      </c>
      <c r="H2915" s="3">
        <v>203.11</v>
      </c>
      <c r="I2915" s="3">
        <v>364.07</v>
      </c>
      <c r="J2915" s="3">
        <v>123.58</v>
      </c>
      <c r="K2915" s="3">
        <v>230.8</v>
      </c>
      <c r="L2915" s="3"/>
      <c r="N2915" s="4"/>
    </row>
    <row r="2916" spans="1:14" ht="17.5" thickBot="1" x14ac:dyDescent="0.45">
      <c r="A2916" s="4">
        <v>45773</v>
      </c>
      <c r="B2916" s="3">
        <v>153.91</v>
      </c>
      <c r="C2916" s="3">
        <v>345.32</v>
      </c>
      <c r="D2916" s="3">
        <v>114.07</v>
      </c>
      <c r="E2916" s="3">
        <v>1.5388999999999999</v>
      </c>
      <c r="F2916" s="3">
        <v>317.56</v>
      </c>
      <c r="G2916" s="3">
        <v>425.14</v>
      </c>
      <c r="H2916" s="3">
        <v>203.11</v>
      </c>
      <c r="I2916" s="3">
        <v>364.07</v>
      </c>
      <c r="J2916" s="3">
        <v>123.58</v>
      </c>
      <c r="K2916" s="3">
        <v>230.8</v>
      </c>
      <c r="L2916" s="3"/>
      <c r="N2916" s="4"/>
    </row>
    <row r="2917" spans="1:14" ht="17.5" thickBot="1" x14ac:dyDescent="0.45">
      <c r="A2917" s="4">
        <v>45774</v>
      </c>
      <c r="B2917" s="3">
        <v>153.91</v>
      </c>
      <c r="C2917" s="3">
        <v>345.32</v>
      </c>
      <c r="D2917" s="3">
        <v>114.07</v>
      </c>
      <c r="E2917" s="3">
        <v>1.5388999999999999</v>
      </c>
      <c r="F2917" s="3">
        <v>317.56</v>
      </c>
      <c r="G2917" s="3">
        <v>425.14</v>
      </c>
      <c r="H2917" s="3">
        <v>203.11</v>
      </c>
      <c r="I2917" s="3">
        <v>364.07</v>
      </c>
      <c r="J2917" s="3">
        <v>123.58</v>
      </c>
      <c r="K2917" s="3">
        <v>230.8</v>
      </c>
      <c r="L2917" s="3"/>
      <c r="N2917" s="4"/>
    </row>
    <row r="2918" spans="1:14" ht="17.5" thickBot="1" x14ac:dyDescent="0.45">
      <c r="A2918" s="4">
        <v>45775</v>
      </c>
      <c r="B2918" s="3">
        <v>153.91999999999999</v>
      </c>
      <c r="C2918" s="3">
        <v>346.9</v>
      </c>
      <c r="D2918" s="3">
        <v>114.38</v>
      </c>
      <c r="E2918" s="3">
        <v>1.5425</v>
      </c>
      <c r="F2918" s="3">
        <v>318.79000000000002</v>
      </c>
      <c r="G2918" s="3">
        <v>425.24</v>
      </c>
      <c r="H2918" s="3">
        <v>203.71</v>
      </c>
      <c r="I2918" s="3">
        <v>364.14</v>
      </c>
      <c r="J2918" s="3">
        <v>123.6</v>
      </c>
      <c r="K2918" s="3">
        <v>231.46</v>
      </c>
      <c r="L2918" s="3"/>
      <c r="N2918" s="4"/>
    </row>
    <row r="2919" spans="1:14" ht="17.5" thickBot="1" x14ac:dyDescent="0.45">
      <c r="A2919" s="4">
        <v>45776</v>
      </c>
      <c r="B2919" s="3">
        <v>154.16999999999999</v>
      </c>
      <c r="C2919" s="3">
        <v>348.47</v>
      </c>
      <c r="D2919" s="3">
        <v>114.56</v>
      </c>
      <c r="E2919" s="3">
        <v>1.5483</v>
      </c>
      <c r="F2919" s="3">
        <v>320.02999999999997</v>
      </c>
      <c r="G2919" s="3">
        <v>427.52</v>
      </c>
      <c r="H2919" s="3">
        <v>204.34</v>
      </c>
      <c r="I2919" s="3">
        <v>366.46</v>
      </c>
      <c r="J2919" s="3">
        <v>123.61</v>
      </c>
      <c r="K2919" s="3">
        <v>232.22</v>
      </c>
      <c r="L2919" s="3"/>
      <c r="N2919" s="4"/>
    </row>
    <row r="2920" spans="1:14" ht="17.5" thickBot="1" x14ac:dyDescent="0.45">
      <c r="A2920" s="4">
        <v>45777</v>
      </c>
      <c r="B2920" s="3">
        <v>155.01</v>
      </c>
      <c r="C2920" s="3">
        <v>351.13</v>
      </c>
      <c r="D2920" s="3">
        <v>114.59</v>
      </c>
      <c r="E2920" s="3">
        <v>1.5508999999999999</v>
      </c>
      <c r="F2920" s="3">
        <v>321.41000000000003</v>
      </c>
      <c r="G2920" s="3">
        <v>428.36</v>
      </c>
      <c r="H2920" s="3">
        <v>204.72</v>
      </c>
      <c r="I2920" s="3">
        <v>366.98</v>
      </c>
      <c r="J2920" s="3">
        <v>123.62</v>
      </c>
      <c r="K2920" s="3">
        <v>232.71</v>
      </c>
      <c r="L2920" s="3"/>
      <c r="N2920" s="4"/>
    </row>
    <row r="2921" spans="1:14" ht="17.5" thickBot="1" x14ac:dyDescent="0.45">
      <c r="A2921" s="4">
        <v>45778</v>
      </c>
      <c r="B2921" s="3">
        <v>155.01</v>
      </c>
      <c r="C2921" s="3">
        <v>351.13</v>
      </c>
      <c r="D2921" s="3">
        <v>114.59</v>
      </c>
      <c r="E2921" s="3">
        <v>1.5508999999999999</v>
      </c>
      <c r="F2921" s="3">
        <v>321.41000000000003</v>
      </c>
      <c r="G2921" s="3">
        <v>428.36</v>
      </c>
      <c r="H2921" s="3">
        <v>204.72</v>
      </c>
      <c r="I2921" s="3">
        <v>366.98</v>
      </c>
      <c r="J2921" s="3">
        <v>123.62</v>
      </c>
      <c r="K2921" s="3">
        <v>232.71</v>
      </c>
      <c r="L2921" s="3"/>
      <c r="N2921" s="4"/>
    </row>
    <row r="2922" spans="1:14" ht="17.5" thickBot="1" x14ac:dyDescent="0.45">
      <c r="A2922" s="4">
        <v>45779</v>
      </c>
      <c r="B2922" s="3">
        <v>157.76</v>
      </c>
      <c r="C2922" s="3">
        <v>358.71</v>
      </c>
      <c r="D2922" s="3">
        <v>114.15</v>
      </c>
      <c r="E2922" s="3">
        <v>1.5652999999999999</v>
      </c>
      <c r="F2922" s="3">
        <v>326.14</v>
      </c>
      <c r="G2922" s="3">
        <v>437.48</v>
      </c>
      <c r="H2922" s="3">
        <v>205.83</v>
      </c>
      <c r="I2922" s="3">
        <v>374.47</v>
      </c>
      <c r="J2922" s="3">
        <v>123.64</v>
      </c>
      <c r="K2922" s="3">
        <v>234</v>
      </c>
      <c r="L2922" s="3"/>
      <c r="N2922" s="4"/>
    </row>
    <row r="2923" spans="1:14" ht="17.5" thickBot="1" x14ac:dyDescent="0.45">
      <c r="A2923" s="4">
        <v>45780</v>
      </c>
      <c r="B2923" s="3">
        <v>157.76</v>
      </c>
      <c r="C2923" s="3">
        <v>358.71</v>
      </c>
      <c r="D2923" s="3">
        <v>114.15</v>
      </c>
      <c r="E2923" s="3">
        <v>1.5652999999999999</v>
      </c>
      <c r="F2923" s="3">
        <v>326.14</v>
      </c>
      <c r="G2923" s="3">
        <v>437.48</v>
      </c>
      <c r="H2923" s="3">
        <v>205.83</v>
      </c>
      <c r="I2923" s="3">
        <v>374.47</v>
      </c>
      <c r="J2923" s="3">
        <v>123.64</v>
      </c>
      <c r="K2923" s="3">
        <v>234</v>
      </c>
      <c r="L2923" s="3"/>
      <c r="N2923" s="4"/>
    </row>
    <row r="2924" spans="1:14" ht="17.5" thickBot="1" x14ac:dyDescent="0.45">
      <c r="A2924" s="4">
        <v>45781</v>
      </c>
      <c r="B2924" s="3">
        <v>157.76</v>
      </c>
      <c r="C2924" s="3">
        <v>358.71</v>
      </c>
      <c r="D2924" s="3">
        <v>114.15</v>
      </c>
      <c r="E2924" s="3">
        <v>1.5652999999999999</v>
      </c>
      <c r="F2924" s="3">
        <v>326.14</v>
      </c>
      <c r="G2924" s="3">
        <v>437.48</v>
      </c>
      <c r="H2924" s="3">
        <v>205.83</v>
      </c>
      <c r="I2924" s="3">
        <v>374.47</v>
      </c>
      <c r="J2924" s="3">
        <v>123.64</v>
      </c>
      <c r="K2924" s="3">
        <v>234</v>
      </c>
      <c r="L2924" s="3"/>
      <c r="N2924" s="4"/>
    </row>
    <row r="2925" spans="1:14" ht="17.5" thickBot="1" x14ac:dyDescent="0.45">
      <c r="A2925" s="4">
        <v>45782</v>
      </c>
      <c r="B2925" s="3">
        <v>157.76</v>
      </c>
      <c r="C2925" s="3">
        <v>358.71</v>
      </c>
      <c r="D2925" s="3">
        <v>114.15</v>
      </c>
      <c r="E2925" s="3">
        <v>1.5652999999999999</v>
      </c>
      <c r="F2925" s="3">
        <v>326.14</v>
      </c>
      <c r="G2925" s="3">
        <v>437.48</v>
      </c>
      <c r="H2925" s="3">
        <v>205.83</v>
      </c>
      <c r="I2925" s="3">
        <v>374.47</v>
      </c>
      <c r="J2925" s="3">
        <v>123.64</v>
      </c>
      <c r="K2925" s="3">
        <v>234</v>
      </c>
      <c r="L2925" s="3"/>
      <c r="N2925" s="4"/>
    </row>
    <row r="2926" spans="1:14" ht="17.5" thickBot="1" x14ac:dyDescent="0.45">
      <c r="A2926" s="4">
        <v>45783</v>
      </c>
      <c r="B2926" s="3">
        <v>158.97</v>
      </c>
      <c r="C2926" s="3">
        <v>359.77</v>
      </c>
      <c r="D2926" s="3">
        <v>114.02</v>
      </c>
      <c r="E2926" s="3">
        <v>1.5581</v>
      </c>
      <c r="F2926" s="3">
        <v>326.22000000000003</v>
      </c>
      <c r="G2926" s="3">
        <v>431.55</v>
      </c>
      <c r="H2926" s="3">
        <v>205.89</v>
      </c>
      <c r="I2926" s="3">
        <v>369.28</v>
      </c>
      <c r="J2926" s="3">
        <v>123.68</v>
      </c>
      <c r="K2926" s="3">
        <v>234.07</v>
      </c>
      <c r="L2926" s="3"/>
      <c r="N2926" s="4"/>
    </row>
    <row r="2927" spans="1:14" ht="17.5" thickBot="1" x14ac:dyDescent="0.45">
      <c r="A2927" s="4">
        <v>45784</v>
      </c>
      <c r="B2927" s="3">
        <v>159</v>
      </c>
      <c r="C2927" s="3">
        <v>360.83</v>
      </c>
      <c r="D2927" s="3">
        <v>114.37</v>
      </c>
      <c r="E2927" s="3">
        <v>1.5625</v>
      </c>
      <c r="F2927" s="3">
        <v>326.8</v>
      </c>
      <c r="G2927" s="3">
        <v>433.72</v>
      </c>
      <c r="H2927" s="3">
        <v>206.38</v>
      </c>
      <c r="I2927" s="3">
        <v>371.03</v>
      </c>
      <c r="J2927" s="3">
        <v>123.69</v>
      </c>
      <c r="K2927" s="3">
        <v>234.6</v>
      </c>
      <c r="L2927" s="3"/>
      <c r="N2927" s="4"/>
    </row>
    <row r="2928" spans="1:14" ht="17.5" thickBot="1" x14ac:dyDescent="0.45">
      <c r="A2928" s="4">
        <v>45785</v>
      </c>
      <c r="B2928" s="3">
        <v>159.65</v>
      </c>
      <c r="C2928" s="3">
        <v>360.07</v>
      </c>
      <c r="D2928" s="3">
        <v>114.35</v>
      </c>
      <c r="E2928" s="3">
        <v>1.5645</v>
      </c>
      <c r="F2928" s="3">
        <v>327.31</v>
      </c>
      <c r="G2928" s="3">
        <v>436.79</v>
      </c>
      <c r="H2928" s="3">
        <v>206.25</v>
      </c>
      <c r="I2928" s="3">
        <v>373.81</v>
      </c>
      <c r="J2928" s="3">
        <v>123.69</v>
      </c>
      <c r="K2928" s="3">
        <v>234.44</v>
      </c>
      <c r="L2928" s="3"/>
      <c r="N2928" s="4"/>
    </row>
    <row r="2929" spans="1:14" ht="17.5" thickBot="1" x14ac:dyDescent="0.45">
      <c r="A2929" s="4">
        <v>45786</v>
      </c>
      <c r="B2929" s="3">
        <v>160.46</v>
      </c>
      <c r="C2929" s="3">
        <v>362.49</v>
      </c>
      <c r="D2929" s="3">
        <v>114.33</v>
      </c>
      <c r="E2929" s="3">
        <v>1.5660000000000001</v>
      </c>
      <c r="F2929" s="3">
        <v>328.67</v>
      </c>
      <c r="G2929" s="3">
        <v>436.5</v>
      </c>
      <c r="H2929" s="3">
        <v>206.69</v>
      </c>
      <c r="I2929" s="3">
        <v>373.62</v>
      </c>
      <c r="J2929" s="3">
        <v>123.7</v>
      </c>
      <c r="K2929" s="3">
        <v>234.95</v>
      </c>
      <c r="L2929" s="3"/>
      <c r="N2929" s="4"/>
    </row>
    <row r="2930" spans="1:14" ht="17.5" thickBot="1" x14ac:dyDescent="0.45">
      <c r="A2930" s="4">
        <v>45787</v>
      </c>
      <c r="B2930" s="3">
        <v>160.46</v>
      </c>
      <c r="C2930" s="3">
        <v>362.49</v>
      </c>
      <c r="D2930" s="3">
        <v>114.33</v>
      </c>
      <c r="E2930" s="3">
        <v>1.5660000000000001</v>
      </c>
      <c r="F2930" s="3">
        <v>328.67</v>
      </c>
      <c r="G2930" s="3">
        <v>436.5</v>
      </c>
      <c r="H2930" s="3">
        <v>206.69</v>
      </c>
      <c r="I2930" s="3">
        <v>373.62</v>
      </c>
      <c r="J2930" s="3">
        <v>123.7</v>
      </c>
      <c r="K2930" s="3">
        <v>234.95</v>
      </c>
      <c r="L2930" s="3"/>
      <c r="N2930" s="4"/>
    </row>
    <row r="2931" spans="1:14" ht="17.5" thickBot="1" x14ac:dyDescent="0.45">
      <c r="A2931" s="4">
        <v>45788</v>
      </c>
      <c r="B2931" s="3">
        <v>160.46</v>
      </c>
      <c r="C2931" s="3">
        <v>362.49</v>
      </c>
      <c r="D2931" s="3">
        <v>114.33</v>
      </c>
      <c r="E2931" s="3">
        <v>1.5660000000000001</v>
      </c>
      <c r="F2931" s="3">
        <v>328.67</v>
      </c>
      <c r="G2931" s="3">
        <v>436.5</v>
      </c>
      <c r="H2931" s="3">
        <v>206.69</v>
      </c>
      <c r="I2931" s="3">
        <v>373.62</v>
      </c>
      <c r="J2931" s="3">
        <v>123.7</v>
      </c>
      <c r="K2931" s="3">
        <v>234.95</v>
      </c>
      <c r="L2931" s="3"/>
      <c r="N2931" s="4"/>
    </row>
    <row r="2932" spans="1:14" ht="17.5" thickBot="1" x14ac:dyDescent="0.45">
      <c r="A2932" s="4">
        <v>45789</v>
      </c>
      <c r="B2932" s="3">
        <v>165.12</v>
      </c>
      <c r="C2932" s="3">
        <v>369.7</v>
      </c>
      <c r="D2932" s="3">
        <v>114.37</v>
      </c>
      <c r="E2932" s="3">
        <v>1.5861000000000001</v>
      </c>
      <c r="F2932" s="3">
        <v>334.39</v>
      </c>
      <c r="G2932" s="3">
        <v>451.64</v>
      </c>
      <c r="H2932" s="3">
        <v>208.29</v>
      </c>
      <c r="I2932" s="3">
        <v>386.43</v>
      </c>
      <c r="J2932" s="3">
        <v>123.73</v>
      </c>
      <c r="K2932" s="3">
        <v>236.78</v>
      </c>
      <c r="L2932" s="3"/>
      <c r="N2932" s="4"/>
    </row>
    <row r="2933" spans="1:14" ht="17.5" thickBot="1" x14ac:dyDescent="0.45">
      <c r="A2933" s="4">
        <v>45790</v>
      </c>
      <c r="B2933" s="3">
        <v>161.84</v>
      </c>
      <c r="C2933" s="3">
        <v>367.57</v>
      </c>
      <c r="D2933" s="3">
        <v>114.39</v>
      </c>
      <c r="E2933" s="3">
        <v>1.5922000000000001</v>
      </c>
      <c r="F2933" s="3">
        <v>333.5</v>
      </c>
      <c r="G2933" s="3">
        <v>454.84</v>
      </c>
      <c r="H2933" s="3">
        <v>207.97</v>
      </c>
      <c r="I2933" s="3">
        <v>389.2</v>
      </c>
      <c r="J2933" s="3">
        <v>123.74</v>
      </c>
      <c r="K2933" s="3">
        <v>236.43</v>
      </c>
      <c r="L2933" s="3"/>
      <c r="N2933" s="4"/>
    </row>
    <row r="2934" spans="1:14" ht="17.5" thickBot="1" x14ac:dyDescent="0.45">
      <c r="A2934" s="4">
        <v>45791</v>
      </c>
      <c r="B2934" s="3">
        <v>165.64</v>
      </c>
      <c r="C2934" s="3">
        <v>374.04</v>
      </c>
      <c r="D2934" s="3">
        <v>114.38</v>
      </c>
      <c r="E2934" s="3">
        <v>1.5960000000000001</v>
      </c>
      <c r="F2934" s="3">
        <v>336.95</v>
      </c>
      <c r="G2934" s="3">
        <v>455.47</v>
      </c>
      <c r="H2934" s="3">
        <v>209.21</v>
      </c>
      <c r="I2934" s="3">
        <v>389.61</v>
      </c>
      <c r="J2934" s="3">
        <v>123.75</v>
      </c>
      <c r="K2934" s="3">
        <v>237.79</v>
      </c>
      <c r="L2934" s="3"/>
      <c r="N2934" s="4"/>
    </row>
    <row r="2935" spans="1:14" ht="17.5" thickBot="1" x14ac:dyDescent="0.45">
      <c r="A2935" s="4">
        <v>45792</v>
      </c>
      <c r="B2935" s="3">
        <v>164.54</v>
      </c>
      <c r="C2935" s="3">
        <v>374.89</v>
      </c>
      <c r="D2935" s="3">
        <v>114.54</v>
      </c>
      <c r="E2935" s="3">
        <v>1.6007</v>
      </c>
      <c r="F2935" s="3">
        <v>336.78</v>
      </c>
      <c r="G2935" s="3">
        <v>457.31</v>
      </c>
      <c r="H2935" s="3">
        <v>209.36</v>
      </c>
      <c r="I2935" s="3">
        <v>391.69</v>
      </c>
      <c r="J2935" s="3">
        <v>123.76</v>
      </c>
      <c r="K2935" s="3">
        <v>237.99</v>
      </c>
      <c r="L2935" s="3"/>
      <c r="N2935" s="4"/>
    </row>
    <row r="2936" spans="1:14" ht="17.5" thickBot="1" x14ac:dyDescent="0.45">
      <c r="A2936" s="4">
        <v>45793</v>
      </c>
      <c r="B2936" s="3">
        <v>163.9</v>
      </c>
      <c r="C2936" s="3">
        <v>375.38</v>
      </c>
      <c r="D2936" s="3">
        <v>114.82</v>
      </c>
      <c r="E2936" s="3">
        <v>1.6069</v>
      </c>
      <c r="F2936" s="3">
        <v>337.22</v>
      </c>
      <c r="G2936" s="3">
        <v>460.67</v>
      </c>
      <c r="H2936" s="3">
        <v>209.68</v>
      </c>
      <c r="I2936" s="3">
        <v>394.28</v>
      </c>
      <c r="J2936" s="3">
        <v>123.77</v>
      </c>
      <c r="K2936" s="3">
        <v>238.34</v>
      </c>
      <c r="L2936" s="3"/>
      <c r="N2936" s="4"/>
    </row>
    <row r="2937" spans="1:14" ht="17.5" thickBot="1" x14ac:dyDescent="0.45">
      <c r="A2937" s="4">
        <v>45794</v>
      </c>
      <c r="B2937" s="3">
        <v>163.9</v>
      </c>
      <c r="C2937" s="3">
        <v>375.38</v>
      </c>
      <c r="D2937" s="3">
        <v>114.82</v>
      </c>
      <c r="E2937" s="3">
        <v>1.6069</v>
      </c>
      <c r="F2937" s="3">
        <v>337.22</v>
      </c>
      <c r="G2937" s="3">
        <v>460.67</v>
      </c>
      <c r="H2937" s="3">
        <v>209.68</v>
      </c>
      <c r="I2937" s="3">
        <v>394.28</v>
      </c>
      <c r="J2937" s="3">
        <v>123.77</v>
      </c>
      <c r="K2937" s="3">
        <v>238.34</v>
      </c>
      <c r="L2937" s="3"/>
      <c r="N2937" s="4"/>
    </row>
    <row r="2938" spans="1:14" ht="17.5" thickBot="1" x14ac:dyDescent="0.45">
      <c r="A2938" s="4">
        <v>45795</v>
      </c>
      <c r="B2938" s="3">
        <v>163.9</v>
      </c>
      <c r="C2938" s="3">
        <v>375.38</v>
      </c>
      <c r="D2938" s="3">
        <v>114.82</v>
      </c>
      <c r="E2938" s="3">
        <v>1.6069</v>
      </c>
      <c r="F2938" s="3">
        <v>337.22</v>
      </c>
      <c r="G2938" s="3">
        <v>460.67</v>
      </c>
      <c r="H2938" s="3">
        <v>209.68</v>
      </c>
      <c r="I2938" s="3">
        <v>394.28</v>
      </c>
      <c r="J2938" s="3">
        <v>123.77</v>
      </c>
      <c r="K2938" s="3">
        <v>238.34</v>
      </c>
      <c r="L2938" s="3"/>
      <c r="N2938" s="4"/>
    </row>
    <row r="2939" spans="1:14" ht="17.5" thickBot="1" x14ac:dyDescent="0.45">
      <c r="A2939" s="4">
        <v>45796</v>
      </c>
      <c r="B2939" s="3">
        <v>163.72999999999999</v>
      </c>
      <c r="C2939" s="3">
        <v>373.81</v>
      </c>
      <c r="D2939" s="3">
        <v>114.65</v>
      </c>
      <c r="E2939" s="3">
        <v>1.6094999999999999</v>
      </c>
      <c r="F2939" s="3">
        <v>337.76</v>
      </c>
      <c r="G2939" s="3">
        <v>461.26</v>
      </c>
      <c r="H2939" s="3">
        <v>210.01</v>
      </c>
      <c r="I2939" s="3">
        <v>394.9</v>
      </c>
      <c r="J2939" s="3">
        <v>123.79</v>
      </c>
      <c r="K2939" s="3">
        <v>238.71</v>
      </c>
      <c r="L2939" s="3"/>
      <c r="N2939" s="4"/>
    </row>
    <row r="2940" spans="1:14" ht="17.5" thickBot="1" x14ac:dyDescent="0.45">
      <c r="A2940" s="4">
        <v>45797</v>
      </c>
      <c r="B2940" s="3">
        <v>166.08</v>
      </c>
      <c r="C2940" s="3">
        <v>374.39</v>
      </c>
      <c r="D2940" s="3">
        <v>114.84</v>
      </c>
      <c r="E2940" s="3">
        <v>1.6086</v>
      </c>
      <c r="F2940" s="3">
        <v>339.25</v>
      </c>
      <c r="G2940" s="3">
        <v>459.53</v>
      </c>
      <c r="H2940" s="3">
        <v>210.47</v>
      </c>
      <c r="I2940" s="3">
        <v>393.67</v>
      </c>
      <c r="J2940" s="3">
        <v>123.8</v>
      </c>
      <c r="K2940" s="3">
        <v>239.22</v>
      </c>
      <c r="L2940" s="3"/>
      <c r="N2940" s="4"/>
    </row>
    <row r="2941" spans="1:14" ht="17.5" thickBot="1" x14ac:dyDescent="0.45">
      <c r="A2941" s="4">
        <v>45798</v>
      </c>
      <c r="B2941" s="3">
        <v>167.27</v>
      </c>
      <c r="C2941" s="3">
        <v>378.63</v>
      </c>
      <c r="D2941" s="3">
        <v>114.52</v>
      </c>
      <c r="E2941" s="3">
        <v>1.5992999999999999</v>
      </c>
      <c r="F2941" s="3">
        <v>339.86</v>
      </c>
      <c r="G2941" s="3">
        <v>452.24</v>
      </c>
      <c r="H2941" s="3">
        <v>210.41</v>
      </c>
      <c r="I2941" s="3">
        <v>387.2</v>
      </c>
      <c r="J2941" s="3">
        <v>123.81</v>
      </c>
      <c r="K2941" s="3">
        <v>239.15</v>
      </c>
      <c r="L2941" s="3"/>
      <c r="N2941" s="4"/>
    </row>
    <row r="2942" spans="1:14" ht="17.5" thickBot="1" x14ac:dyDescent="0.45">
      <c r="A2942" s="4">
        <v>45799</v>
      </c>
      <c r="B2942" s="3">
        <v>165.19</v>
      </c>
      <c r="C2942" s="3">
        <v>375.25</v>
      </c>
      <c r="D2942" s="3">
        <v>114.45</v>
      </c>
      <c r="E2942" s="3">
        <v>1.5956999999999999</v>
      </c>
      <c r="F2942" s="3">
        <v>337.73</v>
      </c>
      <c r="G2942" s="3">
        <v>451.84</v>
      </c>
      <c r="H2942" s="3">
        <v>209.62</v>
      </c>
      <c r="I2942" s="3">
        <v>387.15</v>
      </c>
      <c r="J2942" s="3">
        <v>123.82</v>
      </c>
      <c r="K2942" s="3">
        <v>238.23</v>
      </c>
      <c r="L2942" s="3"/>
      <c r="N2942" s="4"/>
    </row>
    <row r="2943" spans="1:14" ht="17.5" thickBot="1" x14ac:dyDescent="0.45">
      <c r="A2943" s="4">
        <v>45800</v>
      </c>
      <c r="B2943" s="3">
        <v>165.6</v>
      </c>
      <c r="C2943" s="3">
        <v>377.49</v>
      </c>
      <c r="D2943" s="3">
        <v>114.73</v>
      </c>
      <c r="E2943" s="3">
        <v>1.5943000000000001</v>
      </c>
      <c r="F2943" s="3">
        <v>338.16</v>
      </c>
      <c r="G2943" s="3">
        <v>448.45</v>
      </c>
      <c r="H2943" s="3">
        <v>210.1</v>
      </c>
      <c r="I2943" s="3">
        <v>384.51</v>
      </c>
      <c r="J2943" s="3">
        <v>123.82</v>
      </c>
      <c r="K2943" s="3">
        <v>238.77</v>
      </c>
      <c r="L2943" s="3"/>
      <c r="N2943" s="4"/>
    </row>
    <row r="2944" spans="1:14" ht="17.5" thickBot="1" x14ac:dyDescent="0.45">
      <c r="A2944" s="4">
        <v>45801</v>
      </c>
      <c r="B2944" s="3">
        <v>165.6</v>
      </c>
      <c r="C2944" s="3">
        <v>377.49</v>
      </c>
      <c r="D2944" s="3">
        <v>114.73</v>
      </c>
      <c r="E2944" s="3">
        <v>1.5943000000000001</v>
      </c>
      <c r="F2944" s="3">
        <v>338.16</v>
      </c>
      <c r="G2944" s="3">
        <v>448.45</v>
      </c>
      <c r="H2944" s="3">
        <v>210.1</v>
      </c>
      <c r="I2944" s="3">
        <v>384.51</v>
      </c>
      <c r="J2944" s="3">
        <v>123.82</v>
      </c>
      <c r="K2944" s="3">
        <v>238.77</v>
      </c>
      <c r="L2944" s="3"/>
      <c r="N2944" s="4"/>
    </row>
    <row r="2945" spans="1:14" ht="17.5" thickBot="1" x14ac:dyDescent="0.45">
      <c r="A2945" s="4">
        <v>45802</v>
      </c>
      <c r="B2945" s="3">
        <v>165.6</v>
      </c>
      <c r="C2945" s="3">
        <v>377.49</v>
      </c>
      <c r="D2945" s="3">
        <v>114.73</v>
      </c>
      <c r="E2945" s="3">
        <v>1.5943000000000001</v>
      </c>
      <c r="F2945" s="3">
        <v>338.16</v>
      </c>
      <c r="G2945" s="3">
        <v>448.45</v>
      </c>
      <c r="H2945" s="3">
        <v>210.1</v>
      </c>
      <c r="I2945" s="3">
        <v>384.51</v>
      </c>
      <c r="J2945" s="3">
        <v>123.83</v>
      </c>
      <c r="K2945" s="3">
        <v>238.77</v>
      </c>
      <c r="L2945" s="3"/>
      <c r="N2945" s="4"/>
    </row>
    <row r="2946" spans="1:14" ht="17.5" thickBot="1" x14ac:dyDescent="0.45">
      <c r="A2946" s="4">
        <v>45803</v>
      </c>
      <c r="B2946" s="3">
        <v>163.54</v>
      </c>
      <c r="C2946" s="3">
        <v>377.8</v>
      </c>
      <c r="D2946" s="3">
        <v>114.84</v>
      </c>
      <c r="E2946" s="3">
        <v>1.5948</v>
      </c>
      <c r="F2946" s="3">
        <v>338.12</v>
      </c>
      <c r="G2946" s="3">
        <v>448.67</v>
      </c>
      <c r="H2946" s="3">
        <v>210.21</v>
      </c>
      <c r="I2946" s="3">
        <v>384.76</v>
      </c>
      <c r="J2946" s="3">
        <v>123.84</v>
      </c>
      <c r="K2946" s="3">
        <v>238.9</v>
      </c>
      <c r="L2946" s="3"/>
      <c r="N2946" s="4"/>
    </row>
    <row r="2947" spans="1:14" ht="17.5" thickBot="1" x14ac:dyDescent="0.45">
      <c r="A2947" s="4">
        <v>45804</v>
      </c>
      <c r="B2947" s="3">
        <v>164.47</v>
      </c>
      <c r="C2947" s="3">
        <v>377.1</v>
      </c>
      <c r="D2947" s="3">
        <v>115.13</v>
      </c>
      <c r="E2947" s="3">
        <v>1.6121000000000001</v>
      </c>
      <c r="F2947" s="3">
        <v>339.68</v>
      </c>
      <c r="G2947" s="3">
        <v>457.69</v>
      </c>
      <c r="H2947" s="3">
        <v>211.07</v>
      </c>
      <c r="I2947" s="3">
        <v>392.49</v>
      </c>
      <c r="J2947" s="3">
        <v>123.85</v>
      </c>
      <c r="K2947" s="3">
        <v>239.88</v>
      </c>
      <c r="L2947" s="3"/>
      <c r="N2947" s="4"/>
    </row>
    <row r="2948" spans="1:14" ht="17.5" thickBot="1" x14ac:dyDescent="0.45">
      <c r="A2948" s="4">
        <v>45805</v>
      </c>
      <c r="B2948" s="3">
        <v>163.77000000000001</v>
      </c>
      <c r="C2948" s="3">
        <v>376.74</v>
      </c>
      <c r="D2948" s="3">
        <v>115.13</v>
      </c>
      <c r="E2948" s="3">
        <v>1.6056999999999999</v>
      </c>
      <c r="F2948" s="3">
        <v>338.24</v>
      </c>
      <c r="G2948" s="3">
        <v>455.35</v>
      </c>
      <c r="H2948" s="3">
        <v>210.37</v>
      </c>
      <c r="I2948" s="3">
        <v>390.26</v>
      </c>
      <c r="J2948" s="3">
        <v>123.85</v>
      </c>
      <c r="K2948" s="3">
        <v>239.1</v>
      </c>
      <c r="L2948" s="3"/>
      <c r="N2948" s="4"/>
    </row>
    <row r="2949" spans="1:14" ht="17.5" thickBot="1" x14ac:dyDescent="0.45">
      <c r="A2949" s="4">
        <v>45806</v>
      </c>
      <c r="B2949" s="3">
        <v>165.85</v>
      </c>
      <c r="C2949" s="3">
        <v>379.58</v>
      </c>
      <c r="D2949" s="3">
        <v>115.25</v>
      </c>
      <c r="E2949" s="3">
        <v>1.6112</v>
      </c>
      <c r="F2949" s="3">
        <v>341.04</v>
      </c>
      <c r="G2949" s="3">
        <v>457.18</v>
      </c>
      <c r="H2949" s="3">
        <v>211.66</v>
      </c>
      <c r="I2949" s="3">
        <v>391.82</v>
      </c>
      <c r="J2949" s="3">
        <v>123.86</v>
      </c>
      <c r="K2949" s="3">
        <v>240.59</v>
      </c>
      <c r="L2949" s="3"/>
      <c r="N2949" s="4"/>
    </row>
    <row r="2950" spans="1:14" ht="17.5" thickBot="1" x14ac:dyDescent="0.45">
      <c r="A2950" s="4">
        <v>45807</v>
      </c>
      <c r="B2950" s="3">
        <v>163.89</v>
      </c>
      <c r="C2950" s="3">
        <v>376.92</v>
      </c>
      <c r="D2950" s="3">
        <v>115.47</v>
      </c>
      <c r="E2950" s="3">
        <v>1.6114999999999999</v>
      </c>
      <c r="F2950" s="3">
        <v>339.68</v>
      </c>
      <c r="G2950" s="3">
        <v>456.89</v>
      </c>
      <c r="H2950" s="3">
        <v>211.27</v>
      </c>
      <c r="I2950" s="3">
        <v>391.49</v>
      </c>
      <c r="J2950" s="3">
        <v>123.87</v>
      </c>
      <c r="K2950" s="3">
        <v>240.13</v>
      </c>
      <c r="L2950" s="3"/>
      <c r="N2950" s="4"/>
    </row>
    <row r="2951" spans="1:14" ht="17.5" thickBot="1" x14ac:dyDescent="0.45">
      <c r="A2951" s="4">
        <v>45808</v>
      </c>
      <c r="B2951" s="3">
        <v>163.89</v>
      </c>
      <c r="C2951" s="3">
        <v>376.92</v>
      </c>
      <c r="D2951" s="3">
        <v>115.47</v>
      </c>
      <c r="E2951" s="3">
        <v>1.6114999999999999</v>
      </c>
      <c r="F2951" s="3">
        <v>339.68</v>
      </c>
      <c r="G2951" s="3">
        <v>456.89</v>
      </c>
      <c r="H2951" s="3">
        <v>211.27</v>
      </c>
      <c r="I2951" s="3">
        <v>391.49</v>
      </c>
      <c r="J2951" s="3">
        <v>123.87</v>
      </c>
      <c r="K2951" s="3">
        <v>240.13</v>
      </c>
      <c r="L2951" s="3"/>
      <c r="N2951" s="4"/>
    </row>
    <row r="2952" spans="1:14" ht="17.5" thickBot="1" x14ac:dyDescent="0.45">
      <c r="A2952" s="4">
        <v>45809</v>
      </c>
      <c r="B2952" s="3">
        <v>163.89</v>
      </c>
      <c r="C2952" s="3">
        <v>376.92</v>
      </c>
      <c r="D2952" s="3">
        <v>115.47</v>
      </c>
      <c r="E2952" s="3">
        <v>1.6114999999999999</v>
      </c>
      <c r="F2952" s="3">
        <v>339.68</v>
      </c>
      <c r="G2952" s="3">
        <v>456.89</v>
      </c>
      <c r="H2952" s="3">
        <v>211.27</v>
      </c>
      <c r="I2952" s="3">
        <v>391.49</v>
      </c>
      <c r="J2952" s="3">
        <v>123.87</v>
      </c>
      <c r="K2952" s="3">
        <v>240.13</v>
      </c>
      <c r="L2952" s="3"/>
      <c r="N2952" s="4"/>
    </row>
    <row r="2953" spans="1:14" ht="17.5" thickBot="1" x14ac:dyDescent="0.45">
      <c r="A2953" s="4">
        <v>45810</v>
      </c>
      <c r="B2953" s="3">
        <v>163.18</v>
      </c>
      <c r="C2953" s="3">
        <v>376.51</v>
      </c>
      <c r="D2953" s="3">
        <v>115.34</v>
      </c>
      <c r="E2953" s="3">
        <v>1.6149</v>
      </c>
      <c r="F2953" s="3">
        <v>339.86</v>
      </c>
      <c r="G2953" s="3">
        <v>458.55</v>
      </c>
      <c r="H2953" s="3">
        <v>211.32</v>
      </c>
      <c r="I2953" s="3">
        <v>393.62</v>
      </c>
      <c r="J2953" s="3">
        <v>123.88</v>
      </c>
      <c r="K2953" s="3">
        <v>240.17</v>
      </c>
      <c r="L2953" s="3"/>
      <c r="N2953" s="4"/>
    </row>
    <row r="2954" spans="1:14" ht="17.5" thickBot="1" x14ac:dyDescent="0.45">
      <c r="A2954" s="4">
        <v>45811</v>
      </c>
      <c r="B2954" s="3">
        <v>165.55</v>
      </c>
      <c r="C2954" s="3">
        <v>378.39</v>
      </c>
      <c r="D2954" s="3">
        <v>115.34</v>
      </c>
      <c r="E2954" s="3">
        <v>1.6182000000000001</v>
      </c>
      <c r="F2954" s="3">
        <v>341.06</v>
      </c>
      <c r="G2954" s="3">
        <v>460.99</v>
      </c>
      <c r="H2954" s="3">
        <v>211.7</v>
      </c>
      <c r="I2954" s="3">
        <v>395.73</v>
      </c>
      <c r="J2954" s="3">
        <v>123.89</v>
      </c>
      <c r="K2954" s="3">
        <v>240.59</v>
      </c>
      <c r="L2954" s="3"/>
      <c r="N2954" s="4"/>
    </row>
    <row r="2955" spans="1:14" ht="17.5" thickBot="1" x14ac:dyDescent="0.45">
      <c r="A2955" s="4">
        <v>45812</v>
      </c>
      <c r="B2955" s="3">
        <v>166.55</v>
      </c>
      <c r="C2955" s="3">
        <v>382.98</v>
      </c>
      <c r="D2955" s="3">
        <v>115.59</v>
      </c>
      <c r="E2955" s="3">
        <v>1.6229</v>
      </c>
      <c r="F2955" s="3">
        <v>343.39</v>
      </c>
      <c r="G2955" s="3">
        <v>461.2</v>
      </c>
      <c r="H2955" s="3">
        <v>212.89</v>
      </c>
      <c r="I2955" s="3">
        <v>395.73</v>
      </c>
      <c r="J2955" s="3">
        <v>123.9</v>
      </c>
      <c r="K2955" s="3">
        <v>241.97</v>
      </c>
      <c r="L2955" s="3"/>
      <c r="N2955" s="4"/>
    </row>
    <row r="2956" spans="1:14" ht="17.5" thickBot="1" x14ac:dyDescent="0.45">
      <c r="A2956" s="4">
        <v>45813</v>
      </c>
      <c r="B2956" s="3">
        <v>168.24</v>
      </c>
      <c r="C2956" s="3">
        <v>386.14</v>
      </c>
      <c r="D2956" s="3">
        <v>115.72</v>
      </c>
      <c r="E2956" s="3">
        <v>1.62</v>
      </c>
      <c r="F2956" s="3">
        <v>344.03</v>
      </c>
      <c r="G2956" s="3">
        <v>458.96</v>
      </c>
      <c r="H2956" s="3">
        <v>213.12</v>
      </c>
      <c r="I2956" s="3">
        <v>393.85</v>
      </c>
      <c r="J2956" s="3">
        <v>123.9</v>
      </c>
      <c r="K2956" s="3">
        <v>242.21</v>
      </c>
      <c r="L2956" s="3"/>
      <c r="N2956" s="4"/>
    </row>
    <row r="2957" spans="1:14" ht="17.5" thickBot="1" x14ac:dyDescent="0.45">
      <c r="A2957" s="4">
        <v>45814</v>
      </c>
      <c r="B2957" s="3">
        <v>167.95</v>
      </c>
      <c r="C2957" s="3">
        <v>386.21</v>
      </c>
      <c r="D2957" s="3">
        <v>115.43</v>
      </c>
      <c r="E2957" s="3">
        <v>1.6245000000000001</v>
      </c>
      <c r="F2957" s="3">
        <v>343.99</v>
      </c>
      <c r="G2957" s="3">
        <v>463.75</v>
      </c>
      <c r="H2957" s="3">
        <v>212.69</v>
      </c>
      <c r="I2957" s="3">
        <v>397.81</v>
      </c>
      <c r="J2957" s="3">
        <v>123.91</v>
      </c>
      <c r="K2957" s="3">
        <v>241.71</v>
      </c>
      <c r="L2957" s="3"/>
      <c r="N2957" s="4"/>
    </row>
    <row r="2958" spans="1:14" ht="17.5" thickBot="1" x14ac:dyDescent="0.45">
      <c r="A2958" s="4">
        <v>45815</v>
      </c>
      <c r="B2958" s="3">
        <v>167.95</v>
      </c>
      <c r="C2958" s="3">
        <v>386.21</v>
      </c>
      <c r="D2958" s="3">
        <v>115.43</v>
      </c>
      <c r="E2958" s="3">
        <v>1.6245000000000001</v>
      </c>
      <c r="F2958" s="3">
        <v>343.99</v>
      </c>
      <c r="G2958" s="3">
        <v>463.75</v>
      </c>
      <c r="H2958" s="3">
        <v>212.69</v>
      </c>
      <c r="I2958" s="3">
        <v>397.81</v>
      </c>
      <c r="J2958" s="3">
        <v>123.91</v>
      </c>
      <c r="K2958" s="3">
        <v>241.71</v>
      </c>
      <c r="L2958" s="3"/>
      <c r="N2958" s="4"/>
    </row>
    <row r="2959" spans="1:14" ht="17.5" thickBot="1" x14ac:dyDescent="0.45">
      <c r="A2959" s="4">
        <v>45816</v>
      </c>
      <c r="B2959" s="3">
        <v>167.95</v>
      </c>
      <c r="C2959" s="3">
        <v>386.21</v>
      </c>
      <c r="D2959" s="3">
        <v>115.43</v>
      </c>
      <c r="E2959" s="3">
        <v>1.6245000000000001</v>
      </c>
      <c r="F2959" s="3">
        <v>343.99</v>
      </c>
      <c r="G2959" s="3">
        <v>463.75</v>
      </c>
      <c r="H2959" s="3">
        <v>212.69</v>
      </c>
      <c r="I2959" s="3">
        <v>397.81</v>
      </c>
      <c r="J2959" s="3">
        <v>123.91</v>
      </c>
      <c r="K2959" s="3">
        <v>241.71</v>
      </c>
      <c r="L2959" s="3"/>
      <c r="N2959" s="4"/>
    </row>
    <row r="2960" spans="1:14" ht="17.5" thickBot="1" x14ac:dyDescent="0.45">
      <c r="A2960" s="4">
        <v>45817</v>
      </c>
      <c r="B2960" s="3">
        <v>170.31</v>
      </c>
      <c r="C2960" s="3">
        <v>390.3</v>
      </c>
      <c r="D2960" s="3">
        <v>115.43</v>
      </c>
      <c r="E2960" s="3">
        <v>1.6265000000000001</v>
      </c>
      <c r="F2960" s="3">
        <v>346.26</v>
      </c>
      <c r="G2960" s="3">
        <v>464.1</v>
      </c>
      <c r="H2960" s="3">
        <v>213.55</v>
      </c>
      <c r="I2960" s="3">
        <v>398.29</v>
      </c>
      <c r="J2960" s="3">
        <v>123.92</v>
      </c>
      <c r="K2960" s="3">
        <v>242.73</v>
      </c>
      <c r="L2960" s="3"/>
      <c r="N2960" s="4"/>
    </row>
    <row r="2961" spans="1:14" ht="17.5" thickBot="1" x14ac:dyDescent="0.45">
      <c r="A2961" s="4">
        <v>45818</v>
      </c>
      <c r="B2961" s="3">
        <v>170.31</v>
      </c>
      <c r="C2961" s="3">
        <v>392.73</v>
      </c>
      <c r="D2961" s="3">
        <v>115.59</v>
      </c>
      <c r="E2961" s="3">
        <v>1.6315</v>
      </c>
      <c r="F2961" s="3">
        <v>346.76</v>
      </c>
      <c r="G2961" s="3">
        <v>466.37</v>
      </c>
      <c r="H2961" s="3">
        <v>213.91</v>
      </c>
      <c r="I2961" s="3">
        <v>400.49</v>
      </c>
      <c r="J2961" s="3">
        <v>123.93</v>
      </c>
      <c r="K2961" s="3">
        <v>243.14</v>
      </c>
      <c r="L2961" s="3"/>
      <c r="N2961" s="4"/>
    </row>
    <row r="2962" spans="1:14" ht="17.5" thickBot="1" x14ac:dyDescent="0.45">
      <c r="A2962" s="4">
        <v>45819</v>
      </c>
      <c r="B2962" s="3">
        <v>172.01</v>
      </c>
      <c r="C2962" s="3">
        <v>394.59</v>
      </c>
      <c r="D2962" s="3">
        <v>115.75</v>
      </c>
      <c r="E2962" s="3">
        <v>1.6315999999999999</v>
      </c>
      <c r="F2962" s="3">
        <v>347.8</v>
      </c>
      <c r="G2962" s="3">
        <v>464.96</v>
      </c>
      <c r="H2962" s="3">
        <v>214.51</v>
      </c>
      <c r="I2962" s="3">
        <v>399.33</v>
      </c>
      <c r="J2962" s="3">
        <v>123.94</v>
      </c>
      <c r="K2962" s="3">
        <v>243.79</v>
      </c>
      <c r="L2962" s="3"/>
      <c r="N2962" s="4"/>
    </row>
    <row r="2963" spans="1:14" ht="17.5" thickBot="1" x14ac:dyDescent="0.45">
      <c r="A2963" s="4">
        <v>45820</v>
      </c>
      <c r="B2963" s="3">
        <v>170.02</v>
      </c>
      <c r="C2963" s="3">
        <v>393.2</v>
      </c>
      <c r="D2963" s="3">
        <v>116.05</v>
      </c>
      <c r="E2963" s="3">
        <v>1.6361000000000001</v>
      </c>
      <c r="F2963" s="3">
        <v>347.93</v>
      </c>
      <c r="G2963" s="3">
        <v>466.82</v>
      </c>
      <c r="H2963" s="3">
        <v>215.03</v>
      </c>
      <c r="I2963" s="3">
        <v>400.75</v>
      </c>
      <c r="J2963" s="3">
        <v>123.94</v>
      </c>
      <c r="K2963" s="3">
        <v>244.34</v>
      </c>
      <c r="L2963" s="3"/>
      <c r="N2963" s="4"/>
    </row>
    <row r="2964" spans="1:14" ht="17.5" thickBot="1" x14ac:dyDescent="0.45">
      <c r="A2964" s="4">
        <v>45821</v>
      </c>
      <c r="B2964" s="3">
        <v>168.62</v>
      </c>
      <c r="C2964" s="3">
        <v>390.67</v>
      </c>
      <c r="D2964" s="3">
        <v>115.93</v>
      </c>
      <c r="E2964" s="3">
        <v>1.6242000000000001</v>
      </c>
      <c r="F2964" s="3">
        <v>344.89</v>
      </c>
      <c r="G2964" s="3">
        <v>461.47</v>
      </c>
      <c r="H2964" s="3">
        <v>213.66</v>
      </c>
      <c r="I2964" s="3">
        <v>396.38</v>
      </c>
      <c r="J2964" s="3">
        <v>123.95</v>
      </c>
      <c r="K2964" s="3">
        <v>242.77</v>
      </c>
      <c r="L2964" s="3"/>
      <c r="N2964" s="4"/>
    </row>
    <row r="2965" spans="1:14" ht="17.5" thickBot="1" x14ac:dyDescent="0.45">
      <c r="A2965" s="4">
        <v>45822</v>
      </c>
      <c r="B2965" s="3">
        <v>168.62</v>
      </c>
      <c r="C2965" s="3">
        <v>390.67</v>
      </c>
      <c r="D2965" s="3">
        <v>115.93</v>
      </c>
      <c r="E2965" s="3">
        <v>1.6242000000000001</v>
      </c>
      <c r="F2965" s="3">
        <v>344.89</v>
      </c>
      <c r="G2965" s="3">
        <v>461.47</v>
      </c>
      <c r="H2965" s="3">
        <v>213.66</v>
      </c>
      <c r="I2965" s="3">
        <v>396.38</v>
      </c>
      <c r="J2965" s="3">
        <v>123.95</v>
      </c>
      <c r="K2965" s="3">
        <v>242.77</v>
      </c>
      <c r="L2965" s="3"/>
      <c r="N2965" s="4"/>
    </row>
    <row r="2966" spans="1:14" ht="17.5" thickBot="1" x14ac:dyDescent="0.45">
      <c r="A2966" s="4">
        <v>45823</v>
      </c>
      <c r="B2966" s="3">
        <v>168.62</v>
      </c>
      <c r="C2966" s="3">
        <v>390.67</v>
      </c>
      <c r="D2966" s="3">
        <v>115.93</v>
      </c>
      <c r="E2966" s="3">
        <v>1.6242000000000001</v>
      </c>
      <c r="F2966" s="3">
        <v>344.89</v>
      </c>
      <c r="G2966" s="3">
        <v>461.47</v>
      </c>
      <c r="H2966" s="3">
        <v>213.66</v>
      </c>
      <c r="I2966" s="3">
        <v>396.38</v>
      </c>
      <c r="J2966" s="3">
        <v>123.95</v>
      </c>
      <c r="K2966" s="3">
        <v>242.77</v>
      </c>
      <c r="L2966" s="3"/>
      <c r="N2966" s="4"/>
    </row>
    <row r="2967" spans="1:14" ht="17.5" thickBot="1" x14ac:dyDescent="0.45">
      <c r="A2967" s="4">
        <v>45824</v>
      </c>
      <c r="B2967" s="3">
        <v>170.17</v>
      </c>
      <c r="C2967" s="3">
        <v>394.02</v>
      </c>
      <c r="D2967" s="3">
        <v>115.77</v>
      </c>
      <c r="E2967" s="3">
        <v>1.6319999999999999</v>
      </c>
      <c r="F2967" s="3">
        <v>347.31</v>
      </c>
      <c r="G2967" s="3">
        <v>465.62</v>
      </c>
      <c r="H2967" s="3">
        <v>214.42</v>
      </c>
      <c r="I2967" s="3">
        <v>399.86</v>
      </c>
      <c r="J2967" s="3">
        <v>123.96</v>
      </c>
      <c r="K2967" s="3">
        <v>243.62</v>
      </c>
      <c r="L2967" s="3"/>
      <c r="N2967" s="4"/>
    </row>
    <row r="2968" spans="1:14" ht="17.5" thickBot="1" x14ac:dyDescent="0.45">
      <c r="A2968" s="4">
        <v>45825</v>
      </c>
      <c r="B2968" s="3">
        <v>169.57</v>
      </c>
      <c r="C2968" s="3">
        <v>394.01</v>
      </c>
      <c r="D2968" s="3">
        <v>115.95</v>
      </c>
      <c r="E2968" s="3">
        <v>1.6251</v>
      </c>
      <c r="F2968" s="3">
        <v>345.69</v>
      </c>
      <c r="G2968" s="3">
        <v>461.94</v>
      </c>
      <c r="H2968" s="3">
        <v>213.94</v>
      </c>
      <c r="I2968" s="3">
        <v>396.55</v>
      </c>
      <c r="J2968" s="3">
        <v>123.97</v>
      </c>
      <c r="K2968" s="3">
        <v>243.06</v>
      </c>
      <c r="L2968" s="3"/>
      <c r="N2968" s="4"/>
    </row>
    <row r="2969" spans="1:14" ht="17.5" thickBot="1" x14ac:dyDescent="0.45">
      <c r="A2969" s="4">
        <v>45826</v>
      </c>
      <c r="B2969" s="3">
        <v>167.67</v>
      </c>
      <c r="C2969" s="3">
        <v>392.75</v>
      </c>
      <c r="D2969" s="3">
        <v>116.01</v>
      </c>
      <c r="E2969" s="3">
        <v>1.6248</v>
      </c>
      <c r="F2969" s="3">
        <v>345.08</v>
      </c>
      <c r="G2969" s="3">
        <v>461.43</v>
      </c>
      <c r="H2969" s="3">
        <v>213.78</v>
      </c>
      <c r="I2969" s="3">
        <v>396.44</v>
      </c>
      <c r="J2969" s="3">
        <v>123.97</v>
      </c>
      <c r="K2969" s="3">
        <v>242.88</v>
      </c>
      <c r="L2969" s="3"/>
      <c r="N2969" s="4"/>
    </row>
    <row r="2970" spans="1:14" ht="17.5" thickBot="1" x14ac:dyDescent="0.45">
      <c r="A2970" s="4">
        <v>45827</v>
      </c>
      <c r="B2970" s="3">
        <v>164.34</v>
      </c>
      <c r="C2970" s="3">
        <v>387.97</v>
      </c>
      <c r="D2970" s="3">
        <v>116.02</v>
      </c>
      <c r="E2970" s="3">
        <v>1.6243000000000001</v>
      </c>
      <c r="F2970" s="3">
        <v>341.71</v>
      </c>
      <c r="G2970" s="3">
        <v>461.42</v>
      </c>
      <c r="H2970" s="3">
        <v>212.52</v>
      </c>
      <c r="I2970" s="3">
        <v>396.45</v>
      </c>
      <c r="J2970" s="3">
        <v>123.98</v>
      </c>
      <c r="K2970" s="3">
        <v>241.42</v>
      </c>
      <c r="L2970" s="3"/>
      <c r="N2970" s="4"/>
    </row>
    <row r="2971" spans="1:14" ht="17.5" thickBot="1" x14ac:dyDescent="0.45">
      <c r="A2971" s="4">
        <v>45828</v>
      </c>
      <c r="B2971" s="3">
        <v>166.24</v>
      </c>
      <c r="C2971" s="3">
        <v>392.26</v>
      </c>
      <c r="D2971" s="3">
        <v>115.99</v>
      </c>
      <c r="E2971" s="3">
        <v>1.6203000000000001</v>
      </c>
      <c r="F2971" s="3">
        <v>342.98</v>
      </c>
      <c r="G2971" s="3">
        <v>460.2</v>
      </c>
      <c r="H2971" s="3">
        <v>213.05</v>
      </c>
      <c r="I2971" s="3">
        <v>395.12</v>
      </c>
      <c r="J2971" s="3">
        <v>123.98</v>
      </c>
      <c r="K2971" s="3">
        <v>241.99</v>
      </c>
      <c r="L2971" s="3"/>
      <c r="N2971" s="4"/>
    </row>
    <row r="2972" spans="1:14" ht="17.5" thickBot="1" x14ac:dyDescent="0.45">
      <c r="A2972" s="4">
        <v>45829</v>
      </c>
      <c r="B2972" s="3">
        <v>166.24</v>
      </c>
      <c r="C2972" s="3">
        <v>392.26</v>
      </c>
      <c r="D2972" s="3">
        <v>115.99</v>
      </c>
      <c r="E2972" s="3">
        <v>1.6203000000000001</v>
      </c>
      <c r="F2972" s="3">
        <v>342.98</v>
      </c>
      <c r="G2972" s="3">
        <v>460.2</v>
      </c>
      <c r="H2972" s="3">
        <v>213.05</v>
      </c>
      <c r="I2972" s="3">
        <v>395.12</v>
      </c>
      <c r="J2972" s="3">
        <v>123.98</v>
      </c>
      <c r="K2972" s="3">
        <v>241.99</v>
      </c>
      <c r="L2972" s="3"/>
      <c r="N2972" s="4"/>
    </row>
    <row r="2973" spans="1:14" ht="17.5" thickBot="1" x14ac:dyDescent="0.45">
      <c r="A2973" s="4">
        <v>45830</v>
      </c>
      <c r="B2973" s="3">
        <v>166.24</v>
      </c>
      <c r="C2973" s="3">
        <v>392.26</v>
      </c>
      <c r="D2973" s="3">
        <v>115.99</v>
      </c>
      <c r="E2973" s="3">
        <v>1.6203000000000001</v>
      </c>
      <c r="F2973" s="3">
        <v>342.98</v>
      </c>
      <c r="G2973" s="3">
        <v>460.2</v>
      </c>
      <c r="H2973" s="3">
        <v>213.05</v>
      </c>
      <c r="I2973" s="3">
        <v>395.12</v>
      </c>
      <c r="J2973" s="3">
        <v>123.98</v>
      </c>
      <c r="K2973" s="3">
        <v>241.99</v>
      </c>
      <c r="L2973" s="3"/>
      <c r="N2973" s="4"/>
    </row>
    <row r="2974" spans="1:14" ht="17.5" thickBot="1" x14ac:dyDescent="0.45">
      <c r="A2974" s="4">
        <v>45831</v>
      </c>
      <c r="B2974" s="3">
        <v>167.52</v>
      </c>
      <c r="C2974" s="3">
        <v>389.9</v>
      </c>
      <c r="D2974" s="3">
        <v>116.15</v>
      </c>
      <c r="E2974" s="3">
        <v>1.6255999999999999</v>
      </c>
      <c r="F2974" s="3">
        <v>343.18</v>
      </c>
      <c r="G2974" s="3">
        <v>464.41</v>
      </c>
      <c r="H2974" s="3">
        <v>213.31</v>
      </c>
      <c r="I2974" s="3">
        <v>399.16</v>
      </c>
      <c r="J2974" s="3">
        <v>124</v>
      </c>
      <c r="K2974" s="3">
        <v>242.26</v>
      </c>
      <c r="L2974" s="3"/>
      <c r="N2974" s="4"/>
    </row>
    <row r="2975" spans="1:14" ht="17.5" thickBot="1" x14ac:dyDescent="0.45">
      <c r="A2975" s="4">
        <v>45832</v>
      </c>
      <c r="B2975" s="3">
        <v>171.01</v>
      </c>
      <c r="C2975" s="3">
        <v>398.8</v>
      </c>
      <c r="D2975" s="3">
        <v>116.42</v>
      </c>
      <c r="E2975" s="3">
        <v>1.6404000000000001</v>
      </c>
      <c r="F2975" s="3">
        <v>348.63</v>
      </c>
      <c r="G2975" s="3">
        <v>469.43</v>
      </c>
      <c r="H2975" s="3">
        <v>215.51</v>
      </c>
      <c r="I2975" s="3">
        <v>403.46</v>
      </c>
      <c r="J2975" s="3">
        <v>124</v>
      </c>
      <c r="K2975" s="3">
        <v>244.81</v>
      </c>
      <c r="L2975" s="3"/>
      <c r="N2975" s="4"/>
    </row>
    <row r="2976" spans="1:14" ht="17.5" thickBot="1" x14ac:dyDescent="0.45">
      <c r="A2976" s="4">
        <v>45833</v>
      </c>
      <c r="B2976" s="3">
        <v>173.06</v>
      </c>
      <c r="C2976" s="3">
        <v>401.98</v>
      </c>
      <c r="D2976" s="3">
        <v>116.54</v>
      </c>
      <c r="E2976" s="3">
        <v>1.6395999999999999</v>
      </c>
      <c r="F2976" s="3">
        <v>349.63</v>
      </c>
      <c r="G2976" s="3">
        <v>469.46</v>
      </c>
      <c r="H2976" s="3">
        <v>215.86</v>
      </c>
      <c r="I2976" s="3">
        <v>403.7</v>
      </c>
      <c r="J2976" s="3">
        <v>124.01</v>
      </c>
      <c r="K2976" s="3">
        <v>245.21</v>
      </c>
      <c r="L2976" s="3"/>
      <c r="N2976" s="4"/>
    </row>
    <row r="2977" spans="1:14" ht="17.5" thickBot="1" x14ac:dyDescent="0.45">
      <c r="A2977" s="4">
        <v>45834</v>
      </c>
      <c r="B2977" s="3">
        <v>172.1</v>
      </c>
      <c r="C2977" s="3">
        <v>403.69</v>
      </c>
      <c r="D2977" s="3">
        <v>116.71</v>
      </c>
      <c r="E2977" s="3">
        <v>1.6486000000000001</v>
      </c>
      <c r="F2977" s="3">
        <v>351.13</v>
      </c>
      <c r="G2977" s="3">
        <v>473.1</v>
      </c>
      <c r="H2977" s="3">
        <v>216.65</v>
      </c>
      <c r="I2977" s="3">
        <v>406.81</v>
      </c>
      <c r="J2977" s="3">
        <v>124.01</v>
      </c>
      <c r="K2977" s="3">
        <v>246.11</v>
      </c>
      <c r="L2977" s="3"/>
      <c r="N2977" s="4"/>
    </row>
    <row r="2978" spans="1:14" ht="17.5" thickBot="1" x14ac:dyDescent="0.45">
      <c r="A2978" s="4">
        <v>45835</v>
      </c>
      <c r="B2978" s="3">
        <v>171.65</v>
      </c>
      <c r="C2978" s="3">
        <v>403.83</v>
      </c>
      <c r="D2978" s="3">
        <v>116.69</v>
      </c>
      <c r="E2978" s="3">
        <v>1.6539999999999999</v>
      </c>
      <c r="F2978" s="3">
        <v>352.26</v>
      </c>
      <c r="G2978" s="3">
        <v>475.85</v>
      </c>
      <c r="H2978" s="3">
        <v>216.87</v>
      </c>
      <c r="I2978" s="3">
        <v>408.62</v>
      </c>
      <c r="J2978" s="3">
        <v>124.01</v>
      </c>
      <c r="K2978" s="3">
        <v>246.38</v>
      </c>
      <c r="L2978" s="3"/>
      <c r="N2978" s="4"/>
    </row>
    <row r="2979" spans="1:14" ht="17.5" thickBot="1" x14ac:dyDescent="0.45">
      <c r="A2979" s="4">
        <v>45836</v>
      </c>
      <c r="B2979" s="3">
        <v>171.65</v>
      </c>
      <c r="C2979" s="3">
        <v>403.83</v>
      </c>
      <c r="D2979" s="3">
        <v>116.69</v>
      </c>
      <c r="E2979" s="3">
        <v>1.6539999999999999</v>
      </c>
      <c r="F2979" s="3">
        <v>352.26</v>
      </c>
      <c r="G2979" s="3">
        <v>475.85</v>
      </c>
      <c r="H2979" s="3">
        <v>216.87</v>
      </c>
      <c r="I2979" s="3">
        <v>408.62</v>
      </c>
      <c r="J2979" s="3">
        <v>124.02</v>
      </c>
      <c r="K2979" s="3">
        <v>246.38</v>
      </c>
      <c r="L2979" s="3"/>
      <c r="N2979" s="4"/>
    </row>
    <row r="2980" spans="1:14" ht="17.5" thickBot="1" x14ac:dyDescent="0.45">
      <c r="A2980" s="4">
        <v>45837</v>
      </c>
      <c r="B2980" s="3">
        <v>171.65</v>
      </c>
      <c r="C2980" s="3">
        <v>403.83</v>
      </c>
      <c r="D2980" s="3">
        <v>116.69</v>
      </c>
      <c r="E2980" s="3">
        <v>1.6539999999999999</v>
      </c>
      <c r="F2980" s="3">
        <v>352.26</v>
      </c>
      <c r="G2980" s="3">
        <v>475.85</v>
      </c>
      <c r="H2980" s="3">
        <v>216.87</v>
      </c>
      <c r="I2980" s="3">
        <v>408.62</v>
      </c>
      <c r="J2980" s="3">
        <v>124.02</v>
      </c>
      <c r="K2980" s="3">
        <v>246.38</v>
      </c>
      <c r="L2980" s="3"/>
      <c r="N2980" s="4"/>
    </row>
    <row r="2981" spans="1:14" ht="17.5" thickBot="1" x14ac:dyDescent="0.45">
      <c r="A2981" s="4">
        <v>45838</v>
      </c>
      <c r="B2981" s="3">
        <v>170.41</v>
      </c>
      <c r="C2981" s="3">
        <v>401.51</v>
      </c>
      <c r="D2981" s="3">
        <v>116.86</v>
      </c>
      <c r="E2981" s="3">
        <v>1.6577999999999999</v>
      </c>
      <c r="F2981" s="3">
        <v>352.02</v>
      </c>
      <c r="G2981" s="3">
        <v>478.16</v>
      </c>
      <c r="H2981" s="3">
        <v>217.04</v>
      </c>
      <c r="I2981" s="3">
        <v>410.82</v>
      </c>
      <c r="J2981" s="3">
        <v>124.03</v>
      </c>
      <c r="K2981" s="3">
        <v>246.55</v>
      </c>
      <c r="L2981" s="3"/>
      <c r="N2981" s="4"/>
    </row>
    <row r="2982" spans="1:14" ht="17.5" thickBot="1" x14ac:dyDescent="0.45">
      <c r="A2982" s="4">
        <v>45839</v>
      </c>
      <c r="B2982" s="3">
        <v>170.41</v>
      </c>
      <c r="C2982" s="3">
        <v>401.51</v>
      </c>
      <c r="D2982" s="3">
        <v>116.86</v>
      </c>
      <c r="E2982" s="3">
        <v>1.6577999999999999</v>
      </c>
      <c r="F2982" s="3">
        <v>352.02</v>
      </c>
      <c r="G2982" s="3">
        <v>478.16</v>
      </c>
      <c r="H2982" s="3">
        <v>217.04</v>
      </c>
      <c r="I2982" s="3">
        <v>410.82</v>
      </c>
      <c r="J2982" s="3">
        <v>124.03</v>
      </c>
      <c r="K2982" s="3">
        <v>246.55</v>
      </c>
      <c r="L2982" s="3"/>
      <c r="N2982" s="4"/>
    </row>
    <row r="2983" spans="1:14" ht="17.5" thickBot="1" x14ac:dyDescent="0.45">
      <c r="A2983" s="4">
        <v>45840</v>
      </c>
      <c r="B2983" s="3">
        <v>171.26</v>
      </c>
      <c r="C2983" s="3">
        <v>403.01</v>
      </c>
      <c r="D2983" s="3">
        <v>116.83</v>
      </c>
      <c r="E2983" s="3">
        <v>1.6594</v>
      </c>
      <c r="F2983" s="3">
        <v>352.41</v>
      </c>
      <c r="G2983" s="3">
        <v>480.58</v>
      </c>
      <c r="H2983" s="3">
        <v>217.07</v>
      </c>
      <c r="I2983" s="3">
        <v>412.43</v>
      </c>
      <c r="J2983" s="3">
        <v>124.04</v>
      </c>
      <c r="K2983" s="3">
        <v>246.56</v>
      </c>
      <c r="L2983" s="3"/>
      <c r="N2983" s="4"/>
    </row>
    <row r="2984" spans="1:14" ht="17.5" thickBot="1" x14ac:dyDescent="0.45">
      <c r="A2984" s="4">
        <v>45841</v>
      </c>
      <c r="B2984" s="3">
        <v>170.54</v>
      </c>
      <c r="C2984" s="3">
        <v>402.93</v>
      </c>
      <c r="D2984" s="3">
        <v>116.75</v>
      </c>
      <c r="E2984" s="3">
        <v>1.6654</v>
      </c>
      <c r="F2984" s="3">
        <v>352.82</v>
      </c>
      <c r="G2984" s="3">
        <v>484.35</v>
      </c>
      <c r="H2984" s="3">
        <v>217.12</v>
      </c>
      <c r="I2984" s="3">
        <v>415.55</v>
      </c>
      <c r="J2984" s="3">
        <v>124.04</v>
      </c>
      <c r="K2984" s="3">
        <v>246.61</v>
      </c>
      <c r="L2984" s="3"/>
      <c r="N2984" s="4"/>
    </row>
    <row r="2985" spans="1:14" ht="17.5" thickBot="1" x14ac:dyDescent="0.45">
      <c r="A2985" s="4">
        <v>45842</v>
      </c>
      <c r="B2985" s="3">
        <v>169.58</v>
      </c>
      <c r="C2985" s="3">
        <v>400.1</v>
      </c>
      <c r="D2985" s="3">
        <v>116.76</v>
      </c>
      <c r="E2985" s="3">
        <v>1.665</v>
      </c>
      <c r="F2985" s="3">
        <v>352.18</v>
      </c>
      <c r="G2985" s="3">
        <v>484.25</v>
      </c>
      <c r="H2985" s="3">
        <v>216.97</v>
      </c>
      <c r="I2985" s="3">
        <v>415.47</v>
      </c>
      <c r="J2985" s="3">
        <v>124.04</v>
      </c>
      <c r="K2985" s="3">
        <v>246.42</v>
      </c>
      <c r="L2985" s="3"/>
      <c r="N2985" s="4"/>
    </row>
    <row r="2986" spans="1:14" ht="17.5" thickBot="1" x14ac:dyDescent="0.45">
      <c r="A2986" s="4">
        <v>45843</v>
      </c>
      <c r="B2986" s="3">
        <v>169.58</v>
      </c>
      <c r="C2986" s="3">
        <v>400.1</v>
      </c>
      <c r="D2986" s="3">
        <v>116.76</v>
      </c>
      <c r="E2986" s="3">
        <v>1.665</v>
      </c>
      <c r="F2986" s="3">
        <v>352.18</v>
      </c>
      <c r="G2986" s="3">
        <v>484.25</v>
      </c>
      <c r="H2986" s="3">
        <v>216.97</v>
      </c>
      <c r="I2986" s="3">
        <v>415.47</v>
      </c>
      <c r="J2986" s="3">
        <v>124.04</v>
      </c>
      <c r="K2986" s="3">
        <v>246.42</v>
      </c>
      <c r="L2986" s="3"/>
      <c r="N2986" s="4"/>
    </row>
    <row r="2987" spans="1:14" ht="17.5" thickBot="1" x14ac:dyDescent="0.45">
      <c r="A2987" s="4">
        <v>45844</v>
      </c>
      <c r="B2987" s="3">
        <v>169.58</v>
      </c>
      <c r="C2987" s="3">
        <v>400.1</v>
      </c>
      <c r="D2987" s="3">
        <v>116.76</v>
      </c>
      <c r="E2987" s="3">
        <v>1.665</v>
      </c>
      <c r="F2987" s="3">
        <v>352.18</v>
      </c>
      <c r="G2987" s="3">
        <v>484.25</v>
      </c>
      <c r="H2987" s="3">
        <v>216.97</v>
      </c>
      <c r="I2987" s="3">
        <v>415.47</v>
      </c>
      <c r="J2987" s="3">
        <v>124.05</v>
      </c>
      <c r="K2987" s="3">
        <v>246.42</v>
      </c>
      <c r="L2987" s="3"/>
      <c r="N2987" s="4"/>
    </row>
    <row r="2988" spans="1:14" ht="17.5" thickBot="1" x14ac:dyDescent="0.45">
      <c r="A2988" s="4">
        <v>45845</v>
      </c>
      <c r="B2988" s="3">
        <v>169.24</v>
      </c>
      <c r="C2988" s="3">
        <v>398.08</v>
      </c>
      <c r="D2988" s="3">
        <v>116.56</v>
      </c>
      <c r="E2988" s="3">
        <v>1.6567000000000001</v>
      </c>
      <c r="F2988" s="3">
        <v>350.67</v>
      </c>
      <c r="G2988" s="3">
        <v>480.41</v>
      </c>
      <c r="H2988" s="3">
        <v>216.13</v>
      </c>
      <c r="I2988" s="3">
        <v>412.56</v>
      </c>
      <c r="J2988" s="3">
        <v>124.06</v>
      </c>
      <c r="K2988" s="3">
        <v>245.45</v>
      </c>
      <c r="L2988" s="3"/>
      <c r="N2988" s="4"/>
    </row>
    <row r="2989" spans="1:14" ht="17.5" thickBot="1" x14ac:dyDescent="0.45">
      <c r="A2989" s="4">
        <v>45846</v>
      </c>
      <c r="B2989" s="3">
        <v>171.21</v>
      </c>
      <c r="C2989" s="3">
        <v>401.63</v>
      </c>
      <c r="D2989" s="3">
        <v>116.42</v>
      </c>
      <c r="E2989" s="3">
        <v>1.6547000000000001</v>
      </c>
      <c r="F2989" s="3">
        <v>351.74</v>
      </c>
      <c r="G2989" s="3">
        <v>479.91</v>
      </c>
      <c r="H2989" s="3">
        <v>216.25</v>
      </c>
      <c r="I2989" s="3">
        <v>412.22</v>
      </c>
      <c r="J2989" s="3">
        <v>124.06</v>
      </c>
      <c r="K2989" s="3">
        <v>245.61</v>
      </c>
      <c r="L2989" s="3"/>
      <c r="N2989" s="4"/>
    </row>
    <row r="2990" spans="1:14" ht="17.5" thickBot="1" x14ac:dyDescent="0.45">
      <c r="A2990" s="4">
        <v>45847</v>
      </c>
      <c r="B2990" s="3">
        <v>169.38</v>
      </c>
      <c r="C2990" s="3">
        <v>400.99</v>
      </c>
      <c r="D2990" s="3">
        <v>116.6</v>
      </c>
      <c r="E2990" s="3">
        <v>1.6612</v>
      </c>
      <c r="F2990" s="3">
        <v>352.21</v>
      </c>
      <c r="G2990" s="3">
        <v>482.55</v>
      </c>
      <c r="H2990" s="3">
        <v>216.68</v>
      </c>
      <c r="I2990" s="3">
        <v>414.63</v>
      </c>
      <c r="J2990" s="3">
        <v>124.07</v>
      </c>
      <c r="K2990" s="3">
        <v>246.09</v>
      </c>
      <c r="L2990" s="3"/>
      <c r="N2990" s="4"/>
    </row>
    <row r="2991" spans="1:14" ht="17.5" thickBot="1" x14ac:dyDescent="0.45">
      <c r="A2991" s="4">
        <v>45848</v>
      </c>
      <c r="B2991" s="3">
        <v>170.37</v>
      </c>
      <c r="C2991" s="3">
        <v>403.59</v>
      </c>
      <c r="D2991" s="3">
        <v>116.72</v>
      </c>
      <c r="E2991" s="3">
        <v>1.6631</v>
      </c>
      <c r="F2991" s="3">
        <v>353.15</v>
      </c>
      <c r="G2991" s="3">
        <v>483.99</v>
      </c>
      <c r="H2991" s="3">
        <v>216.97</v>
      </c>
      <c r="I2991" s="3">
        <v>415.83</v>
      </c>
      <c r="J2991" s="3">
        <v>124.07</v>
      </c>
      <c r="K2991" s="3">
        <v>246.42</v>
      </c>
      <c r="L2991" s="3"/>
      <c r="N2991" s="4"/>
    </row>
    <row r="2992" spans="1:14" ht="17.5" thickBot="1" x14ac:dyDescent="0.45">
      <c r="A2992" s="4">
        <v>45849</v>
      </c>
      <c r="B2992" s="3">
        <v>171.1</v>
      </c>
      <c r="C2992" s="3">
        <v>402.38</v>
      </c>
      <c r="D2992" s="3">
        <v>116.51</v>
      </c>
      <c r="E2992" s="3">
        <v>1.6574</v>
      </c>
      <c r="F2992" s="3">
        <v>352.32</v>
      </c>
      <c r="G2992" s="3">
        <v>482.2</v>
      </c>
      <c r="H2992" s="3">
        <v>216.38</v>
      </c>
      <c r="I2992" s="3">
        <v>414.22</v>
      </c>
      <c r="J2992" s="3">
        <v>124.07</v>
      </c>
      <c r="K2992" s="3">
        <v>245.74</v>
      </c>
      <c r="L2992" s="3"/>
      <c r="N2992" s="4"/>
    </row>
    <row r="2993" spans="1:14" ht="17.5" thickBot="1" x14ac:dyDescent="0.45">
      <c r="A2993" s="4">
        <v>45850</v>
      </c>
      <c r="B2993" s="3">
        <v>171.1</v>
      </c>
      <c r="C2993" s="3">
        <v>402.38</v>
      </c>
      <c r="D2993" s="3">
        <v>116.51</v>
      </c>
      <c r="E2993" s="3">
        <v>1.6574</v>
      </c>
      <c r="F2993" s="3">
        <v>352.32</v>
      </c>
      <c r="G2993" s="3">
        <v>482.2</v>
      </c>
      <c r="H2993" s="3">
        <v>216.38</v>
      </c>
      <c r="I2993" s="3">
        <v>414.22</v>
      </c>
      <c r="J2993" s="3">
        <v>124.08</v>
      </c>
      <c r="K2993" s="3">
        <v>245.74</v>
      </c>
      <c r="L2993" s="3"/>
      <c r="N2993" s="4"/>
    </row>
    <row r="2994" spans="1:14" ht="17.5" thickBot="1" x14ac:dyDescent="0.45">
      <c r="A2994" s="4">
        <v>45851</v>
      </c>
      <c r="B2994" s="3">
        <v>171.1</v>
      </c>
      <c r="C2994" s="3">
        <v>402.38</v>
      </c>
      <c r="D2994" s="3">
        <v>116.51</v>
      </c>
      <c r="E2994" s="3">
        <v>1.6574</v>
      </c>
      <c r="F2994" s="3">
        <v>352.32</v>
      </c>
      <c r="G2994" s="3">
        <v>482.2</v>
      </c>
      <c r="H2994" s="3">
        <v>216.38</v>
      </c>
      <c r="I2994" s="3">
        <v>414.22</v>
      </c>
      <c r="J2994" s="3">
        <v>124.08</v>
      </c>
      <c r="K2994" s="3">
        <v>245.74</v>
      </c>
      <c r="L2994" s="3"/>
      <c r="N2994" s="4"/>
    </row>
    <row r="2995" spans="1:14" ht="17.5" thickBot="1" x14ac:dyDescent="0.45">
      <c r="A2995" s="4">
        <v>45852</v>
      </c>
      <c r="B2995" s="3">
        <v>171.61</v>
      </c>
      <c r="C2995" s="3">
        <v>401.95</v>
      </c>
      <c r="D2995" s="3">
        <v>116.45</v>
      </c>
      <c r="E2995" s="3">
        <v>1.6577</v>
      </c>
      <c r="F2995" s="3">
        <v>352.66</v>
      </c>
      <c r="G2995" s="3">
        <v>482.78</v>
      </c>
      <c r="H2995" s="3">
        <v>216.41</v>
      </c>
      <c r="I2995" s="3">
        <v>415</v>
      </c>
      <c r="J2995" s="3">
        <v>124.09</v>
      </c>
      <c r="K2995" s="3">
        <v>245.78</v>
      </c>
      <c r="L2995" s="3"/>
      <c r="N2995" s="4"/>
    </row>
    <row r="2996" spans="1:14" ht="17.5" thickBot="1" x14ac:dyDescent="0.45">
      <c r="A2996" s="4">
        <v>45853</v>
      </c>
      <c r="B2996" s="3">
        <v>174.21</v>
      </c>
      <c r="C2996" s="3">
        <v>406.02</v>
      </c>
      <c r="D2996" s="3">
        <v>116.35</v>
      </c>
      <c r="E2996" s="3">
        <v>1.6536</v>
      </c>
      <c r="F2996" s="3">
        <v>353.35</v>
      </c>
      <c r="G2996" s="3">
        <v>480.5</v>
      </c>
      <c r="H2996" s="3">
        <v>216.42</v>
      </c>
      <c r="I2996" s="3">
        <v>413.2</v>
      </c>
      <c r="J2996" s="3">
        <v>124.09</v>
      </c>
      <c r="K2996" s="3">
        <v>245.79</v>
      </c>
      <c r="L2996" s="3"/>
      <c r="N2996" s="4"/>
    </row>
    <row r="2997" spans="1:14" ht="17.5" thickBot="1" x14ac:dyDescent="0.45">
      <c r="A2997" s="4">
        <v>45854</v>
      </c>
      <c r="B2997" s="3">
        <v>173.58</v>
      </c>
      <c r="C2997" s="3">
        <v>404.63</v>
      </c>
      <c r="D2997" s="3">
        <v>116.41</v>
      </c>
      <c r="E2997" s="3">
        <v>1.6547000000000001</v>
      </c>
      <c r="F2997" s="3">
        <v>352.58</v>
      </c>
      <c r="G2997" s="3">
        <v>482</v>
      </c>
      <c r="H2997" s="3">
        <v>216.21</v>
      </c>
      <c r="I2997" s="3">
        <v>414.63</v>
      </c>
      <c r="J2997" s="3">
        <v>124.1</v>
      </c>
      <c r="K2997" s="3">
        <v>245.57</v>
      </c>
      <c r="L2997" s="3"/>
      <c r="N2997" s="4"/>
    </row>
    <row r="2998" spans="1:14" ht="17.5" thickBot="1" x14ac:dyDescent="0.45">
      <c r="A2998" s="4">
        <v>45855</v>
      </c>
      <c r="B2998" s="3">
        <v>173.67</v>
      </c>
      <c r="C2998" s="3">
        <v>403.65</v>
      </c>
      <c r="D2998" s="3">
        <v>116.45</v>
      </c>
      <c r="E2998" s="3">
        <v>1.6604000000000001</v>
      </c>
      <c r="F2998" s="3">
        <v>353.82</v>
      </c>
      <c r="G2998" s="3">
        <v>484.91</v>
      </c>
      <c r="H2998" s="3">
        <v>216.64</v>
      </c>
      <c r="I2998" s="3">
        <v>417.02</v>
      </c>
      <c r="J2998" s="3">
        <v>124.1</v>
      </c>
      <c r="K2998" s="3">
        <v>246.05</v>
      </c>
      <c r="L2998" s="3"/>
      <c r="N2998" s="4"/>
    </row>
    <row r="2999" spans="1:14" ht="17.5" thickBot="1" x14ac:dyDescent="0.45">
      <c r="A2999" s="4">
        <v>45856</v>
      </c>
      <c r="B2999" s="3">
        <v>175.87</v>
      </c>
      <c r="C2999" s="3">
        <v>407.27</v>
      </c>
      <c r="D2999" s="3">
        <v>116.63</v>
      </c>
      <c r="E2999" s="3">
        <v>1.6621999999999999</v>
      </c>
      <c r="F2999" s="3">
        <v>355.41</v>
      </c>
      <c r="G2999" s="3">
        <v>484.74</v>
      </c>
      <c r="H2999" s="3">
        <v>217.33</v>
      </c>
      <c r="I2999" s="3">
        <v>416.83</v>
      </c>
      <c r="J2999" s="3">
        <v>124.11</v>
      </c>
      <c r="K2999" s="3">
        <v>246.83</v>
      </c>
      <c r="L2999" s="3"/>
      <c r="N2999" s="4"/>
    </row>
    <row r="3000" spans="1:14" ht="17.5" thickBot="1" x14ac:dyDescent="0.45">
      <c r="A3000" s="4">
        <v>45857</v>
      </c>
      <c r="B3000" s="3">
        <v>175.87</v>
      </c>
      <c r="C3000" s="3">
        <v>407.27</v>
      </c>
      <c r="D3000" s="3">
        <v>116.63</v>
      </c>
      <c r="E3000" s="3">
        <v>1.6621999999999999</v>
      </c>
      <c r="F3000" s="3">
        <v>355.41</v>
      </c>
      <c r="G3000" s="3">
        <v>484.74</v>
      </c>
      <c r="H3000" s="3">
        <v>217.33</v>
      </c>
      <c r="I3000" s="3">
        <v>416.83</v>
      </c>
      <c r="J3000" s="3">
        <v>124.11</v>
      </c>
      <c r="K3000" s="3">
        <v>246.83</v>
      </c>
      <c r="L3000" s="3"/>
      <c r="N3000" s="4"/>
    </row>
    <row r="3001" spans="1:14" ht="17.5" thickBot="1" x14ac:dyDescent="0.45">
      <c r="A3001" s="4">
        <v>45858</v>
      </c>
      <c r="B3001" s="3">
        <v>175.87</v>
      </c>
      <c r="C3001" s="3">
        <v>407.27</v>
      </c>
      <c r="D3001" s="3">
        <v>116.63</v>
      </c>
      <c r="E3001" s="3">
        <v>1.6621999999999999</v>
      </c>
      <c r="F3001" s="3">
        <v>355.41</v>
      </c>
      <c r="G3001" s="3">
        <v>484.74</v>
      </c>
      <c r="H3001" s="3">
        <v>217.33</v>
      </c>
      <c r="I3001" s="3">
        <v>416.83</v>
      </c>
      <c r="J3001" s="3">
        <v>124.11</v>
      </c>
      <c r="K3001" s="3">
        <v>246.83</v>
      </c>
      <c r="L3001" s="3"/>
      <c r="N3001" s="4"/>
    </row>
    <row r="3002" spans="1:14" ht="17.5" thickBot="1" x14ac:dyDescent="0.45">
      <c r="A3002" s="4">
        <v>45859</v>
      </c>
      <c r="B3002" s="3">
        <v>176.86</v>
      </c>
      <c r="C3002" s="3">
        <v>408.57</v>
      </c>
      <c r="D3002" s="3">
        <v>116.96</v>
      </c>
      <c r="E3002" s="3">
        <v>1.6659999999999999</v>
      </c>
      <c r="F3002" s="3">
        <v>356.77</v>
      </c>
      <c r="G3002" s="3">
        <v>485.33</v>
      </c>
      <c r="H3002" s="3">
        <v>218.24</v>
      </c>
      <c r="I3002" s="3">
        <v>417.53</v>
      </c>
      <c r="J3002" s="3">
        <v>124.12</v>
      </c>
      <c r="K3002" s="3">
        <v>247.86</v>
      </c>
      <c r="L3002" s="3"/>
      <c r="N3002" s="4"/>
    </row>
    <row r="3003" spans="1:14" ht="17.5" thickBot="1" x14ac:dyDescent="0.45">
      <c r="A3003" s="4">
        <v>45860</v>
      </c>
      <c r="B3003" s="3">
        <v>177.82</v>
      </c>
      <c r="C3003" s="3">
        <v>407.18</v>
      </c>
      <c r="D3003" s="3">
        <v>117.09</v>
      </c>
      <c r="E3003" s="3">
        <v>1.6673</v>
      </c>
      <c r="F3003" s="3">
        <v>357.35</v>
      </c>
      <c r="G3003" s="3">
        <v>485.61</v>
      </c>
      <c r="H3003" s="3">
        <v>218.69</v>
      </c>
      <c r="I3003" s="3">
        <v>417.51</v>
      </c>
      <c r="J3003" s="3">
        <v>124.13</v>
      </c>
      <c r="K3003" s="3">
        <v>248.34</v>
      </c>
      <c r="L3003" s="3"/>
      <c r="N3003" s="4"/>
    </row>
    <row r="3004" spans="1:14" ht="17.5" thickBot="1" x14ac:dyDescent="0.45">
      <c r="A3004" s="4">
        <v>45861</v>
      </c>
      <c r="B3004" s="3">
        <v>180.7</v>
      </c>
      <c r="C3004" s="3">
        <v>412.28</v>
      </c>
      <c r="D3004" s="3">
        <v>117.04</v>
      </c>
      <c r="E3004" s="3">
        <v>1.6765000000000001</v>
      </c>
      <c r="F3004" s="3">
        <v>361.45</v>
      </c>
      <c r="G3004" s="3">
        <v>489.51</v>
      </c>
      <c r="H3004" s="3">
        <v>219.94</v>
      </c>
      <c r="I3004" s="3">
        <v>421.16</v>
      </c>
      <c r="J3004" s="3">
        <v>124.13</v>
      </c>
      <c r="K3004" s="3">
        <v>249.79</v>
      </c>
      <c r="L3004" s="3"/>
      <c r="N3004" s="4"/>
    </row>
    <row r="3005" spans="1:14" ht="17.5" thickBot="1" x14ac:dyDescent="0.45">
      <c r="A3005" s="4">
        <v>45862</v>
      </c>
      <c r="B3005" s="3">
        <v>181.69</v>
      </c>
      <c r="C3005" s="3">
        <v>413.54</v>
      </c>
      <c r="D3005" s="3">
        <v>117</v>
      </c>
      <c r="E3005" s="3">
        <v>1.6778</v>
      </c>
      <c r="F3005" s="3">
        <v>363.22</v>
      </c>
      <c r="G3005" s="3">
        <v>489.55</v>
      </c>
      <c r="H3005" s="3">
        <v>220.43</v>
      </c>
      <c r="I3005" s="3">
        <v>421.28</v>
      </c>
      <c r="J3005" s="3">
        <v>124.13</v>
      </c>
      <c r="K3005" s="3">
        <v>250.4</v>
      </c>
      <c r="L3005" s="3"/>
      <c r="N3005" s="4"/>
    </row>
    <row r="3006" spans="1:14" ht="17.5" thickBot="1" x14ac:dyDescent="0.45">
      <c r="A3006" s="4">
        <v>45863</v>
      </c>
      <c r="B3006" s="3">
        <v>179.74</v>
      </c>
      <c r="C3006" s="3">
        <v>410.04</v>
      </c>
      <c r="D3006" s="3">
        <v>117.04</v>
      </c>
      <c r="E3006" s="3">
        <v>1.6778</v>
      </c>
      <c r="F3006" s="3">
        <v>361.05</v>
      </c>
      <c r="G3006" s="3">
        <v>491.16</v>
      </c>
      <c r="H3006" s="3">
        <v>219.67</v>
      </c>
      <c r="I3006" s="3">
        <v>422.84</v>
      </c>
      <c r="J3006" s="3">
        <v>124.14</v>
      </c>
      <c r="K3006" s="3">
        <v>249.52</v>
      </c>
      <c r="L3006" s="3"/>
      <c r="N3006" s="4"/>
    </row>
    <row r="3007" spans="1:14" ht="17.5" thickBot="1" x14ac:dyDescent="0.45">
      <c r="A3007" s="4">
        <v>45864</v>
      </c>
      <c r="B3007" s="3">
        <v>179.74</v>
      </c>
      <c r="C3007" s="3">
        <v>410.04</v>
      </c>
      <c r="D3007" s="3">
        <v>117.04</v>
      </c>
      <c r="E3007" s="3">
        <v>1.6778</v>
      </c>
      <c r="F3007" s="3">
        <v>361.05</v>
      </c>
      <c r="G3007" s="3">
        <v>491.16</v>
      </c>
      <c r="H3007" s="3">
        <v>219.67</v>
      </c>
      <c r="I3007" s="3">
        <v>422.84</v>
      </c>
      <c r="J3007" s="3">
        <v>124.14</v>
      </c>
      <c r="K3007" s="3">
        <v>249.52</v>
      </c>
      <c r="L3007" s="3"/>
      <c r="N3007" s="4"/>
    </row>
    <row r="3008" spans="1:14" ht="17.5" thickBot="1" x14ac:dyDescent="0.45">
      <c r="A3008" s="4">
        <v>45865</v>
      </c>
      <c r="B3008" s="3">
        <v>179.74</v>
      </c>
      <c r="C3008" s="3">
        <v>410.04</v>
      </c>
      <c r="D3008" s="3">
        <v>117.04</v>
      </c>
      <c r="E3008" s="3">
        <v>1.6778</v>
      </c>
      <c r="F3008" s="3">
        <v>361.05</v>
      </c>
      <c r="G3008" s="3">
        <v>491.16</v>
      </c>
      <c r="H3008" s="3">
        <v>219.67</v>
      </c>
      <c r="I3008" s="3">
        <v>422.84</v>
      </c>
      <c r="J3008" s="3">
        <v>124.14</v>
      </c>
      <c r="K3008" s="3">
        <v>249.52</v>
      </c>
      <c r="L3008" s="3"/>
      <c r="N3008" s="4"/>
    </row>
    <row r="3009" spans="1:14" ht="17.5" thickBot="1" x14ac:dyDescent="0.45">
      <c r="A3009" s="4">
        <v>45866</v>
      </c>
      <c r="B3009" s="3">
        <v>180.99</v>
      </c>
      <c r="C3009" s="3">
        <v>410.32</v>
      </c>
      <c r="D3009" s="3">
        <v>117.07</v>
      </c>
      <c r="E3009" s="3">
        <v>1.6759999999999999</v>
      </c>
      <c r="F3009" s="3">
        <v>360.65</v>
      </c>
      <c r="G3009" s="3">
        <v>491.24</v>
      </c>
      <c r="H3009" s="3">
        <v>219.4</v>
      </c>
      <c r="I3009" s="3">
        <v>422.73</v>
      </c>
      <c r="J3009" s="3">
        <v>124.15</v>
      </c>
      <c r="K3009" s="3">
        <v>249.2</v>
      </c>
      <c r="L3009" s="3"/>
      <c r="N3009" s="4"/>
    </row>
    <row r="3010" spans="1:14" ht="17.5" thickBot="1" x14ac:dyDescent="0.45">
      <c r="A3010" s="4">
        <v>45867</v>
      </c>
      <c r="B3010" s="3">
        <v>180.7</v>
      </c>
      <c r="C3010" s="3">
        <v>409.54</v>
      </c>
      <c r="D3010" s="3">
        <v>117.34</v>
      </c>
      <c r="E3010" s="3">
        <v>1.6732</v>
      </c>
      <c r="F3010" s="3">
        <v>359.91</v>
      </c>
      <c r="G3010" s="3">
        <v>489.59</v>
      </c>
      <c r="H3010" s="3">
        <v>219.32</v>
      </c>
      <c r="I3010" s="3">
        <v>421.71</v>
      </c>
      <c r="J3010" s="3">
        <v>124.15</v>
      </c>
      <c r="K3010" s="3">
        <v>249.09</v>
      </c>
      <c r="L3010" s="3"/>
      <c r="N3010" s="4"/>
    </row>
    <row r="3011" spans="1:14" ht="17.5" thickBot="1" x14ac:dyDescent="0.45">
      <c r="A3011" s="4">
        <v>45868</v>
      </c>
      <c r="B3011" s="3">
        <v>178.23</v>
      </c>
      <c r="C3011" s="3">
        <v>408.88</v>
      </c>
      <c r="D3011" s="3">
        <v>117.33</v>
      </c>
      <c r="E3011" s="3">
        <v>1.6712</v>
      </c>
      <c r="F3011" s="3">
        <v>358.75</v>
      </c>
      <c r="G3011" s="3">
        <v>488.73</v>
      </c>
      <c r="H3011" s="3">
        <v>218.7</v>
      </c>
      <c r="I3011" s="3">
        <v>421.11</v>
      </c>
      <c r="J3011" s="3">
        <v>124.16</v>
      </c>
      <c r="K3011" s="3">
        <v>248.4</v>
      </c>
      <c r="L3011" s="3"/>
      <c r="N3011" s="4"/>
    </row>
    <row r="3012" spans="1:14" ht="17.5" thickBot="1" x14ac:dyDescent="0.45">
      <c r="A3012" s="4">
        <v>45869</v>
      </c>
      <c r="B3012" s="3">
        <v>175.45</v>
      </c>
      <c r="C3012" s="3">
        <v>406.53</v>
      </c>
      <c r="D3012" s="3">
        <v>117.3</v>
      </c>
      <c r="E3012" s="3">
        <v>1.6665000000000001</v>
      </c>
      <c r="F3012" s="3">
        <v>356.14</v>
      </c>
      <c r="G3012" s="3">
        <v>487.11</v>
      </c>
      <c r="H3012" s="3">
        <v>217.75</v>
      </c>
      <c r="I3012" s="3">
        <v>419.41</v>
      </c>
      <c r="J3012" s="3">
        <v>124.16</v>
      </c>
      <c r="K3012" s="3">
        <v>247.29</v>
      </c>
      <c r="L3012" s="3"/>
      <c r="N3012" s="4"/>
    </row>
    <row r="3013" spans="1:14" ht="17.5" thickBot="1" x14ac:dyDescent="0.45">
      <c r="A3013" s="4">
        <v>45870</v>
      </c>
      <c r="B3013" s="3">
        <v>173.47</v>
      </c>
      <c r="C3013" s="3">
        <v>400.28</v>
      </c>
      <c r="D3013" s="3">
        <v>117.69</v>
      </c>
      <c r="E3013" s="3">
        <v>1.6557999999999999</v>
      </c>
      <c r="F3013" s="3">
        <v>353.06</v>
      </c>
      <c r="G3013" s="3">
        <v>479.43</v>
      </c>
      <c r="H3013" s="3">
        <v>217.31</v>
      </c>
      <c r="I3013" s="3">
        <v>412.66</v>
      </c>
      <c r="J3013" s="3">
        <v>124.17</v>
      </c>
      <c r="K3013" s="3">
        <v>246.73</v>
      </c>
      <c r="L3013" s="3"/>
      <c r="N3013" s="4"/>
    </row>
    <row r="3014" spans="1:14" ht="17.5" thickBot="1" x14ac:dyDescent="0.45">
      <c r="A3014" s="4">
        <v>45871</v>
      </c>
      <c r="B3014" s="3">
        <v>173.47</v>
      </c>
      <c r="C3014" s="3">
        <v>400.28</v>
      </c>
      <c r="D3014" s="3">
        <v>117.69</v>
      </c>
      <c r="E3014" s="3">
        <v>1.6557999999999999</v>
      </c>
      <c r="F3014" s="3">
        <v>353.06</v>
      </c>
      <c r="G3014" s="3">
        <v>479.43</v>
      </c>
      <c r="H3014" s="3">
        <v>217.31</v>
      </c>
      <c r="I3014" s="3">
        <v>412.66</v>
      </c>
      <c r="J3014" s="3">
        <v>124.17</v>
      </c>
      <c r="K3014" s="3">
        <v>246.73</v>
      </c>
      <c r="L3014" s="3"/>
      <c r="N3014" s="4"/>
    </row>
    <row r="3015" spans="1:14" ht="17.5" thickBot="1" x14ac:dyDescent="0.45">
      <c r="A3015" s="4">
        <v>45872</v>
      </c>
      <c r="B3015" s="3">
        <v>173.47</v>
      </c>
      <c r="C3015" s="3">
        <v>400.28</v>
      </c>
      <c r="D3015" s="3">
        <v>117.69</v>
      </c>
      <c r="E3015" s="3">
        <v>1.6557999999999999</v>
      </c>
      <c r="F3015" s="3">
        <v>353.06</v>
      </c>
      <c r="G3015" s="3">
        <v>479.43</v>
      </c>
      <c r="H3015" s="3">
        <v>217.31</v>
      </c>
      <c r="I3015" s="3">
        <v>412.66</v>
      </c>
      <c r="J3015" s="3">
        <v>124.17</v>
      </c>
      <c r="K3015" s="3">
        <v>246.73</v>
      </c>
      <c r="L3015" s="3"/>
      <c r="N3015" s="4"/>
    </row>
    <row r="3016" spans="1:14" ht="17.5" thickBot="1" x14ac:dyDescent="0.45">
      <c r="A3016" s="4">
        <v>45873</v>
      </c>
      <c r="B3016" s="3">
        <v>174.99</v>
      </c>
      <c r="C3016" s="3">
        <v>403.48</v>
      </c>
      <c r="D3016" s="3">
        <v>117.98</v>
      </c>
      <c r="E3016" s="3">
        <v>1.669</v>
      </c>
      <c r="F3016" s="3">
        <v>355.92</v>
      </c>
      <c r="G3016" s="3">
        <v>486.12</v>
      </c>
      <c r="H3016" s="3">
        <v>218.52</v>
      </c>
      <c r="I3016" s="3">
        <v>418.76</v>
      </c>
      <c r="J3016" s="3">
        <v>124.18</v>
      </c>
      <c r="K3016" s="3">
        <v>248.12</v>
      </c>
      <c r="L3016" s="3"/>
      <c r="N3016" s="4"/>
    </row>
    <row r="3017" spans="1:14" ht="17.5" thickBot="1" x14ac:dyDescent="0.45">
      <c r="A3017" s="4">
        <v>45874</v>
      </c>
      <c r="B3017" s="3">
        <v>176.09</v>
      </c>
      <c r="C3017" s="3">
        <v>407.13</v>
      </c>
      <c r="D3017" s="3">
        <v>118.03</v>
      </c>
      <c r="E3017" s="3">
        <v>1.6680999999999999</v>
      </c>
      <c r="F3017" s="3">
        <v>356.85</v>
      </c>
      <c r="G3017" s="3">
        <v>484.49</v>
      </c>
      <c r="H3017" s="3">
        <v>218.86</v>
      </c>
      <c r="I3017" s="3">
        <v>416.75</v>
      </c>
      <c r="J3017" s="3">
        <v>124.19</v>
      </c>
      <c r="K3017" s="3">
        <v>248.52</v>
      </c>
      <c r="L3017" s="3"/>
      <c r="N3017" s="4"/>
    </row>
    <row r="3018" spans="1:14" ht="17.5" thickBot="1" x14ac:dyDescent="0.45">
      <c r="A3018" s="4">
        <v>45875</v>
      </c>
      <c r="B3018" s="3">
        <v>176.39</v>
      </c>
      <c r="C3018" s="3">
        <v>407.34</v>
      </c>
      <c r="D3018" s="3">
        <v>118</v>
      </c>
      <c r="E3018" s="3">
        <v>1.6736</v>
      </c>
      <c r="F3018" s="3">
        <v>358.54</v>
      </c>
      <c r="G3018" s="3">
        <v>487.24</v>
      </c>
      <c r="H3018" s="3">
        <v>219.47</v>
      </c>
      <c r="I3018" s="3">
        <v>419.8</v>
      </c>
      <c r="J3018" s="3">
        <v>124.19</v>
      </c>
      <c r="K3018" s="3">
        <v>249.2</v>
      </c>
      <c r="L3018" s="3"/>
      <c r="N3018" s="4"/>
    </row>
    <row r="3019" spans="1:14" ht="17.5" thickBot="1" x14ac:dyDescent="0.45">
      <c r="A3019" s="4">
        <v>45876</v>
      </c>
      <c r="B3019" s="3">
        <v>177.48</v>
      </c>
      <c r="C3019" s="3">
        <v>412.21</v>
      </c>
      <c r="D3019" s="3">
        <v>118.01</v>
      </c>
      <c r="E3019" s="3">
        <v>1.6762999999999999</v>
      </c>
      <c r="F3019" s="3">
        <v>360.76</v>
      </c>
      <c r="G3019" s="3">
        <v>486.65</v>
      </c>
      <c r="H3019" s="3">
        <v>220.19</v>
      </c>
      <c r="I3019" s="3">
        <v>419.53</v>
      </c>
      <c r="J3019" s="3">
        <v>124.19</v>
      </c>
      <c r="K3019" s="3">
        <v>250.05</v>
      </c>
      <c r="L3019" s="3"/>
      <c r="N3019" s="4"/>
    </row>
    <row r="3020" spans="1:14" ht="17.5" thickBot="1" x14ac:dyDescent="0.45">
      <c r="A3020" s="4">
        <v>45877</v>
      </c>
      <c r="B3020" s="3">
        <v>176.21</v>
      </c>
      <c r="C3020" s="3">
        <v>409.25</v>
      </c>
      <c r="D3020" s="3">
        <v>117.89</v>
      </c>
      <c r="E3020" s="3">
        <v>1.6806000000000001</v>
      </c>
      <c r="F3020" s="3">
        <v>360.85</v>
      </c>
      <c r="G3020" s="3">
        <v>490.57</v>
      </c>
      <c r="H3020" s="3">
        <v>220.09</v>
      </c>
      <c r="I3020" s="3">
        <v>422.66</v>
      </c>
      <c r="J3020" s="3">
        <v>124.2</v>
      </c>
      <c r="K3020" s="3">
        <v>249.91</v>
      </c>
      <c r="L3020" s="3"/>
      <c r="N3020" s="4"/>
    </row>
    <row r="3021" spans="1:14" ht="17.5" thickBot="1" x14ac:dyDescent="0.45">
      <c r="A3021" s="4">
        <v>45878</v>
      </c>
      <c r="B3021" s="3">
        <v>176.21</v>
      </c>
      <c r="C3021" s="3">
        <v>409.25</v>
      </c>
      <c r="D3021" s="3">
        <v>117.89</v>
      </c>
      <c r="E3021" s="3">
        <v>1.6806000000000001</v>
      </c>
      <c r="F3021" s="3">
        <v>360.85</v>
      </c>
      <c r="G3021" s="3">
        <v>490.57</v>
      </c>
      <c r="H3021" s="3">
        <v>220.09</v>
      </c>
      <c r="I3021" s="3">
        <v>422.66</v>
      </c>
      <c r="J3021" s="3">
        <v>124.2</v>
      </c>
      <c r="K3021" s="3">
        <v>249.91</v>
      </c>
      <c r="L3021" s="3"/>
      <c r="N3021" s="4"/>
    </row>
    <row r="3022" spans="1:14" ht="17.5" thickBot="1" x14ac:dyDescent="0.45">
      <c r="A3022" s="4">
        <v>45879</v>
      </c>
      <c r="B3022" s="3">
        <v>176.21</v>
      </c>
      <c r="C3022" s="3">
        <v>409.25</v>
      </c>
      <c r="D3022" s="3">
        <v>117.89</v>
      </c>
      <c r="E3022" s="3">
        <v>1.6806000000000001</v>
      </c>
      <c r="F3022" s="3">
        <v>360.85</v>
      </c>
      <c r="G3022" s="3">
        <v>490.57</v>
      </c>
      <c r="H3022" s="3">
        <v>220.09</v>
      </c>
      <c r="I3022" s="3">
        <v>422.66</v>
      </c>
      <c r="J3022" s="3">
        <v>124.2</v>
      </c>
      <c r="K3022" s="3">
        <v>249.91</v>
      </c>
      <c r="L3022" s="3"/>
      <c r="N3022" s="4"/>
    </row>
    <row r="3023" spans="1:14" ht="17.5" thickBot="1" x14ac:dyDescent="0.45">
      <c r="A3023" s="4">
        <v>45880</v>
      </c>
      <c r="B3023" s="3">
        <v>176.34</v>
      </c>
      <c r="C3023" s="3">
        <v>410.01</v>
      </c>
      <c r="D3023" s="3">
        <v>117.96</v>
      </c>
      <c r="E3023" s="3">
        <v>1.6783999999999999</v>
      </c>
      <c r="F3023" s="3">
        <v>360.79</v>
      </c>
      <c r="G3023" s="3">
        <v>489.28</v>
      </c>
      <c r="H3023" s="3">
        <v>220</v>
      </c>
      <c r="I3023" s="3">
        <v>421.8</v>
      </c>
      <c r="J3023" s="3">
        <v>124.21</v>
      </c>
      <c r="K3023" s="3">
        <v>249.83</v>
      </c>
      <c r="L3023" s="3"/>
      <c r="N3023" s="4"/>
    </row>
    <row r="3024" spans="1:14" ht="17.5" thickBot="1" x14ac:dyDescent="0.45">
      <c r="A3024" s="4">
        <v>45881</v>
      </c>
      <c r="B3024" s="3">
        <v>176.9</v>
      </c>
      <c r="C3024" s="3">
        <v>410.11</v>
      </c>
      <c r="D3024" s="3">
        <v>117.96</v>
      </c>
      <c r="E3024" s="3">
        <v>1.6867000000000001</v>
      </c>
      <c r="F3024" s="3">
        <v>362.84</v>
      </c>
      <c r="G3024" s="3">
        <v>494.96</v>
      </c>
      <c r="H3024" s="3">
        <v>220.63</v>
      </c>
      <c r="I3024" s="3">
        <v>426.21</v>
      </c>
      <c r="J3024" s="3">
        <v>124.22</v>
      </c>
      <c r="K3024" s="3">
        <v>250.54</v>
      </c>
      <c r="L3024" s="3"/>
      <c r="N3024" s="4"/>
    </row>
    <row r="3025" spans="1:14" ht="17.5" thickBot="1" x14ac:dyDescent="0.45">
      <c r="A3025" s="4">
        <v>45882</v>
      </c>
      <c r="B3025" s="3">
        <v>181.03</v>
      </c>
      <c r="C3025" s="3">
        <v>417</v>
      </c>
      <c r="D3025" s="3">
        <v>118.28</v>
      </c>
      <c r="E3025" s="3">
        <v>1.6948000000000001</v>
      </c>
      <c r="F3025" s="3">
        <v>367.58</v>
      </c>
      <c r="G3025" s="3">
        <v>496.7</v>
      </c>
      <c r="H3025" s="3">
        <v>222.7</v>
      </c>
      <c r="I3025" s="3">
        <v>427.73</v>
      </c>
      <c r="J3025" s="3">
        <v>124.22</v>
      </c>
      <c r="K3025" s="3">
        <v>252.92</v>
      </c>
      <c r="L3025" s="3"/>
      <c r="N3025" s="4"/>
    </row>
    <row r="3026" spans="1:14" ht="17.5" thickBot="1" x14ac:dyDescent="0.45">
      <c r="A3026" s="4">
        <v>45883</v>
      </c>
      <c r="B3026" s="3">
        <v>180.62</v>
      </c>
      <c r="C3026" s="3">
        <v>414.84</v>
      </c>
      <c r="D3026" s="3">
        <v>118.14</v>
      </c>
      <c r="E3026" s="3">
        <v>1.6906000000000001</v>
      </c>
      <c r="F3026" s="3">
        <v>366.07</v>
      </c>
      <c r="G3026" s="3">
        <v>496.48</v>
      </c>
      <c r="H3026" s="3">
        <v>221.76</v>
      </c>
      <c r="I3026" s="3">
        <v>427.68</v>
      </c>
      <c r="J3026" s="3">
        <v>124.22</v>
      </c>
      <c r="K3026" s="3">
        <v>251.86</v>
      </c>
      <c r="L3026" s="3"/>
      <c r="N3026" s="4"/>
    </row>
    <row r="3027" spans="1:14" ht="17.5" thickBot="1" x14ac:dyDescent="0.45">
      <c r="A3027" s="4">
        <v>45884</v>
      </c>
      <c r="B3027" s="3">
        <v>179.04</v>
      </c>
      <c r="C3027" s="3">
        <v>413.01</v>
      </c>
      <c r="D3027" s="3">
        <v>117.93</v>
      </c>
      <c r="E3027" s="3">
        <v>1.6873</v>
      </c>
      <c r="F3027" s="3">
        <v>366.12</v>
      </c>
      <c r="G3027" s="3">
        <v>494.46</v>
      </c>
      <c r="H3027" s="3">
        <v>221.54</v>
      </c>
      <c r="I3027" s="3">
        <v>425.55</v>
      </c>
      <c r="J3027" s="3">
        <v>124.23</v>
      </c>
      <c r="K3027" s="3">
        <v>251.62</v>
      </c>
      <c r="L3027" s="3"/>
      <c r="N3027" s="4"/>
    </row>
    <row r="3028" spans="1:14" ht="17.5" thickBot="1" x14ac:dyDescent="0.45">
      <c r="A3028" s="4">
        <v>45885</v>
      </c>
      <c r="B3028" s="3">
        <v>179.04</v>
      </c>
      <c r="C3028" s="3">
        <v>413.01</v>
      </c>
      <c r="D3028" s="3">
        <v>117.93</v>
      </c>
      <c r="E3028" s="3">
        <v>1.6873</v>
      </c>
      <c r="F3028" s="3">
        <v>366.12</v>
      </c>
      <c r="G3028" s="3">
        <v>494.46</v>
      </c>
      <c r="H3028" s="3">
        <v>221.54</v>
      </c>
      <c r="I3028" s="3">
        <v>425.55</v>
      </c>
      <c r="J3028" s="3">
        <v>124.23</v>
      </c>
      <c r="K3028" s="3">
        <v>251.62</v>
      </c>
      <c r="L3028" s="3"/>
      <c r="N3028" s="4"/>
    </row>
    <row r="3029" spans="1:14" ht="17.5" thickBot="1" x14ac:dyDescent="0.45">
      <c r="A3029" s="4">
        <v>45886</v>
      </c>
      <c r="B3029" s="3">
        <v>179.04</v>
      </c>
      <c r="C3029" s="3">
        <v>413.01</v>
      </c>
      <c r="D3029" s="3">
        <v>117.93</v>
      </c>
      <c r="E3029" s="3">
        <v>1.6873</v>
      </c>
      <c r="F3029" s="3">
        <v>366.12</v>
      </c>
      <c r="G3029" s="3">
        <v>494.46</v>
      </c>
      <c r="H3029" s="3">
        <v>221.54</v>
      </c>
      <c r="I3029" s="3">
        <v>425.55</v>
      </c>
      <c r="J3029" s="3">
        <v>124.23</v>
      </c>
      <c r="K3029" s="3">
        <v>251.62</v>
      </c>
      <c r="L3029" s="3"/>
      <c r="N3029" s="4"/>
    </row>
    <row r="3030" spans="1:14" ht="17.5" thickBot="1" x14ac:dyDescent="0.45">
      <c r="A3030" s="4">
        <v>45887</v>
      </c>
      <c r="B3030" s="3">
        <v>178.14</v>
      </c>
      <c r="C3030" s="3">
        <v>413.1</v>
      </c>
      <c r="D3030" s="3">
        <v>117.88</v>
      </c>
      <c r="E3030" s="3">
        <v>1.6856</v>
      </c>
      <c r="F3030" s="3">
        <v>365.78</v>
      </c>
      <c r="G3030" s="3">
        <v>494.33</v>
      </c>
      <c r="H3030" s="3">
        <v>221.23</v>
      </c>
      <c r="I3030" s="3">
        <v>425.54</v>
      </c>
      <c r="J3030" s="3">
        <v>124.24</v>
      </c>
      <c r="K3030" s="3">
        <v>251.26</v>
      </c>
      <c r="L3030" s="3"/>
      <c r="N3030" s="4"/>
    </row>
    <row r="3031" spans="1:14" ht="17.5" thickBot="1" x14ac:dyDescent="0.45">
      <c r="A3031" s="4">
        <v>45888</v>
      </c>
      <c r="B3031" s="3">
        <v>177.85</v>
      </c>
      <c r="C3031" s="3">
        <v>410.32</v>
      </c>
      <c r="D3031" s="3">
        <v>117.75</v>
      </c>
      <c r="E3031" s="3">
        <v>1.6798999999999999</v>
      </c>
      <c r="F3031" s="3">
        <v>364.49</v>
      </c>
      <c r="G3031" s="3">
        <v>490.86</v>
      </c>
      <c r="H3031" s="3">
        <v>220.77</v>
      </c>
      <c r="I3031" s="3">
        <v>422.57</v>
      </c>
      <c r="J3031" s="3">
        <v>124.24</v>
      </c>
      <c r="K3031" s="3">
        <v>250.73</v>
      </c>
      <c r="L3031" s="3"/>
      <c r="N3031" s="4"/>
    </row>
    <row r="3032" spans="1:14" ht="17.5" thickBot="1" x14ac:dyDescent="0.45">
      <c r="A3032" s="4">
        <v>45889</v>
      </c>
      <c r="B3032" s="3">
        <v>178.09</v>
      </c>
      <c r="C3032" s="3">
        <v>406.68</v>
      </c>
      <c r="D3032" s="3">
        <v>117.94</v>
      </c>
      <c r="E3032" s="3">
        <v>1.6797</v>
      </c>
      <c r="F3032" s="3">
        <v>364.41</v>
      </c>
      <c r="G3032" s="3">
        <v>490.23</v>
      </c>
      <c r="H3032" s="3">
        <v>220.94</v>
      </c>
      <c r="I3032" s="3">
        <v>421.72</v>
      </c>
      <c r="J3032" s="3">
        <v>124.25</v>
      </c>
      <c r="K3032" s="3">
        <v>250.94</v>
      </c>
      <c r="L3032" s="3"/>
      <c r="N3032" s="4"/>
    </row>
    <row r="3033" spans="1:14" ht="17.5" thickBot="1" x14ac:dyDescent="0.45">
      <c r="A3033" s="4">
        <v>45890</v>
      </c>
      <c r="B3033" s="3">
        <v>177.79</v>
      </c>
      <c r="C3033" s="3">
        <v>408.19</v>
      </c>
      <c r="D3033" s="3">
        <v>117.8</v>
      </c>
      <c r="E3033" s="3">
        <v>1.6754</v>
      </c>
      <c r="F3033" s="3">
        <v>363.71</v>
      </c>
      <c r="G3033" s="3">
        <v>488.39</v>
      </c>
      <c r="H3033" s="3">
        <v>220.39</v>
      </c>
      <c r="I3033" s="3">
        <v>420.06</v>
      </c>
      <c r="J3033" s="3">
        <v>124.25</v>
      </c>
      <c r="K3033" s="3">
        <v>250.32</v>
      </c>
      <c r="L3033" s="3"/>
      <c r="N3033" s="4"/>
    </row>
    <row r="3034" spans="1:14" ht="17.5" thickBot="1" x14ac:dyDescent="0.45">
      <c r="A3034" s="4">
        <v>45891</v>
      </c>
      <c r="B3034" s="3">
        <v>179.32</v>
      </c>
      <c r="C3034" s="3">
        <v>409.6</v>
      </c>
      <c r="D3034" s="3">
        <v>118.02</v>
      </c>
      <c r="E3034" s="3">
        <v>1.6901999999999999</v>
      </c>
      <c r="F3034" s="3">
        <v>367.39</v>
      </c>
      <c r="G3034" s="3">
        <v>495.94</v>
      </c>
      <c r="H3034" s="3">
        <v>222.1</v>
      </c>
      <c r="I3034" s="3">
        <v>426.64</v>
      </c>
      <c r="J3034" s="3">
        <v>124.26</v>
      </c>
      <c r="K3034" s="3">
        <v>252.26</v>
      </c>
      <c r="L3034" s="3"/>
      <c r="N3034" s="4"/>
    </row>
    <row r="3035" spans="1:14" ht="17.5" thickBot="1" x14ac:dyDescent="0.45">
      <c r="A3035" s="4">
        <v>45894</v>
      </c>
      <c r="B3035" s="3">
        <v>182.92</v>
      </c>
      <c r="C3035" s="3">
        <v>415.75</v>
      </c>
      <c r="D3035" s="3">
        <v>118.1</v>
      </c>
      <c r="E3035" s="3">
        <v>1.6869000000000001</v>
      </c>
      <c r="F3035" s="3">
        <v>369.46</v>
      </c>
      <c r="G3035" s="3">
        <v>493.59</v>
      </c>
      <c r="H3035" s="3">
        <v>222.66</v>
      </c>
      <c r="I3035" s="3">
        <v>424.45</v>
      </c>
      <c r="J3035" s="3">
        <v>124.27</v>
      </c>
      <c r="K3035" s="3">
        <v>252.92</v>
      </c>
      <c r="L3035" s="3"/>
      <c r="N3035" s="4"/>
    </row>
    <row r="3036" spans="1:14" ht="17.5" thickBot="1" x14ac:dyDescent="0.45">
      <c r="A3036" s="4">
        <v>45895</v>
      </c>
      <c r="B3036" s="3">
        <v>180.62</v>
      </c>
      <c r="C3036" s="3">
        <v>411.14</v>
      </c>
      <c r="D3036" s="3">
        <v>117.91</v>
      </c>
      <c r="E3036" s="3">
        <v>1.6847000000000001</v>
      </c>
      <c r="F3036" s="3">
        <v>366.45</v>
      </c>
      <c r="G3036" s="3">
        <v>494.97</v>
      </c>
      <c r="H3036" s="3">
        <v>221.45</v>
      </c>
      <c r="I3036" s="3">
        <v>425.78</v>
      </c>
      <c r="J3036" s="3">
        <v>124.28</v>
      </c>
      <c r="K3036" s="3">
        <v>251.57</v>
      </c>
      <c r="L3036" s="3"/>
      <c r="N3036" s="4"/>
    </row>
    <row r="3037" spans="1:14" ht="17.5" thickBot="1" x14ac:dyDescent="0.45">
      <c r="A3037" s="4">
        <v>45896</v>
      </c>
      <c r="B3037" s="3">
        <v>178.32</v>
      </c>
      <c r="C3037" s="3">
        <v>410.19</v>
      </c>
      <c r="D3037" s="3">
        <v>117.9</v>
      </c>
      <c r="E3037" s="3">
        <v>1.6846000000000001</v>
      </c>
      <c r="F3037" s="3">
        <v>364.51</v>
      </c>
      <c r="G3037" s="3">
        <v>495.48</v>
      </c>
      <c r="H3037" s="3">
        <v>220.71</v>
      </c>
      <c r="I3037" s="3">
        <v>425.97</v>
      </c>
      <c r="J3037" s="3">
        <v>124.28</v>
      </c>
      <c r="K3037" s="3">
        <v>250.71</v>
      </c>
      <c r="L3037" s="3"/>
      <c r="N3037" s="4"/>
    </row>
    <row r="3038" spans="1:14" ht="17.5" thickBot="1" x14ac:dyDescent="0.45">
      <c r="A3038" s="4">
        <v>45897</v>
      </c>
      <c r="B3038" s="3">
        <v>176.98</v>
      </c>
      <c r="C3038" s="3">
        <v>409.81</v>
      </c>
      <c r="D3038" s="3">
        <v>118.13</v>
      </c>
      <c r="E3038" s="3">
        <v>1.6896</v>
      </c>
      <c r="F3038" s="3">
        <v>365.37</v>
      </c>
      <c r="G3038" s="3">
        <v>497.34</v>
      </c>
      <c r="H3038" s="3">
        <v>221.34</v>
      </c>
      <c r="I3038" s="3">
        <v>428</v>
      </c>
      <c r="J3038" s="3">
        <v>124.29</v>
      </c>
      <c r="K3038" s="3">
        <v>251.4</v>
      </c>
      <c r="L3038" s="3"/>
      <c r="N3038" s="4"/>
    </row>
    <row r="3039" spans="1:14" ht="17.5" thickBot="1" x14ac:dyDescent="0.45">
      <c r="A3039" s="4">
        <v>45898</v>
      </c>
      <c r="B3039" s="3">
        <v>177.8</v>
      </c>
      <c r="C3039" s="3">
        <v>410.01</v>
      </c>
      <c r="D3039" s="3">
        <v>118.1</v>
      </c>
      <c r="E3039" s="3">
        <v>1.6840999999999999</v>
      </c>
      <c r="F3039" s="3">
        <v>365.2</v>
      </c>
      <c r="G3039" s="3">
        <v>494.38</v>
      </c>
      <c r="H3039" s="3">
        <v>221.22</v>
      </c>
      <c r="I3039" s="3">
        <v>425.41</v>
      </c>
      <c r="J3039" s="3">
        <v>124.29</v>
      </c>
      <c r="K3039" s="3">
        <v>251.26</v>
      </c>
      <c r="L3039" s="3"/>
      <c r="N3039" s="4"/>
    </row>
    <row r="3040" spans="1:14" ht="17.5" thickBot="1" x14ac:dyDescent="0.45">
      <c r="A3040" s="4">
        <v>45900</v>
      </c>
      <c r="B3040" s="3">
        <v>177.8</v>
      </c>
      <c r="C3040" s="3">
        <v>410.01</v>
      </c>
      <c r="D3040" s="3">
        <v>118.1</v>
      </c>
      <c r="E3040" s="3">
        <v>1.6840999999999999</v>
      </c>
      <c r="F3040" s="3">
        <v>365.2</v>
      </c>
      <c r="G3040" s="3">
        <v>494.38</v>
      </c>
      <c r="H3040" s="3">
        <v>221.22</v>
      </c>
      <c r="I3040" s="3">
        <v>425.41</v>
      </c>
      <c r="J3040" s="3">
        <v>124.3</v>
      </c>
      <c r="K3040" s="3">
        <v>251.26</v>
      </c>
      <c r="L3040" s="3"/>
      <c r="N3040" s="4"/>
    </row>
    <row r="3041" spans="1:14" ht="17.5" thickBot="1" x14ac:dyDescent="0.45">
      <c r="A3041" s="4">
        <v>45901</v>
      </c>
      <c r="B3041" s="3">
        <v>181.51</v>
      </c>
      <c r="C3041" s="3">
        <v>411.01</v>
      </c>
      <c r="D3041" s="3">
        <v>118.17</v>
      </c>
      <c r="E3041" s="3">
        <v>1.6840999999999999</v>
      </c>
      <c r="F3041" s="3">
        <v>367.08</v>
      </c>
      <c r="G3041" s="3">
        <v>494.27</v>
      </c>
      <c r="H3041" s="3">
        <v>221.83</v>
      </c>
      <c r="I3041" s="3">
        <v>425.33</v>
      </c>
      <c r="J3041" s="3">
        <v>124.31</v>
      </c>
      <c r="K3041" s="3">
        <v>251.99</v>
      </c>
      <c r="L3041" s="3"/>
      <c r="N3041" s="4"/>
    </row>
    <row r="3042" spans="1:14" ht="17.5" thickBot="1" x14ac:dyDescent="0.45">
      <c r="A3042" s="4">
        <v>45902</v>
      </c>
      <c r="B3042" s="3">
        <v>180.68</v>
      </c>
      <c r="C3042" s="3">
        <v>411.09</v>
      </c>
      <c r="D3042" s="3">
        <v>117.94</v>
      </c>
      <c r="E3042" s="3">
        <v>1.6771</v>
      </c>
      <c r="F3042" s="3">
        <v>365.21</v>
      </c>
      <c r="G3042" s="3">
        <v>491.42</v>
      </c>
      <c r="H3042" s="3">
        <v>220.88</v>
      </c>
      <c r="I3042" s="3">
        <v>422.5</v>
      </c>
      <c r="J3042" s="3">
        <v>124.32</v>
      </c>
      <c r="K3042" s="3">
        <v>250.9</v>
      </c>
      <c r="L3042" s="3"/>
      <c r="N3042" s="4"/>
    </row>
    <row r="3043" spans="1:14" ht="17.5" thickBot="1" x14ac:dyDescent="0.45">
      <c r="A3043" s="4">
        <v>45903</v>
      </c>
      <c r="B3043" s="3">
        <v>179.67</v>
      </c>
      <c r="C3043" s="3">
        <v>410.58</v>
      </c>
      <c r="D3043" s="3">
        <v>118.06</v>
      </c>
      <c r="E3043" s="3">
        <v>1.6815</v>
      </c>
      <c r="F3043" s="3">
        <v>364.6</v>
      </c>
      <c r="G3043" s="3">
        <v>493.67</v>
      </c>
      <c r="H3043" s="3">
        <v>220.95</v>
      </c>
      <c r="I3043" s="3">
        <v>424.79</v>
      </c>
      <c r="J3043" s="3">
        <v>124.32</v>
      </c>
      <c r="K3043" s="3">
        <v>250.99</v>
      </c>
      <c r="L3043" s="3"/>
      <c r="N3043" s="4"/>
    </row>
    <row r="3044" spans="1:14" ht="17.5" thickBot="1" x14ac:dyDescent="0.45">
      <c r="A3044" s="4">
        <v>45904</v>
      </c>
      <c r="B3044" s="3">
        <v>177.76</v>
      </c>
      <c r="C3044" s="3">
        <v>409.33</v>
      </c>
      <c r="D3044" s="3">
        <v>118.37</v>
      </c>
      <c r="E3044" s="3">
        <v>1.6895</v>
      </c>
      <c r="F3044" s="3">
        <v>364.25</v>
      </c>
      <c r="G3044" s="3">
        <v>497.82</v>
      </c>
      <c r="H3044" s="3">
        <v>221</v>
      </c>
      <c r="I3044" s="3">
        <v>428.01</v>
      </c>
      <c r="J3044" s="3">
        <v>124.33</v>
      </c>
      <c r="K3044" s="3">
        <v>251.04</v>
      </c>
      <c r="L3044" s="3"/>
      <c r="N3044" s="4"/>
    </row>
    <row r="3045" spans="1:14" ht="17.5" thickBot="1" x14ac:dyDescent="0.45">
      <c r="A3045" s="4">
        <v>45905</v>
      </c>
      <c r="B3045" s="3">
        <v>180.26</v>
      </c>
      <c r="C3045" s="3">
        <v>414.52</v>
      </c>
      <c r="D3045" s="3">
        <v>118.71</v>
      </c>
      <c r="E3045" s="3">
        <v>1.6924999999999999</v>
      </c>
      <c r="F3045" s="3">
        <v>367.75</v>
      </c>
      <c r="G3045" s="3">
        <v>496.03</v>
      </c>
      <c r="H3045" s="3">
        <v>222.75</v>
      </c>
      <c r="I3045" s="3">
        <v>426.94</v>
      </c>
      <c r="J3045" s="3">
        <v>124.33</v>
      </c>
      <c r="K3045" s="3">
        <v>253.01</v>
      </c>
      <c r="L3045" s="3"/>
      <c r="N3045" s="4"/>
    </row>
    <row r="3046" spans="1:14" ht="17.5" thickBot="1" x14ac:dyDescent="0.45">
      <c r="A3046" s="4">
        <v>45908</v>
      </c>
      <c r="B3046" s="3">
        <v>181.74</v>
      </c>
      <c r="C3046" s="3">
        <v>416.14</v>
      </c>
      <c r="D3046" s="3">
        <v>118.89</v>
      </c>
      <c r="E3046" s="3">
        <v>1.6974</v>
      </c>
      <c r="F3046" s="3">
        <v>368.93</v>
      </c>
      <c r="G3046" s="3">
        <v>496.49</v>
      </c>
      <c r="H3046" s="3">
        <v>223.22</v>
      </c>
      <c r="I3046" s="3">
        <v>427.68</v>
      </c>
      <c r="J3046" s="3">
        <v>124.35</v>
      </c>
      <c r="K3046" s="3">
        <v>253.64</v>
      </c>
      <c r="L3046" s="3"/>
      <c r="N3046" s="4"/>
    </row>
    <row r="3047" spans="1:14" ht="17.5" thickBot="1" x14ac:dyDescent="0.45">
      <c r="A3047" s="4">
        <v>45909</v>
      </c>
      <c r="B3047" s="3">
        <v>184.06</v>
      </c>
      <c r="C3047" s="3">
        <v>419.81</v>
      </c>
      <c r="D3047" s="3">
        <v>118.79</v>
      </c>
      <c r="E3047" s="3">
        <v>1.6988000000000001</v>
      </c>
      <c r="F3047" s="3">
        <v>370.78</v>
      </c>
      <c r="G3047" s="3">
        <v>497.57</v>
      </c>
      <c r="H3047" s="3">
        <v>223.85</v>
      </c>
      <c r="I3047" s="3">
        <v>428.52</v>
      </c>
      <c r="J3047" s="3">
        <v>124.36</v>
      </c>
      <c r="K3047" s="3">
        <v>254.29</v>
      </c>
      <c r="L3047" s="3"/>
      <c r="N3047" s="4"/>
    </row>
    <row r="3048" spans="1:14" ht="17.5" thickBot="1" x14ac:dyDescent="0.45">
      <c r="A3048" s="4">
        <v>45910</v>
      </c>
      <c r="B3048" s="3">
        <v>185.92</v>
      </c>
      <c r="C3048" s="3">
        <v>426.07</v>
      </c>
      <c r="D3048" s="3">
        <v>118.92</v>
      </c>
      <c r="E3048" s="3">
        <v>1.7029000000000001</v>
      </c>
      <c r="F3048" s="3">
        <v>373.1</v>
      </c>
      <c r="G3048" s="3">
        <v>498.95</v>
      </c>
      <c r="H3048" s="3">
        <v>224.78</v>
      </c>
      <c r="I3048" s="3">
        <v>429.72</v>
      </c>
      <c r="J3048" s="3">
        <v>124.36</v>
      </c>
      <c r="K3048" s="3">
        <v>255.35</v>
      </c>
      <c r="L3048" s="3"/>
      <c r="N3048" s="4"/>
    </row>
    <row r="3049" spans="1:14" ht="17.5" thickBot="1" x14ac:dyDescent="0.45">
      <c r="A3049" s="4">
        <v>45911</v>
      </c>
      <c r="B3049" s="3">
        <v>185.35</v>
      </c>
      <c r="C3049" s="3">
        <v>426.6</v>
      </c>
      <c r="D3049" s="3">
        <v>119.11</v>
      </c>
      <c r="E3049" s="3">
        <v>1.7102999999999999</v>
      </c>
      <c r="F3049" s="3">
        <v>374.58</v>
      </c>
      <c r="G3049" s="3">
        <v>503.05</v>
      </c>
      <c r="H3049" s="3">
        <v>225.48</v>
      </c>
      <c r="I3049" s="3">
        <v>433.14</v>
      </c>
      <c r="J3049" s="3">
        <v>124.37</v>
      </c>
      <c r="K3049" s="3">
        <v>256.13</v>
      </c>
      <c r="L3049" s="3"/>
      <c r="N3049" s="4"/>
    </row>
    <row r="3050" spans="1:14" ht="17.5" thickBot="1" x14ac:dyDescent="0.45">
      <c r="A3050" s="4">
        <v>45912</v>
      </c>
      <c r="B3050" s="3">
        <v>187.3</v>
      </c>
      <c r="C3050" s="3">
        <v>430.92</v>
      </c>
      <c r="D3050" s="3">
        <v>119.05</v>
      </c>
      <c r="E3050" s="3">
        <v>1.7091000000000001</v>
      </c>
      <c r="F3050" s="3">
        <v>375.82</v>
      </c>
      <c r="G3050" s="3">
        <v>502.32</v>
      </c>
      <c r="H3050" s="3">
        <v>225.69</v>
      </c>
      <c r="I3050" s="3">
        <v>432.85</v>
      </c>
      <c r="J3050" s="3">
        <v>124.38</v>
      </c>
      <c r="K3050" s="3">
        <v>256.39</v>
      </c>
      <c r="L3050" s="3"/>
      <c r="N3050" s="4"/>
    </row>
    <row r="3051" spans="1:14" ht="17.5" thickBot="1" x14ac:dyDescent="0.45">
      <c r="A3051" s="4">
        <v>45915</v>
      </c>
      <c r="B3051" s="3">
        <v>187.82</v>
      </c>
      <c r="C3051" s="3">
        <v>430.49</v>
      </c>
      <c r="D3051" s="3">
        <v>119.14</v>
      </c>
      <c r="E3051" s="3">
        <v>1.7138</v>
      </c>
      <c r="F3051" s="3">
        <v>376.56</v>
      </c>
      <c r="G3051" s="3">
        <v>504.37</v>
      </c>
      <c r="H3051" s="3">
        <v>226.09</v>
      </c>
      <c r="I3051" s="3">
        <v>434.81</v>
      </c>
      <c r="J3051" s="3">
        <v>124.39</v>
      </c>
      <c r="K3051" s="3">
        <v>256.82</v>
      </c>
      <c r="L3051" s="3"/>
      <c r="N3051" s="4"/>
    </row>
    <row r="3052" spans="1:14" ht="17.5" thickBot="1" x14ac:dyDescent="0.45">
      <c r="A3052" s="4">
        <v>45916</v>
      </c>
      <c r="B3052" s="3">
        <v>187.67</v>
      </c>
      <c r="C3052" s="3">
        <v>434.37</v>
      </c>
      <c r="D3052" s="3">
        <v>119.29</v>
      </c>
      <c r="E3052" s="3">
        <v>1.7142999999999999</v>
      </c>
      <c r="F3052" s="3">
        <v>377.28</v>
      </c>
      <c r="G3052" s="3">
        <v>503.77</v>
      </c>
      <c r="H3052" s="3">
        <v>226.56</v>
      </c>
      <c r="I3052" s="3">
        <v>434.02</v>
      </c>
      <c r="J3052" s="3">
        <v>124.4</v>
      </c>
      <c r="K3052" s="3">
        <v>257.35000000000002</v>
      </c>
      <c r="L3052" s="3"/>
      <c r="N3052" s="4"/>
    </row>
    <row r="3053" spans="1:14" ht="17.5" thickBot="1" x14ac:dyDescent="0.45">
      <c r="A3053" s="4">
        <v>45917</v>
      </c>
      <c r="B3053" s="3">
        <v>190.91</v>
      </c>
      <c r="C3053" s="3">
        <v>435.23</v>
      </c>
      <c r="D3053" s="3">
        <v>119.18</v>
      </c>
      <c r="E3053" s="3">
        <v>1.7133</v>
      </c>
      <c r="F3053" s="3">
        <v>378.27</v>
      </c>
      <c r="G3053" s="3">
        <v>503.26</v>
      </c>
      <c r="H3053" s="3">
        <v>226.78</v>
      </c>
      <c r="I3053" s="3">
        <v>433.47</v>
      </c>
      <c r="J3053" s="3">
        <v>124.41</v>
      </c>
      <c r="K3053" s="3">
        <v>257.63</v>
      </c>
      <c r="L3053" s="3"/>
      <c r="N3053" s="4"/>
    </row>
    <row r="3054" spans="1:14" ht="17.5" thickBot="1" x14ac:dyDescent="0.45">
      <c r="A3054" s="4">
        <v>45918</v>
      </c>
      <c r="B3054" s="3">
        <v>188.5</v>
      </c>
      <c r="C3054" s="3">
        <v>433.48</v>
      </c>
      <c r="D3054" s="3">
        <v>119.07</v>
      </c>
      <c r="E3054" s="3">
        <v>1.7151000000000001</v>
      </c>
      <c r="F3054" s="3">
        <v>377.07</v>
      </c>
      <c r="G3054" s="3">
        <v>505.12</v>
      </c>
      <c r="H3054" s="3">
        <v>226.08</v>
      </c>
      <c r="I3054" s="3">
        <v>435.38</v>
      </c>
      <c r="J3054" s="3">
        <v>124.41</v>
      </c>
      <c r="K3054" s="3">
        <v>256.81</v>
      </c>
      <c r="L3054" s="3"/>
      <c r="N3054" s="4"/>
    </row>
    <row r="3055" spans="1:14" ht="17.5" thickBot="1" x14ac:dyDescent="0.45">
      <c r="A3055" s="4">
        <v>45919</v>
      </c>
      <c r="B3055" s="3">
        <v>188.6</v>
      </c>
      <c r="C3055" s="3">
        <v>431.21</v>
      </c>
      <c r="D3055" s="3">
        <v>118.93</v>
      </c>
      <c r="E3055" s="3">
        <v>1.7165999999999999</v>
      </c>
      <c r="F3055" s="3">
        <v>376.78</v>
      </c>
      <c r="G3055" s="3">
        <v>507.41</v>
      </c>
      <c r="H3055" s="3">
        <v>225.78</v>
      </c>
      <c r="I3055" s="3">
        <v>437.38</v>
      </c>
      <c r="J3055" s="3">
        <v>124.42</v>
      </c>
      <c r="K3055" s="3">
        <v>256.45999999999998</v>
      </c>
      <c r="L3055" s="3"/>
      <c r="N3055" s="4"/>
    </row>
    <row r="3056" spans="1:14" ht="17.5" thickBot="1" x14ac:dyDescent="0.45">
      <c r="A3056" s="4">
        <v>45922</v>
      </c>
      <c r="B3056" s="3">
        <v>186.93</v>
      </c>
      <c r="C3056" s="3">
        <v>431.13</v>
      </c>
      <c r="D3056" s="3">
        <v>118.82</v>
      </c>
      <c r="E3056" s="3">
        <v>1.7183999999999999</v>
      </c>
      <c r="F3056" s="3">
        <v>377.06</v>
      </c>
      <c r="G3056" s="3">
        <v>509.24</v>
      </c>
      <c r="H3056" s="3">
        <v>225.8</v>
      </c>
      <c r="I3056" s="3">
        <v>439.23</v>
      </c>
      <c r="J3056" s="3">
        <v>124.44</v>
      </c>
      <c r="K3056" s="3">
        <v>256.49</v>
      </c>
      <c r="L3056" s="3"/>
      <c r="N3056" s="4"/>
    </row>
    <row r="3057" spans="1:14" ht="17.5" thickBot="1" x14ac:dyDescent="0.45">
      <c r="A3057" s="4">
        <v>45923</v>
      </c>
      <c r="B3057" s="3">
        <v>185.81</v>
      </c>
      <c r="C3057" s="3">
        <v>432.01</v>
      </c>
      <c r="D3057" s="3">
        <v>118.96</v>
      </c>
      <c r="E3057" s="3">
        <v>1.7170000000000001</v>
      </c>
      <c r="F3057" s="3">
        <v>376.71</v>
      </c>
      <c r="G3057" s="3">
        <v>506.53</v>
      </c>
      <c r="H3057" s="3">
        <v>225.85</v>
      </c>
      <c r="I3057" s="3">
        <v>436.97</v>
      </c>
      <c r="J3057" s="3">
        <v>124.44</v>
      </c>
      <c r="K3057" s="3">
        <v>256.55</v>
      </c>
      <c r="L3057" s="3"/>
      <c r="N3057" s="4"/>
    </row>
    <row r="3058" spans="1:14" ht="17.5" thickBot="1" x14ac:dyDescent="0.45">
      <c r="A3058" s="4">
        <v>45924</v>
      </c>
      <c r="B3058" s="3">
        <v>188.47</v>
      </c>
      <c r="C3058" s="3">
        <v>432.43</v>
      </c>
      <c r="D3058" s="3">
        <v>118.95</v>
      </c>
      <c r="E3058" s="3">
        <v>1.7137</v>
      </c>
      <c r="F3058" s="3">
        <v>377.03</v>
      </c>
      <c r="G3058" s="3">
        <v>505.68</v>
      </c>
      <c r="H3058" s="3">
        <v>225.95</v>
      </c>
      <c r="I3058" s="3">
        <v>435.65</v>
      </c>
      <c r="J3058" s="3">
        <v>124.45</v>
      </c>
      <c r="K3058" s="3">
        <v>256.63</v>
      </c>
      <c r="L3058" s="3"/>
      <c r="N3058" s="4"/>
    </row>
    <row r="3059" spans="1:14" ht="17.5" thickBot="1" x14ac:dyDescent="0.45">
      <c r="A3059" s="4">
        <v>45925</v>
      </c>
      <c r="B3059" s="3">
        <v>188.14</v>
      </c>
      <c r="C3059" s="3">
        <v>430.72</v>
      </c>
      <c r="D3059" s="3">
        <v>118.84</v>
      </c>
      <c r="E3059" s="3">
        <v>1.7074</v>
      </c>
      <c r="F3059" s="3">
        <v>375.83</v>
      </c>
      <c r="G3059" s="3">
        <v>502.93</v>
      </c>
      <c r="H3059" s="3">
        <v>225.18</v>
      </c>
      <c r="I3059" s="3">
        <v>433.68</v>
      </c>
      <c r="J3059" s="3">
        <v>124.45</v>
      </c>
      <c r="K3059" s="3">
        <v>255.82</v>
      </c>
      <c r="L3059" s="3"/>
      <c r="N3059" s="4"/>
    </row>
    <row r="3060" spans="1:14" ht="17.5" thickBot="1" x14ac:dyDescent="0.45">
      <c r="A3060" s="4">
        <v>45926</v>
      </c>
      <c r="B3060" s="3">
        <v>185.66</v>
      </c>
      <c r="C3060" s="3">
        <v>424.41</v>
      </c>
      <c r="D3060" s="3">
        <v>118.77</v>
      </c>
      <c r="E3060" s="3">
        <v>1.7110000000000001</v>
      </c>
      <c r="F3060" s="3">
        <v>374.58</v>
      </c>
      <c r="G3060" s="3">
        <v>505.83</v>
      </c>
      <c r="H3060" s="3">
        <v>224.79</v>
      </c>
      <c r="I3060" s="3">
        <v>436.18</v>
      </c>
      <c r="J3060" s="3">
        <v>124.46</v>
      </c>
      <c r="K3060" s="3">
        <v>255.34</v>
      </c>
      <c r="L3060" s="3"/>
      <c r="N3060" s="4"/>
    </row>
    <row r="3061" spans="1:14" ht="17.5" thickBot="1" x14ac:dyDescent="0.45">
      <c r="A3061" s="4">
        <v>45929</v>
      </c>
      <c r="B3061" s="3">
        <v>188.87</v>
      </c>
      <c r="C3061" s="3">
        <v>429.47</v>
      </c>
      <c r="D3061" s="3">
        <v>119</v>
      </c>
      <c r="E3061" s="3">
        <v>1.7165999999999999</v>
      </c>
      <c r="F3061" s="3">
        <v>377.77</v>
      </c>
      <c r="G3061" s="3">
        <v>506.74</v>
      </c>
      <c r="H3061" s="3">
        <v>226.2</v>
      </c>
      <c r="I3061" s="3">
        <v>437.27</v>
      </c>
      <c r="J3061" s="3">
        <v>124.48</v>
      </c>
      <c r="K3061" s="3">
        <v>256.97000000000003</v>
      </c>
      <c r="L3061" s="3"/>
      <c r="N3061" s="4"/>
    </row>
    <row r="3062" spans="1:14" ht="17.5" thickBot="1" x14ac:dyDescent="0.45">
      <c r="A3062" s="4">
        <v>45930</v>
      </c>
      <c r="B3062" s="3">
        <v>190.78</v>
      </c>
      <c r="C3062" s="3">
        <v>432.67</v>
      </c>
      <c r="D3062" s="3">
        <v>119</v>
      </c>
      <c r="E3062" s="3">
        <v>1.7210000000000001</v>
      </c>
      <c r="F3062" s="3">
        <v>380.13</v>
      </c>
      <c r="G3062" s="3">
        <v>508.43</v>
      </c>
      <c r="H3062" s="3">
        <v>227</v>
      </c>
      <c r="I3062" s="3">
        <v>438.91</v>
      </c>
      <c r="J3062" s="3">
        <v>124.49</v>
      </c>
      <c r="K3062" s="3">
        <v>257.89</v>
      </c>
      <c r="L3062" s="3"/>
      <c r="N3062" s="4"/>
    </row>
    <row r="3063" spans="1:14" ht="17.5" thickBot="1" x14ac:dyDescent="0.45">
      <c r="A3063" s="4">
        <v>45932</v>
      </c>
      <c r="B3063" s="3">
        <v>193.84</v>
      </c>
      <c r="C3063" s="3">
        <v>441.72</v>
      </c>
      <c r="D3063" s="3">
        <v>119.3</v>
      </c>
      <c r="E3063" s="3">
        <v>1.7282999999999999</v>
      </c>
      <c r="F3063" s="3">
        <v>383.48</v>
      </c>
      <c r="G3063" s="3">
        <v>510.32</v>
      </c>
      <c r="H3063" s="3">
        <v>228.27</v>
      </c>
      <c r="I3063" s="3">
        <v>440.95</v>
      </c>
      <c r="J3063" s="3">
        <v>124.5</v>
      </c>
      <c r="K3063" s="3">
        <v>259.33999999999997</v>
      </c>
      <c r="L3063" s="3"/>
      <c r="N3063" s="4"/>
    </row>
    <row r="3064" spans="1:14" ht="17.5" thickBot="1" x14ac:dyDescent="0.45">
      <c r="A3064" s="4">
        <v>45933</v>
      </c>
      <c r="B3064" s="3">
        <v>192.56</v>
      </c>
      <c r="C3064" s="3">
        <v>443.47</v>
      </c>
      <c r="D3064" s="3">
        <v>119.23</v>
      </c>
      <c r="E3064" s="3">
        <v>1.7301</v>
      </c>
      <c r="F3064" s="3">
        <v>384.33</v>
      </c>
      <c r="G3064" s="3">
        <v>510.45</v>
      </c>
      <c r="H3064" s="3">
        <v>228.53</v>
      </c>
      <c r="I3064" s="3">
        <v>440.92</v>
      </c>
      <c r="J3064" s="3">
        <v>124.51</v>
      </c>
      <c r="K3064" s="3">
        <v>259.64</v>
      </c>
      <c r="L3064" s="3"/>
      <c r="N3064" s="4"/>
    </row>
    <row r="3065" spans="1:14" ht="17.5" thickBot="1" x14ac:dyDescent="0.45">
      <c r="A3065" s="4">
        <v>45936</v>
      </c>
      <c r="B3065" s="3">
        <v>191.16</v>
      </c>
      <c r="C3065" s="3">
        <v>442.66</v>
      </c>
      <c r="D3065" s="3">
        <v>119.06</v>
      </c>
      <c r="E3065" s="3">
        <v>1.7323</v>
      </c>
      <c r="F3065" s="3">
        <v>384.5</v>
      </c>
      <c r="G3065" s="3">
        <v>511.88</v>
      </c>
      <c r="H3065" s="3">
        <v>228.33</v>
      </c>
      <c r="I3065" s="3">
        <v>442.53</v>
      </c>
      <c r="J3065" s="3">
        <v>124.53</v>
      </c>
      <c r="K3065" s="3">
        <v>259.39</v>
      </c>
      <c r="L3065" s="3"/>
      <c r="N3065" s="4"/>
    </row>
    <row r="3066" spans="1:14" ht="17.5" thickBot="1" x14ac:dyDescent="0.45">
      <c r="A3066" s="4">
        <v>45938</v>
      </c>
      <c r="B3066" s="3">
        <v>190.31</v>
      </c>
      <c r="C3066" s="3">
        <v>441.6</v>
      </c>
      <c r="D3066" s="3">
        <v>119.26</v>
      </c>
      <c r="E3066" s="3">
        <v>1.7331000000000001</v>
      </c>
      <c r="F3066" s="3">
        <v>383.18</v>
      </c>
      <c r="G3066" s="3">
        <v>512.04999999999995</v>
      </c>
      <c r="H3066" s="3">
        <v>227.9</v>
      </c>
      <c r="I3066" s="3">
        <v>443.56</v>
      </c>
      <c r="J3066" s="3">
        <v>124.54</v>
      </c>
      <c r="K3066" s="3">
        <v>258.92</v>
      </c>
      <c r="L3066" s="3"/>
      <c r="N3066" s="4"/>
    </row>
    <row r="3067" spans="1:14" ht="17.5" thickBot="1" x14ac:dyDescent="0.45">
      <c r="A3067" s="4">
        <v>45939</v>
      </c>
      <c r="B3067" s="3">
        <v>189.87</v>
      </c>
      <c r="C3067" s="3">
        <v>442.17</v>
      </c>
      <c r="D3067" s="3">
        <v>119.18</v>
      </c>
      <c r="E3067" s="3">
        <v>1.7302</v>
      </c>
      <c r="F3067" s="3">
        <v>382.85</v>
      </c>
      <c r="G3067" s="3">
        <v>510.5</v>
      </c>
      <c r="H3067" s="3">
        <v>227.57</v>
      </c>
      <c r="I3067" s="3">
        <v>442.19</v>
      </c>
      <c r="J3067" s="3">
        <v>124.55</v>
      </c>
      <c r="K3067" s="3">
        <v>258.58</v>
      </c>
      <c r="L3067" s="3"/>
      <c r="N3067" s="4"/>
    </row>
    <row r="3068" spans="1:14" ht="17.5" thickBot="1" x14ac:dyDescent="0.45">
      <c r="A3068" s="4">
        <v>45940</v>
      </c>
      <c r="B3068" s="3">
        <v>187.2</v>
      </c>
      <c r="C3068" s="3">
        <v>439.73</v>
      </c>
      <c r="D3068" s="3">
        <v>119.45</v>
      </c>
      <c r="E3068" s="3">
        <v>1.7101999999999999</v>
      </c>
      <c r="F3068" s="3">
        <v>377.35</v>
      </c>
      <c r="G3068" s="3">
        <v>497.26</v>
      </c>
      <c r="H3068" s="3">
        <v>226.1</v>
      </c>
      <c r="I3068" s="3">
        <v>430.29</v>
      </c>
      <c r="J3068" s="3">
        <v>124.56</v>
      </c>
      <c r="K3068" s="3">
        <v>256.88</v>
      </c>
      <c r="L3068" s="3"/>
      <c r="N3068" s="4"/>
    </row>
    <row r="3069" spans="1:14" ht="17.5" thickBot="1" x14ac:dyDescent="0.45">
      <c r="A3069" s="4">
        <v>45943</v>
      </c>
      <c r="B3069" s="3">
        <v>183.9</v>
      </c>
      <c r="C3069" s="3">
        <v>433.95</v>
      </c>
      <c r="D3069" s="3">
        <v>119.61</v>
      </c>
      <c r="E3069" s="3">
        <v>1.7198</v>
      </c>
      <c r="F3069" s="3">
        <v>376.25</v>
      </c>
      <c r="G3069" s="3">
        <v>504.55</v>
      </c>
      <c r="H3069" s="3">
        <v>225.73</v>
      </c>
      <c r="I3069" s="3">
        <v>436.58</v>
      </c>
      <c r="J3069" s="3">
        <v>124.58</v>
      </c>
      <c r="K3069" s="3">
        <v>256.49</v>
      </c>
      <c r="L3069" s="3"/>
      <c r="N3069" s="4"/>
    </row>
    <row r="3070" spans="1:14" ht="17.5" thickBot="1" x14ac:dyDescent="0.45">
      <c r="A3070" s="4">
        <v>45944</v>
      </c>
      <c r="B3070" s="3">
        <v>180.98</v>
      </c>
      <c r="C3070" s="3">
        <v>428.81</v>
      </c>
      <c r="D3070" s="3">
        <v>119.54</v>
      </c>
      <c r="E3070" s="3">
        <v>1.7173</v>
      </c>
      <c r="F3070" s="3">
        <v>372.55</v>
      </c>
      <c r="G3070" s="3">
        <v>503.85</v>
      </c>
      <c r="H3070" s="3">
        <v>224.63</v>
      </c>
      <c r="I3070" s="3">
        <v>436.08</v>
      </c>
      <c r="J3070" s="3">
        <v>124.59</v>
      </c>
      <c r="K3070" s="3">
        <v>255.22</v>
      </c>
      <c r="L3070" s="3"/>
      <c r="N3070" s="4"/>
    </row>
    <row r="3071" spans="1:14" ht="17.5" thickBot="1" x14ac:dyDescent="0.45">
      <c r="A3071" s="4">
        <v>45945</v>
      </c>
      <c r="B3071" s="3">
        <v>184.05</v>
      </c>
      <c r="C3071" s="3">
        <v>438.54</v>
      </c>
      <c r="D3071" s="3">
        <v>119.58</v>
      </c>
      <c r="E3071" s="3">
        <v>1.7254</v>
      </c>
      <c r="F3071" s="3">
        <v>377.43</v>
      </c>
      <c r="G3071" s="3">
        <v>505.48</v>
      </c>
      <c r="H3071" s="3">
        <v>226.4</v>
      </c>
      <c r="I3071" s="3">
        <v>437.89</v>
      </c>
      <c r="J3071" s="3">
        <v>124.59</v>
      </c>
      <c r="K3071" s="3">
        <v>257.24</v>
      </c>
      <c r="L3071" s="3"/>
      <c r="N3071" s="4"/>
    </row>
    <row r="3072" spans="1:14" ht="17.5" thickBot="1" x14ac:dyDescent="0.45">
      <c r="A3072" s="4">
        <v>45946</v>
      </c>
      <c r="B3072" s="3">
        <v>183.92</v>
      </c>
      <c r="C3072" s="3">
        <v>442.25</v>
      </c>
      <c r="D3072" s="3">
        <v>119.74</v>
      </c>
      <c r="E3072" s="3">
        <v>1.7251000000000001</v>
      </c>
      <c r="F3072" s="3">
        <v>378.56</v>
      </c>
      <c r="G3072" s="3">
        <v>502.28</v>
      </c>
      <c r="H3072" s="3">
        <v>227.02</v>
      </c>
      <c r="I3072" s="3">
        <v>434.9</v>
      </c>
      <c r="J3072" s="3">
        <v>124.6</v>
      </c>
      <c r="K3072" s="3">
        <v>257.95</v>
      </c>
      <c r="L3072" s="3"/>
      <c r="N3072" s="4"/>
    </row>
    <row r="3073" spans="1:14" ht="17.5" thickBot="1" x14ac:dyDescent="0.45">
      <c r="A3073" s="4">
        <v>45947</v>
      </c>
      <c r="B3073" s="3">
        <v>179.19</v>
      </c>
      <c r="C3073" s="3">
        <v>436.92</v>
      </c>
      <c r="D3073" s="3">
        <v>119.72</v>
      </c>
      <c r="E3073" s="3">
        <v>1.7234</v>
      </c>
      <c r="F3073" s="3">
        <v>374.4</v>
      </c>
      <c r="G3073" s="3">
        <v>504.93</v>
      </c>
      <c r="H3073" s="3">
        <v>225.48</v>
      </c>
      <c r="I3073" s="3">
        <v>437.18</v>
      </c>
      <c r="J3073" s="3">
        <v>124.61</v>
      </c>
      <c r="K3073" s="3">
        <v>256.20999999999998</v>
      </c>
      <c r="L3073" s="3"/>
      <c r="N3073" s="4"/>
    </row>
    <row r="3074" spans="1:14" ht="17.5" thickBot="1" x14ac:dyDescent="0.45">
      <c r="A3074" s="4">
        <v>45950</v>
      </c>
      <c r="B3074" s="3">
        <v>183.79</v>
      </c>
      <c r="C3074" s="3">
        <v>444.12</v>
      </c>
      <c r="D3074" s="3">
        <v>119.77</v>
      </c>
      <c r="E3074" s="3">
        <v>1.7359</v>
      </c>
      <c r="F3074" s="3">
        <v>379.69</v>
      </c>
      <c r="G3074" s="3">
        <v>509.71</v>
      </c>
      <c r="H3074" s="3">
        <v>227.32</v>
      </c>
      <c r="I3074" s="3">
        <v>441.59</v>
      </c>
      <c r="J3074" s="3">
        <v>124.63</v>
      </c>
      <c r="K3074" s="3">
        <v>258.31</v>
      </c>
      <c r="L3074" s="3"/>
      <c r="N3074" s="4"/>
    </row>
    <row r="3075" spans="1:14" ht="17.5" thickBot="1" x14ac:dyDescent="0.45">
      <c r="A3075" s="4">
        <v>45951</v>
      </c>
      <c r="B3075" s="3">
        <v>185.02</v>
      </c>
      <c r="C3075" s="3">
        <v>445.19</v>
      </c>
      <c r="D3075" s="3">
        <v>119.98</v>
      </c>
      <c r="E3075" s="3">
        <v>1.7363</v>
      </c>
      <c r="F3075" s="3">
        <v>380.46</v>
      </c>
      <c r="G3075" s="3">
        <v>510.67</v>
      </c>
      <c r="H3075" s="3">
        <v>227.67</v>
      </c>
      <c r="I3075" s="3">
        <v>441.52</v>
      </c>
      <c r="J3075" s="3">
        <v>124.64</v>
      </c>
      <c r="K3075" s="3">
        <v>258.73</v>
      </c>
      <c r="L3075" s="3"/>
      <c r="N3075" s="4"/>
    </row>
    <row r="3076" spans="1:14" ht="17.5" thickBot="1" x14ac:dyDescent="0.45">
      <c r="A3076" s="4">
        <v>45952</v>
      </c>
      <c r="B3076" s="3">
        <v>183.09</v>
      </c>
      <c r="C3076" s="3">
        <v>443.61</v>
      </c>
      <c r="D3076" s="3">
        <v>120.07</v>
      </c>
      <c r="E3076" s="3">
        <v>1.7322</v>
      </c>
      <c r="F3076" s="3">
        <v>379</v>
      </c>
      <c r="G3076" s="3">
        <v>507.83</v>
      </c>
      <c r="H3076" s="3">
        <v>227.21</v>
      </c>
      <c r="I3076" s="3">
        <v>439.45</v>
      </c>
      <c r="J3076" s="3">
        <v>124.64</v>
      </c>
      <c r="K3076" s="3">
        <v>258.2</v>
      </c>
      <c r="L3076" s="3"/>
      <c r="N3076" s="4"/>
    </row>
    <row r="3077" spans="1:14" ht="17.5" thickBot="1" x14ac:dyDescent="0.45">
      <c r="A3077" s="4">
        <v>45953</v>
      </c>
      <c r="B3077" s="3">
        <v>184.27</v>
      </c>
      <c r="C3077" s="3">
        <v>443.04</v>
      </c>
      <c r="D3077" s="3">
        <v>119.92</v>
      </c>
      <c r="E3077" s="3">
        <v>1.7359</v>
      </c>
      <c r="F3077" s="3">
        <v>379.55</v>
      </c>
      <c r="G3077" s="3">
        <v>510.82</v>
      </c>
      <c r="H3077" s="3">
        <v>227.26</v>
      </c>
      <c r="I3077" s="3">
        <v>442.01</v>
      </c>
      <c r="J3077" s="3">
        <v>124.65</v>
      </c>
      <c r="K3077" s="3">
        <v>258.23</v>
      </c>
      <c r="L3077" s="3"/>
      <c r="N3077" s="4"/>
    </row>
    <row r="3078" spans="1:14" ht="17.5" thickBot="1" x14ac:dyDescent="0.45">
      <c r="A3078" s="4">
        <v>45954</v>
      </c>
      <c r="B3078" s="3">
        <v>185.69</v>
      </c>
      <c r="C3078" s="3">
        <v>445.78</v>
      </c>
      <c r="D3078" s="3">
        <v>119.91</v>
      </c>
      <c r="E3078" s="3">
        <v>1.7419</v>
      </c>
      <c r="F3078" s="3">
        <v>381.87</v>
      </c>
      <c r="G3078" s="3">
        <v>514.42999999999995</v>
      </c>
      <c r="H3078" s="3">
        <v>227.96</v>
      </c>
      <c r="I3078" s="3">
        <v>445.54</v>
      </c>
      <c r="J3078" s="3">
        <v>124.66</v>
      </c>
      <c r="K3078" s="3">
        <v>259.04000000000002</v>
      </c>
      <c r="L3078" s="3"/>
      <c r="N3078" s="4"/>
    </row>
    <row r="3079" spans="1:14" ht="17.5" thickBot="1" x14ac:dyDescent="0.45">
      <c r="A3079" s="4">
        <v>45957</v>
      </c>
      <c r="B3079" s="3">
        <v>187.33</v>
      </c>
      <c r="C3079" s="3">
        <v>452.72</v>
      </c>
      <c r="D3079" s="3">
        <v>119.98</v>
      </c>
      <c r="E3079" s="3">
        <v>1.7538</v>
      </c>
      <c r="F3079" s="3">
        <v>385.89</v>
      </c>
      <c r="G3079" s="3">
        <v>520.4</v>
      </c>
      <c r="H3079" s="3">
        <v>229.36</v>
      </c>
      <c r="I3079" s="3">
        <v>450.64</v>
      </c>
      <c r="J3079" s="3">
        <v>124.68</v>
      </c>
      <c r="K3079" s="3">
        <v>260.66000000000003</v>
      </c>
      <c r="L3079" s="3"/>
      <c r="N3079" s="4"/>
    </row>
    <row r="3080" spans="1:14" ht="17.5" thickBot="1" x14ac:dyDescent="0.45">
      <c r="A3080" s="4">
        <v>45958</v>
      </c>
      <c r="B3080" s="3">
        <v>186.87</v>
      </c>
      <c r="C3080" s="3">
        <v>451.82</v>
      </c>
      <c r="D3080" s="3">
        <v>120.16</v>
      </c>
      <c r="E3080" s="3">
        <v>1.7557</v>
      </c>
      <c r="F3080" s="3">
        <v>385.42</v>
      </c>
      <c r="G3080" s="3">
        <v>521.65</v>
      </c>
      <c r="H3080" s="3">
        <v>229.36</v>
      </c>
      <c r="I3080" s="3">
        <v>451.78</v>
      </c>
      <c r="J3080" s="3">
        <v>124.68</v>
      </c>
      <c r="K3080" s="3">
        <v>260.64</v>
      </c>
      <c r="L3080" s="3"/>
      <c r="N3080" s="4"/>
    </row>
    <row r="3081" spans="1:14" ht="17.5" thickBot="1" x14ac:dyDescent="0.45">
      <c r="A3081" s="4">
        <v>45960</v>
      </c>
      <c r="B3081" s="3">
        <v>186.67</v>
      </c>
      <c r="C3081" s="3">
        <v>454.49</v>
      </c>
      <c r="D3081" s="3">
        <v>119.72</v>
      </c>
      <c r="E3081" s="3">
        <v>1.7455000000000001</v>
      </c>
      <c r="F3081" s="3">
        <v>384.42</v>
      </c>
      <c r="G3081" s="3">
        <v>516.77</v>
      </c>
      <c r="H3081" s="3">
        <v>228.49</v>
      </c>
      <c r="I3081" s="3">
        <v>447.15</v>
      </c>
      <c r="J3081" s="3">
        <v>124.7</v>
      </c>
      <c r="K3081" s="3">
        <v>259.58999999999997</v>
      </c>
      <c r="L3081" s="3"/>
      <c r="N3081" s="4"/>
    </row>
    <row r="3082" spans="1:14" ht="17.5" thickBot="1" x14ac:dyDescent="0.45">
      <c r="A3082" s="4">
        <v>45961</v>
      </c>
      <c r="B3082" s="3">
        <v>184.3</v>
      </c>
      <c r="C3082" s="3">
        <v>453.25</v>
      </c>
      <c r="D3082" s="3">
        <v>119.7</v>
      </c>
      <c r="E3082" s="3">
        <v>1.7465999999999999</v>
      </c>
      <c r="F3082" s="3">
        <v>383.05</v>
      </c>
      <c r="G3082" s="3">
        <v>517.89</v>
      </c>
      <c r="H3082" s="3">
        <v>227.99</v>
      </c>
      <c r="I3082" s="3">
        <v>448.5</v>
      </c>
      <c r="J3082" s="3">
        <v>124.7</v>
      </c>
      <c r="K3082" s="3">
        <v>259.02</v>
      </c>
      <c r="L3082" s="3"/>
      <c r="N3082" s="4"/>
    </row>
    <row r="3083" spans="1:14" ht="17.5" thickBot="1" x14ac:dyDescent="0.45">
      <c r="A3083" s="4">
        <v>45964</v>
      </c>
      <c r="B3083" s="3">
        <v>185.69</v>
      </c>
      <c r="C3083" s="3">
        <v>456.9</v>
      </c>
      <c r="D3083" s="3">
        <v>119.68</v>
      </c>
      <c r="E3083" s="3">
        <v>1.7481</v>
      </c>
      <c r="F3083" s="3">
        <v>384.26</v>
      </c>
      <c r="G3083" s="3">
        <v>518.75</v>
      </c>
      <c r="H3083" s="3">
        <v>228.26</v>
      </c>
      <c r="I3083" s="3">
        <v>449.51</v>
      </c>
      <c r="J3083" s="3">
        <v>124.73</v>
      </c>
      <c r="K3083" s="3">
        <v>259.35000000000002</v>
      </c>
      <c r="L3083" s="3"/>
      <c r="N3083" s="4"/>
    </row>
    <row r="3084" spans="1:14" ht="17.5" thickBot="1" x14ac:dyDescent="0.45">
      <c r="A3084" s="4">
        <v>45965</v>
      </c>
      <c r="B3084" s="3">
        <v>184.18</v>
      </c>
      <c r="C3084" s="3">
        <v>450.85</v>
      </c>
      <c r="D3084" s="3">
        <v>119.69</v>
      </c>
      <c r="E3084" s="3">
        <v>1.7374000000000001</v>
      </c>
      <c r="F3084" s="3">
        <v>381.2</v>
      </c>
      <c r="G3084" s="3">
        <v>512.94000000000005</v>
      </c>
      <c r="H3084" s="3">
        <v>227.09</v>
      </c>
      <c r="I3084" s="3">
        <v>444.39</v>
      </c>
      <c r="J3084" s="3">
        <v>124.73</v>
      </c>
      <c r="K3084" s="3">
        <v>258.20999999999998</v>
      </c>
      <c r="L3084" s="3"/>
      <c r="N3084" s="4"/>
    </row>
    <row r="3085" spans="1:14" ht="17.5" thickBot="1" x14ac:dyDescent="0.45">
      <c r="A3085" s="4">
        <v>45966</v>
      </c>
      <c r="B3085" s="3">
        <v>184.12</v>
      </c>
      <c r="C3085" s="3">
        <v>446.11</v>
      </c>
      <c r="D3085" s="3">
        <v>119.52</v>
      </c>
      <c r="E3085" s="3">
        <v>1.7373000000000001</v>
      </c>
      <c r="F3085" s="3">
        <v>380.05</v>
      </c>
      <c r="G3085" s="3">
        <v>514.82000000000005</v>
      </c>
      <c r="H3085" s="3">
        <v>226.51</v>
      </c>
      <c r="I3085" s="3">
        <v>445.81</v>
      </c>
      <c r="J3085" s="3">
        <v>124.74</v>
      </c>
      <c r="K3085" s="3">
        <v>257.48</v>
      </c>
      <c r="L3085" s="3"/>
      <c r="N3085" s="4"/>
    </row>
    <row r="3086" spans="1:14" ht="17.5" thickBot="1" x14ac:dyDescent="0.45">
      <c r="A3086" s="4">
        <v>45967</v>
      </c>
      <c r="B3086" s="3">
        <v>187.99</v>
      </c>
      <c r="C3086" s="3">
        <v>450.82</v>
      </c>
      <c r="D3086" s="3">
        <v>119.63</v>
      </c>
      <c r="E3086" s="3">
        <v>1.7324999999999999</v>
      </c>
      <c r="F3086" s="3">
        <v>382.78</v>
      </c>
      <c r="G3086" s="3">
        <v>508.63</v>
      </c>
      <c r="H3086" s="3">
        <v>227.47</v>
      </c>
      <c r="I3086" s="3">
        <v>441.03</v>
      </c>
      <c r="J3086" s="3">
        <v>124.75</v>
      </c>
      <c r="K3086" s="3">
        <v>258.85000000000002</v>
      </c>
      <c r="L3086" s="3"/>
      <c r="N3086" s="4"/>
    </row>
    <row r="3087" spans="1:14" ht="17.5" thickBot="1" x14ac:dyDescent="0.45">
      <c r="A3087" s="4">
        <v>45968</v>
      </c>
      <c r="B3087" s="3">
        <v>186.2</v>
      </c>
      <c r="C3087" s="3">
        <v>445.04</v>
      </c>
      <c r="D3087" s="3">
        <v>119.72</v>
      </c>
      <c r="E3087" s="3">
        <v>1.7316</v>
      </c>
      <c r="F3087" s="3">
        <v>380.34</v>
      </c>
      <c r="G3087" s="3">
        <v>508.85</v>
      </c>
      <c r="H3087" s="3">
        <v>226.66</v>
      </c>
      <c r="I3087" s="3">
        <v>441.59</v>
      </c>
      <c r="J3087" s="3">
        <v>124.75</v>
      </c>
      <c r="K3087" s="3">
        <v>257.95</v>
      </c>
      <c r="L3087" s="3"/>
      <c r="N3087" s="4"/>
    </row>
    <row r="3088" spans="1:14" ht="17.5" thickBot="1" x14ac:dyDescent="0.45">
      <c r="A3088" s="4">
        <v>45971</v>
      </c>
      <c r="B3088" s="3">
        <v>189.34</v>
      </c>
      <c r="C3088" s="3">
        <v>452.64</v>
      </c>
      <c r="D3088" s="3">
        <v>119.64</v>
      </c>
      <c r="E3088" s="3">
        <v>1.7458</v>
      </c>
      <c r="F3088" s="3">
        <v>384.42</v>
      </c>
      <c r="G3088" s="3">
        <v>517.16</v>
      </c>
      <c r="H3088" s="3">
        <v>228.08</v>
      </c>
      <c r="I3088" s="3">
        <v>448.27</v>
      </c>
      <c r="J3088" s="3">
        <v>124.77</v>
      </c>
      <c r="K3088" s="3">
        <v>259.42</v>
      </c>
      <c r="L3088" s="3"/>
      <c r="N3088" s="4"/>
    </row>
    <row r="3089" spans="1:14" ht="17.5" thickBot="1" x14ac:dyDescent="0.45">
      <c r="A3089" s="4">
        <v>45972</v>
      </c>
      <c r="B3089" s="3">
        <v>189.6</v>
      </c>
      <c r="C3089" s="3">
        <v>453.19</v>
      </c>
      <c r="D3089" s="3">
        <v>119.84</v>
      </c>
      <c r="E3089" s="3">
        <v>1.7504999999999999</v>
      </c>
      <c r="F3089" s="3">
        <v>385.5</v>
      </c>
      <c r="G3089" s="3">
        <v>517.48</v>
      </c>
      <c r="H3089" s="3">
        <v>228.66</v>
      </c>
      <c r="I3089" s="3">
        <v>449.1</v>
      </c>
      <c r="J3089" s="3">
        <v>124.78</v>
      </c>
      <c r="K3089" s="3">
        <v>260.08</v>
      </c>
      <c r="L3089" s="3"/>
      <c r="N3089" s="4"/>
    </row>
    <row r="3090" spans="1:14" ht="17.5" thickBot="1" x14ac:dyDescent="0.45">
      <c r="A3090" s="4">
        <v>45973</v>
      </c>
      <c r="B3090" s="3">
        <v>191.04</v>
      </c>
      <c r="C3090" s="3">
        <v>454.77</v>
      </c>
      <c r="D3090" s="3">
        <v>119.86</v>
      </c>
      <c r="E3090" s="3">
        <v>1.7536</v>
      </c>
      <c r="F3090" s="3">
        <v>387.15</v>
      </c>
      <c r="G3090" s="3">
        <v>517.52</v>
      </c>
      <c r="H3090" s="3">
        <v>229.16</v>
      </c>
      <c r="I3090" s="3">
        <v>449.33</v>
      </c>
      <c r="J3090" s="3">
        <v>124.79</v>
      </c>
      <c r="K3090" s="3">
        <v>260.68</v>
      </c>
      <c r="L3090" s="3"/>
      <c r="N3090" s="4"/>
    </row>
    <row r="3091" spans="1:14" ht="17.5" thickBot="1" x14ac:dyDescent="0.45">
      <c r="A3091" s="4">
        <v>45974</v>
      </c>
      <c r="B3091" s="3">
        <v>192.01</v>
      </c>
      <c r="C3091" s="3">
        <v>454.84</v>
      </c>
      <c r="D3091" s="3">
        <v>119.74</v>
      </c>
      <c r="E3091" s="3">
        <v>1.7403999999999999</v>
      </c>
      <c r="F3091" s="3">
        <v>387.2</v>
      </c>
      <c r="G3091" s="3">
        <v>508.58</v>
      </c>
      <c r="H3091" s="3">
        <v>228.83</v>
      </c>
      <c r="I3091" s="3">
        <v>441.99</v>
      </c>
      <c r="J3091" s="3">
        <v>124.79</v>
      </c>
      <c r="K3091" s="3">
        <v>260.57</v>
      </c>
      <c r="L3091" s="3"/>
      <c r="N3091" s="4"/>
    </row>
    <row r="3092" spans="1:14" ht="17.5" thickBot="1" x14ac:dyDescent="0.45">
      <c r="A3092" s="4">
        <v>45975</v>
      </c>
      <c r="B3092" s="3">
        <v>188.77</v>
      </c>
      <c r="C3092" s="3">
        <v>446.8</v>
      </c>
      <c r="D3092" s="3">
        <v>119.6</v>
      </c>
      <c r="E3092" s="3">
        <v>1.7349000000000001</v>
      </c>
      <c r="F3092" s="3">
        <v>382.73</v>
      </c>
      <c r="G3092" s="3">
        <v>508.38</v>
      </c>
      <c r="H3092" s="3">
        <v>227.11</v>
      </c>
      <c r="I3092" s="3">
        <v>441.91</v>
      </c>
      <c r="J3092" s="3">
        <v>124.8</v>
      </c>
      <c r="K3092" s="3">
        <v>258.54000000000002</v>
      </c>
      <c r="L3092" s="3"/>
      <c r="N3092" s="4"/>
    </row>
    <row r="3093" spans="1:14" ht="17.5" thickBot="1" x14ac:dyDescent="0.45">
      <c r="A3093" s="4">
        <v>45978</v>
      </c>
      <c r="B3093" s="3">
        <v>187.35</v>
      </c>
      <c r="C3093" s="3">
        <v>448.69</v>
      </c>
      <c r="D3093" s="3">
        <v>119.6</v>
      </c>
      <c r="E3093" s="3">
        <v>1.7275</v>
      </c>
      <c r="F3093" s="3">
        <v>380.91</v>
      </c>
      <c r="G3093" s="3">
        <v>503.81</v>
      </c>
      <c r="H3093" s="3">
        <v>226.39</v>
      </c>
      <c r="I3093" s="3">
        <v>437.82</v>
      </c>
      <c r="J3093" s="3">
        <v>124.82</v>
      </c>
      <c r="K3093" s="3">
        <v>257.87</v>
      </c>
      <c r="L3093" s="3"/>
      <c r="N3093" s="4"/>
    </row>
    <row r="3094" spans="1:14" ht="17.5" thickBot="1" x14ac:dyDescent="0.45">
      <c r="A3094" s="4">
        <v>45979</v>
      </c>
      <c r="B3094" s="3">
        <v>184.17</v>
      </c>
      <c r="C3094" s="3">
        <v>439.18</v>
      </c>
      <c r="D3094" s="3">
        <v>119.71</v>
      </c>
      <c r="E3094" s="3">
        <v>1.7161999999999999</v>
      </c>
      <c r="F3094" s="3">
        <v>375.03</v>
      </c>
      <c r="G3094" s="3">
        <v>499.66</v>
      </c>
      <c r="H3094" s="3">
        <v>224.24</v>
      </c>
      <c r="I3094" s="3">
        <v>434.57</v>
      </c>
      <c r="J3094" s="3">
        <v>124.83</v>
      </c>
      <c r="K3094" s="3">
        <v>255.71</v>
      </c>
      <c r="L3094" s="3"/>
      <c r="N3094" s="4"/>
    </row>
    <row r="3095" spans="1:14" ht="17.5" thickBot="1" x14ac:dyDescent="0.45">
      <c r="A3095" s="4">
        <v>45980</v>
      </c>
      <c r="B3095" s="3">
        <v>183.64</v>
      </c>
      <c r="C3095" s="3">
        <v>438.06</v>
      </c>
      <c r="D3095" s="3">
        <v>119.69</v>
      </c>
      <c r="E3095" s="3">
        <v>1.7182999999999999</v>
      </c>
      <c r="F3095" s="3">
        <v>374.57</v>
      </c>
      <c r="G3095" s="3">
        <v>502.08</v>
      </c>
      <c r="H3095" s="3">
        <v>224.07</v>
      </c>
      <c r="I3095" s="3">
        <v>436.5</v>
      </c>
      <c r="J3095" s="3">
        <v>124.84</v>
      </c>
      <c r="K3095" s="3">
        <v>255.41</v>
      </c>
      <c r="L3095" s="3"/>
      <c r="N3095" s="4"/>
    </row>
    <row r="3096" spans="1:14" ht="17.5" thickBot="1" x14ac:dyDescent="0.45">
      <c r="A3096" s="4">
        <v>45981</v>
      </c>
      <c r="B3096" s="3">
        <v>183.74</v>
      </c>
      <c r="C3096" s="3">
        <v>442.09</v>
      </c>
      <c r="D3096" s="3">
        <v>119.71</v>
      </c>
      <c r="E3096" s="3">
        <v>1.7085999999999999</v>
      </c>
      <c r="F3096" s="3">
        <v>374.39</v>
      </c>
      <c r="G3096" s="3">
        <v>493.36</v>
      </c>
      <c r="H3096" s="3">
        <v>223.67</v>
      </c>
      <c r="I3096" s="3">
        <v>429.51</v>
      </c>
      <c r="J3096" s="3">
        <v>124.84</v>
      </c>
      <c r="K3096" s="3">
        <v>255.3</v>
      </c>
      <c r="L3096" s="3"/>
      <c r="N3096" s="4"/>
    </row>
    <row r="3097" spans="1:14" ht="17.5" thickBot="1" x14ac:dyDescent="0.45">
      <c r="A3097" s="4">
        <v>45982</v>
      </c>
      <c r="B3097" s="3">
        <v>179.29</v>
      </c>
      <c r="C3097" s="3">
        <v>429.28</v>
      </c>
      <c r="D3097" s="3">
        <v>119.83</v>
      </c>
      <c r="E3097" s="3">
        <v>1.7121999999999999</v>
      </c>
      <c r="F3097" s="3">
        <v>370.54</v>
      </c>
      <c r="G3097" s="3">
        <v>498.05</v>
      </c>
      <c r="H3097" s="3">
        <v>222.63</v>
      </c>
      <c r="I3097" s="3">
        <v>433.71</v>
      </c>
      <c r="J3097" s="3">
        <v>124.85</v>
      </c>
      <c r="K3097" s="3">
        <v>253.97</v>
      </c>
      <c r="L3097" s="3"/>
      <c r="N3097" s="4"/>
    </row>
    <row r="3098" spans="1:14" ht="17.5" thickBot="1" x14ac:dyDescent="0.45">
      <c r="A3098" s="4">
        <v>45985</v>
      </c>
      <c r="B3098" s="3">
        <v>182.46</v>
      </c>
      <c r="C3098" s="3">
        <v>431.85</v>
      </c>
      <c r="D3098" s="3">
        <v>119.92</v>
      </c>
      <c r="E3098" s="3">
        <v>1.7248000000000001</v>
      </c>
      <c r="F3098" s="3">
        <v>373.75</v>
      </c>
      <c r="G3098" s="3">
        <v>506.63</v>
      </c>
      <c r="H3098" s="3">
        <v>224.08</v>
      </c>
      <c r="I3098" s="3">
        <v>439.94</v>
      </c>
      <c r="J3098" s="3">
        <v>124.87</v>
      </c>
      <c r="K3098" s="3">
        <v>255.36</v>
      </c>
      <c r="L3098" s="3"/>
      <c r="N3098" s="4"/>
    </row>
    <row r="3099" spans="1:14" ht="17.5" thickBot="1" x14ac:dyDescent="0.45">
      <c r="A3099" s="4">
        <v>45986</v>
      </c>
      <c r="B3099" s="3">
        <v>184.01</v>
      </c>
      <c r="C3099" s="3">
        <v>435.41</v>
      </c>
      <c r="D3099" s="3">
        <v>120.01</v>
      </c>
      <c r="E3099" s="3">
        <v>1.7342</v>
      </c>
      <c r="F3099" s="3">
        <v>376.69</v>
      </c>
      <c r="G3099" s="3">
        <v>510.5</v>
      </c>
      <c r="H3099" s="3">
        <v>225.32</v>
      </c>
      <c r="I3099" s="3">
        <v>443.75</v>
      </c>
      <c r="J3099" s="3">
        <v>124.88</v>
      </c>
      <c r="K3099" s="3">
        <v>256.68</v>
      </c>
      <c r="L3099" s="3"/>
      <c r="N3099" s="4"/>
    </row>
    <row r="3100" spans="1:14" ht="17.5" thickBot="1" x14ac:dyDescent="0.45">
      <c r="A3100" s="4">
        <v>45987</v>
      </c>
      <c r="B3100" s="3">
        <v>184.24</v>
      </c>
      <c r="C3100" s="3">
        <v>441.5</v>
      </c>
      <c r="D3100" s="3">
        <v>120.11</v>
      </c>
      <c r="E3100" s="3">
        <v>1.7443</v>
      </c>
      <c r="F3100" s="3">
        <v>380.1</v>
      </c>
      <c r="G3100" s="3">
        <v>514.07000000000005</v>
      </c>
      <c r="H3100" s="3">
        <v>226.8</v>
      </c>
      <c r="I3100" s="3">
        <v>446.84</v>
      </c>
      <c r="J3100" s="3">
        <v>124.89</v>
      </c>
      <c r="K3100" s="3">
        <v>258.13</v>
      </c>
      <c r="L3100" s="3"/>
      <c r="N3100" s="4"/>
    </row>
    <row r="3101" spans="1:14" ht="17.5" thickBot="1" x14ac:dyDescent="0.45">
      <c r="A3101" s="4">
        <v>45988</v>
      </c>
      <c r="B3101" s="3">
        <v>184.14</v>
      </c>
      <c r="C3101" s="3">
        <v>442.46</v>
      </c>
      <c r="D3101" s="3">
        <v>120.34</v>
      </c>
      <c r="E3101" s="3">
        <v>1.7445999999999999</v>
      </c>
      <c r="F3101" s="3">
        <v>380.75</v>
      </c>
      <c r="G3101" s="3">
        <v>514.08000000000004</v>
      </c>
      <c r="H3101" s="3">
        <v>227.07</v>
      </c>
      <c r="I3101" s="3">
        <v>446.85</v>
      </c>
      <c r="J3101" s="3">
        <v>124.89</v>
      </c>
      <c r="K3101" s="3">
        <v>258.41000000000003</v>
      </c>
      <c r="L3101" s="3"/>
      <c r="N3101" s="4"/>
    </row>
    <row r="3102" spans="1:14" ht="17.5" thickBot="1" x14ac:dyDescent="0.45">
      <c r="A3102" s="4">
        <v>45989</v>
      </c>
      <c r="B3102" s="3">
        <v>183.97</v>
      </c>
      <c r="C3102" s="3">
        <v>441.39</v>
      </c>
      <c r="D3102" s="3">
        <v>120.22</v>
      </c>
      <c r="E3102" s="3">
        <v>1.75</v>
      </c>
      <c r="F3102" s="3">
        <v>381.44</v>
      </c>
      <c r="G3102" s="3">
        <v>517.30999999999995</v>
      </c>
      <c r="H3102" s="3">
        <v>227.5</v>
      </c>
      <c r="I3102" s="3">
        <v>449.54</v>
      </c>
      <c r="J3102" s="3">
        <v>124.9</v>
      </c>
      <c r="K3102" s="3">
        <v>258.63</v>
      </c>
      <c r="L3102" s="3"/>
      <c r="N3102" s="4"/>
    </row>
    <row r="3103" spans="1:14" ht="17.5" thickBot="1" x14ac:dyDescent="0.45">
      <c r="A3103" s="4">
        <v>45992</v>
      </c>
      <c r="B3103" s="3">
        <v>185.01</v>
      </c>
      <c r="C3103" s="3">
        <v>440.66</v>
      </c>
      <c r="D3103" s="3">
        <v>119.98</v>
      </c>
      <c r="E3103" s="3">
        <v>1.7444999999999999</v>
      </c>
      <c r="F3103" s="3">
        <v>381.45</v>
      </c>
      <c r="G3103" s="3">
        <v>515.02</v>
      </c>
      <c r="H3103" s="3">
        <v>227.27</v>
      </c>
      <c r="I3103" s="3">
        <v>447.57</v>
      </c>
      <c r="J3103" s="3">
        <v>124.92</v>
      </c>
      <c r="K3103" s="3">
        <v>258.38</v>
      </c>
      <c r="L3103" s="3"/>
      <c r="N3103" s="4"/>
    </row>
    <row r="3104" spans="1:14" ht="17.5" thickBot="1" x14ac:dyDescent="0.45">
      <c r="A3104" s="4">
        <v>45993</v>
      </c>
      <c r="B3104" s="3">
        <v>185.35</v>
      </c>
      <c r="C3104" s="3">
        <v>443.56</v>
      </c>
      <c r="D3104" s="3">
        <v>119.86</v>
      </c>
      <c r="E3104" s="3">
        <v>1.7464</v>
      </c>
      <c r="F3104" s="3">
        <v>381.74</v>
      </c>
      <c r="G3104" s="3">
        <v>516.70000000000005</v>
      </c>
      <c r="H3104" s="3">
        <v>227.43</v>
      </c>
      <c r="I3104" s="3">
        <v>448.38</v>
      </c>
      <c r="J3104" s="3">
        <v>124.93</v>
      </c>
      <c r="K3104" s="3">
        <v>258.41000000000003</v>
      </c>
      <c r="L3104" s="3"/>
      <c r="N3104" s="4"/>
    </row>
    <row r="3105" spans="1:14" ht="17.5" thickBot="1" x14ac:dyDescent="0.45">
      <c r="A3105" s="4">
        <v>45994</v>
      </c>
      <c r="B3105" s="3">
        <v>183.23</v>
      </c>
      <c r="C3105" s="3">
        <v>442.75</v>
      </c>
      <c r="D3105" s="3">
        <v>120.02</v>
      </c>
      <c r="E3105" s="3">
        <v>1.7492000000000001</v>
      </c>
      <c r="F3105" s="3">
        <v>381.28</v>
      </c>
      <c r="G3105" s="3">
        <v>517.62</v>
      </c>
      <c r="H3105" s="3">
        <v>227.57</v>
      </c>
      <c r="I3105" s="3">
        <v>449.74</v>
      </c>
      <c r="J3105" s="3">
        <v>124.94</v>
      </c>
      <c r="K3105" s="3">
        <v>258.45999999999998</v>
      </c>
      <c r="L3105" s="3"/>
      <c r="N3105" s="4"/>
    </row>
    <row r="3106" spans="1:14" ht="17.5" thickBot="1" x14ac:dyDescent="0.45">
      <c r="A3106" s="4">
        <v>45995</v>
      </c>
      <c r="B3106" s="3">
        <v>184.63</v>
      </c>
      <c r="C3106" s="3">
        <v>444.35</v>
      </c>
      <c r="D3106" s="3">
        <v>119.9</v>
      </c>
      <c r="E3106" s="3">
        <v>1.7519</v>
      </c>
      <c r="F3106" s="3">
        <v>383.41</v>
      </c>
      <c r="G3106" s="3">
        <v>517.94000000000005</v>
      </c>
      <c r="H3106" s="3">
        <v>228.16</v>
      </c>
      <c r="I3106" s="3">
        <v>450.12</v>
      </c>
      <c r="J3106" s="3">
        <v>124.95</v>
      </c>
      <c r="K3106" s="3">
        <v>259.11</v>
      </c>
      <c r="L3106" s="3"/>
      <c r="N3106" s="4"/>
    </row>
    <row r="3107" spans="1:14" ht="17.5" thickBot="1" x14ac:dyDescent="0.45">
      <c r="A3107" s="4">
        <v>45996</v>
      </c>
      <c r="B3107" s="3">
        <v>185.63</v>
      </c>
      <c r="C3107" s="3">
        <v>448.68</v>
      </c>
      <c r="D3107" s="3">
        <v>119.8</v>
      </c>
      <c r="E3107" s="3">
        <v>1.7523</v>
      </c>
      <c r="F3107" s="3">
        <v>384.05</v>
      </c>
      <c r="G3107" s="3">
        <v>519.33000000000004</v>
      </c>
      <c r="H3107" s="3">
        <v>228.31</v>
      </c>
      <c r="I3107" s="3">
        <v>450.87</v>
      </c>
      <c r="J3107" s="3">
        <v>124.95</v>
      </c>
      <c r="K3107" s="3">
        <v>259.18</v>
      </c>
      <c r="L3107" s="3"/>
      <c r="N3107" s="4"/>
    </row>
    <row r="3108" spans="1:14" ht="17.5" thickBot="1" x14ac:dyDescent="0.45">
      <c r="A3108" s="4">
        <v>45999</v>
      </c>
      <c r="B3108" s="3">
        <v>183.5</v>
      </c>
      <c r="C3108" s="3">
        <v>447.61</v>
      </c>
      <c r="D3108" s="3">
        <v>119.66</v>
      </c>
      <c r="E3108" s="3">
        <v>1.7478</v>
      </c>
      <c r="F3108" s="3">
        <v>382.99</v>
      </c>
      <c r="G3108" s="3">
        <v>517.59</v>
      </c>
      <c r="H3108" s="3">
        <v>227.76</v>
      </c>
      <c r="I3108" s="3">
        <v>449.44</v>
      </c>
      <c r="J3108" s="3">
        <v>124.98</v>
      </c>
      <c r="K3108" s="3">
        <v>258.41000000000003</v>
      </c>
      <c r="L3108" s="3"/>
      <c r="N3108" s="4"/>
    </row>
    <row r="3109" spans="1:14" ht="17.5" thickBot="1" x14ac:dyDescent="0.45">
      <c r="A3109" s="4">
        <v>46000</v>
      </c>
      <c r="B3109" s="3">
        <v>181.03</v>
      </c>
      <c r="C3109" s="3">
        <v>444.72</v>
      </c>
      <c r="D3109" s="3">
        <v>119.63</v>
      </c>
      <c r="E3109" s="3">
        <v>1.7464</v>
      </c>
      <c r="F3109" s="3">
        <v>381.14</v>
      </c>
      <c r="G3109" s="3">
        <v>517.42999999999995</v>
      </c>
      <c r="H3109" s="3">
        <v>227.24</v>
      </c>
      <c r="I3109" s="3">
        <v>449.03</v>
      </c>
      <c r="J3109" s="3">
        <v>124.98</v>
      </c>
      <c r="K3109" s="3">
        <v>257.68</v>
      </c>
      <c r="L3109" s="3"/>
      <c r="N3109" s="4"/>
    </row>
    <row r="3110" spans="1:14" ht="17.5" thickBot="1" x14ac:dyDescent="0.45">
      <c r="A3110" s="4">
        <v>46001</v>
      </c>
      <c r="B3110" s="3">
        <v>181.53</v>
      </c>
      <c r="C3110" s="3">
        <v>446.35</v>
      </c>
      <c r="D3110" s="3">
        <v>119.64</v>
      </c>
      <c r="E3110" s="3">
        <v>1.7524</v>
      </c>
      <c r="F3110" s="3">
        <v>382.39</v>
      </c>
      <c r="G3110" s="3">
        <v>520.37</v>
      </c>
      <c r="H3110" s="3">
        <v>227.65</v>
      </c>
      <c r="I3110" s="3">
        <v>451.91</v>
      </c>
      <c r="J3110" s="3">
        <v>124.99</v>
      </c>
      <c r="K3110" s="3">
        <v>258.27999999999997</v>
      </c>
      <c r="L3110" s="3"/>
      <c r="N3110" s="4"/>
    </row>
    <row r="3111" spans="1:14" ht="17.5" thickBot="1" x14ac:dyDescent="0.45">
      <c r="A3111" s="4">
        <v>46002</v>
      </c>
      <c r="B3111" s="3">
        <v>181.94</v>
      </c>
      <c r="C3111" s="3">
        <v>444.62</v>
      </c>
      <c r="D3111" s="3">
        <v>119.82</v>
      </c>
      <c r="E3111" s="3">
        <v>1.7565999999999999</v>
      </c>
      <c r="F3111" s="3">
        <v>382.95</v>
      </c>
      <c r="G3111" s="3">
        <v>520.87</v>
      </c>
      <c r="H3111" s="3">
        <v>228.11</v>
      </c>
      <c r="I3111" s="3">
        <v>452.95</v>
      </c>
      <c r="J3111" s="3">
        <v>125</v>
      </c>
      <c r="K3111" s="3">
        <v>258.82</v>
      </c>
      <c r="L3111" s="3"/>
      <c r="N3111" s="4"/>
    </row>
    <row r="3112" spans="1:14" ht="17.5" thickBot="1" x14ac:dyDescent="0.45">
      <c r="A3112" s="4">
        <v>46003</v>
      </c>
      <c r="B3112" s="3">
        <v>184.76</v>
      </c>
      <c r="C3112" s="3">
        <v>449.18</v>
      </c>
      <c r="D3112" s="3">
        <v>119.69</v>
      </c>
      <c r="E3112" s="3">
        <v>1.7495000000000001</v>
      </c>
      <c r="F3112" s="3">
        <v>384.66</v>
      </c>
      <c r="G3112" s="3">
        <v>514.48</v>
      </c>
      <c r="H3112" s="3">
        <v>228.03</v>
      </c>
      <c r="I3112" s="3">
        <v>448.29</v>
      </c>
      <c r="J3112" s="3">
        <v>125.01</v>
      </c>
      <c r="K3112" s="3">
        <v>259.2</v>
      </c>
      <c r="L3112" s="3"/>
      <c r="N3112" s="4"/>
    </row>
    <row r="3113" spans="1:14" ht="17.5" thickBot="1" x14ac:dyDescent="0.45">
      <c r="A3113" s="4">
        <v>46006</v>
      </c>
      <c r="B3113" s="3">
        <v>182.51</v>
      </c>
      <c r="C3113" s="3">
        <v>443.41</v>
      </c>
      <c r="D3113" s="3">
        <v>119.73</v>
      </c>
      <c r="E3113" s="3">
        <v>1.7488999999999999</v>
      </c>
      <c r="F3113" s="3">
        <v>383.57</v>
      </c>
      <c r="G3113" s="3">
        <v>512.75</v>
      </c>
      <c r="H3113" s="3">
        <v>227.8</v>
      </c>
      <c r="I3113" s="3">
        <v>447.44</v>
      </c>
      <c r="J3113" s="3">
        <v>125.03</v>
      </c>
      <c r="K3113" s="3">
        <v>258.89</v>
      </c>
      <c r="L3113" s="3"/>
      <c r="N3113" s="4"/>
    </row>
    <row r="3114" spans="1:14" ht="17.5" thickBot="1" x14ac:dyDescent="0.45">
      <c r="A3114" s="4">
        <v>46007</v>
      </c>
      <c r="B3114" s="3">
        <v>179.67</v>
      </c>
      <c r="C3114" s="3">
        <v>436.55</v>
      </c>
      <c r="D3114" s="3">
        <v>119.78</v>
      </c>
      <c r="E3114" s="3">
        <v>1.7438</v>
      </c>
      <c r="F3114" s="3">
        <v>379.84</v>
      </c>
      <c r="G3114" s="3">
        <v>512.01</v>
      </c>
      <c r="H3114" s="3">
        <v>226.8</v>
      </c>
      <c r="I3114" s="3">
        <v>445.65</v>
      </c>
      <c r="J3114" s="3">
        <v>125.03</v>
      </c>
      <c r="K3114" s="3">
        <v>257.58</v>
      </c>
      <c r="L3114" s="3"/>
      <c r="N3114" s="4"/>
    </row>
    <row r="3115" spans="1:14" ht="17.5" thickBot="1" x14ac:dyDescent="0.45">
      <c r="A3115" s="4">
        <v>46008</v>
      </c>
      <c r="B3115" s="3">
        <v>181.22</v>
      </c>
      <c r="C3115" s="3">
        <v>439.21</v>
      </c>
      <c r="D3115" s="3">
        <v>119.78</v>
      </c>
      <c r="E3115" s="3">
        <v>1.7358</v>
      </c>
      <c r="F3115" s="3">
        <v>380.28</v>
      </c>
      <c r="G3115" s="3">
        <v>505.02</v>
      </c>
      <c r="H3115" s="3">
        <v>226.48</v>
      </c>
      <c r="I3115" s="3">
        <v>440.81</v>
      </c>
      <c r="J3115" s="3">
        <v>125.04</v>
      </c>
      <c r="K3115" s="3">
        <v>257.7</v>
      </c>
      <c r="L3115" s="3"/>
      <c r="N3115" s="4"/>
    </row>
    <row r="3116" spans="1:14" ht="17.5" thickBot="1" x14ac:dyDescent="0.45">
      <c r="A3116" s="4">
        <v>46009</v>
      </c>
      <c r="B3116" s="3">
        <v>181.53</v>
      </c>
      <c r="C3116" s="3">
        <v>438.82</v>
      </c>
      <c r="D3116" s="3">
        <v>119.94</v>
      </c>
      <c r="E3116" s="3">
        <v>1.7432000000000001</v>
      </c>
      <c r="F3116" s="3">
        <v>380.95</v>
      </c>
      <c r="G3116" s="3">
        <v>510.17</v>
      </c>
      <c r="H3116" s="3">
        <v>227.1</v>
      </c>
      <c r="I3116" s="3">
        <v>444.23</v>
      </c>
      <c r="J3116" s="3">
        <v>125.05</v>
      </c>
      <c r="K3116" s="3">
        <v>258.07</v>
      </c>
      <c r="L3116" s="3"/>
      <c r="N3116" s="4"/>
    </row>
    <row r="3117" spans="1:14" ht="17.5" thickBot="1" x14ac:dyDescent="0.45">
      <c r="A3117" s="4">
        <v>46010</v>
      </c>
      <c r="B3117" s="3">
        <v>182.92</v>
      </c>
      <c r="C3117" s="3">
        <v>442.52</v>
      </c>
      <c r="D3117" s="3">
        <v>119.88</v>
      </c>
      <c r="E3117" s="3">
        <v>1.75</v>
      </c>
      <c r="F3117" s="3">
        <v>382.99</v>
      </c>
      <c r="G3117" s="3">
        <v>515.6</v>
      </c>
      <c r="H3117" s="3">
        <v>227.87</v>
      </c>
      <c r="I3117" s="3">
        <v>448.15</v>
      </c>
      <c r="J3117" s="3">
        <v>125.06</v>
      </c>
      <c r="K3117" s="3">
        <v>258.61</v>
      </c>
      <c r="L3117" s="3"/>
      <c r="N3117" s="4"/>
    </row>
    <row r="3118" spans="1:14" ht="17.5" thickBot="1" x14ac:dyDescent="0.45">
      <c r="A3118" s="4">
        <v>46013</v>
      </c>
      <c r="B3118" s="3">
        <v>183.6</v>
      </c>
      <c r="C3118" s="3">
        <v>447.06</v>
      </c>
      <c r="D3118" s="3">
        <v>119.82</v>
      </c>
      <c r="E3118" s="3">
        <v>1.7557</v>
      </c>
      <c r="F3118" s="3">
        <v>385.19</v>
      </c>
      <c r="G3118" s="3">
        <v>518.61</v>
      </c>
      <c r="H3118" s="3">
        <v>228.66</v>
      </c>
      <c r="I3118" s="3">
        <v>450.85</v>
      </c>
      <c r="J3118" s="3">
        <v>125.08</v>
      </c>
      <c r="K3118" s="3">
        <v>259.43</v>
      </c>
      <c r="L3118" s="3"/>
      <c r="N3118" s="4"/>
    </row>
    <row r="3119" spans="1:14" ht="17.5" thickBot="1" x14ac:dyDescent="0.45">
      <c r="A3119" s="4">
        <v>46014</v>
      </c>
      <c r="B3119" s="3">
        <v>183.33</v>
      </c>
      <c r="C3119" s="3">
        <v>448.24</v>
      </c>
      <c r="D3119" s="3">
        <v>119.84</v>
      </c>
      <c r="E3119" s="3">
        <v>1.7614000000000001</v>
      </c>
      <c r="F3119" s="3">
        <v>386.41</v>
      </c>
      <c r="G3119" s="3">
        <v>520.41</v>
      </c>
      <c r="H3119" s="3">
        <v>229.26</v>
      </c>
      <c r="I3119" s="3">
        <v>452.8</v>
      </c>
      <c r="J3119" s="3">
        <v>125.09</v>
      </c>
      <c r="K3119" s="3">
        <v>260.04000000000002</v>
      </c>
      <c r="L3119" s="3"/>
      <c r="N3119" s="4"/>
    </row>
    <row r="3120" spans="1:14" ht="17.5" thickBot="1" x14ac:dyDescent="0.45">
      <c r="A3120" s="4">
        <v>46015</v>
      </c>
      <c r="B3120" s="3">
        <v>183.62</v>
      </c>
      <c r="C3120" s="3">
        <v>449.98</v>
      </c>
      <c r="D3120" s="3">
        <v>119.89</v>
      </c>
      <c r="E3120" s="3">
        <v>1.7643</v>
      </c>
      <c r="F3120" s="3">
        <v>386.93</v>
      </c>
      <c r="G3120" s="3">
        <v>521.84</v>
      </c>
      <c r="H3120" s="3">
        <v>229.54</v>
      </c>
      <c r="I3120" s="3">
        <v>454.3</v>
      </c>
      <c r="J3120" s="3">
        <v>125.09</v>
      </c>
      <c r="K3120" s="3">
        <v>260.36</v>
      </c>
      <c r="L3120" s="3"/>
      <c r="N3120" s="4"/>
    </row>
    <row r="3121" spans="1:14" ht="17.5" thickBot="1" x14ac:dyDescent="0.45">
      <c r="A3121" s="4">
        <v>46020</v>
      </c>
      <c r="B3121" s="3">
        <v>182.33</v>
      </c>
      <c r="C3121" s="3">
        <v>452.93</v>
      </c>
      <c r="D3121" s="3">
        <v>120.05</v>
      </c>
      <c r="E3121" s="3">
        <v>1.7630999999999999</v>
      </c>
      <c r="F3121" s="3">
        <v>386.77</v>
      </c>
      <c r="G3121" s="3">
        <v>519.17999999999995</v>
      </c>
      <c r="H3121" s="3">
        <v>229.52</v>
      </c>
      <c r="I3121" s="3">
        <v>452.51</v>
      </c>
      <c r="J3121" s="3">
        <v>125.13</v>
      </c>
      <c r="K3121" s="3">
        <v>260.42</v>
      </c>
      <c r="L3121" s="3"/>
      <c r="N3121" s="4"/>
    </row>
    <row r="3122" spans="1:14" ht="17.5" thickBot="1" x14ac:dyDescent="0.45">
      <c r="A3122" s="4">
        <v>46021</v>
      </c>
      <c r="B3122" s="3">
        <v>183.97</v>
      </c>
      <c r="C3122" s="3">
        <v>454.29</v>
      </c>
      <c r="D3122" s="3">
        <v>120.12</v>
      </c>
      <c r="E3122" s="3">
        <v>1.7635000000000001</v>
      </c>
      <c r="F3122" s="3">
        <v>387.74</v>
      </c>
      <c r="G3122" s="3">
        <v>518.29</v>
      </c>
      <c r="H3122" s="3">
        <v>229.84</v>
      </c>
      <c r="I3122" s="3">
        <v>452.15</v>
      </c>
      <c r="J3122" s="3">
        <v>125.14</v>
      </c>
      <c r="K3122" s="3">
        <v>260.79000000000002</v>
      </c>
      <c r="L3122" s="3"/>
      <c r="N3122" s="4"/>
    </row>
    <row r="3123" spans="1:14" ht="17.5" thickBot="1" x14ac:dyDescent="0.45">
      <c r="A3123" s="4">
        <v>46022</v>
      </c>
      <c r="B3123" s="3">
        <v>182.29</v>
      </c>
      <c r="C3123" s="3">
        <v>454.18</v>
      </c>
      <c r="D3123" s="3">
        <v>120.06</v>
      </c>
      <c r="E3123" s="3">
        <v>1.7577</v>
      </c>
      <c r="F3123" s="3">
        <v>386.45</v>
      </c>
      <c r="G3123" s="3">
        <v>514.51</v>
      </c>
      <c r="H3123" s="3">
        <v>229.19</v>
      </c>
      <c r="I3123" s="3">
        <v>449.02</v>
      </c>
      <c r="J3123" s="3">
        <v>125.15</v>
      </c>
      <c r="K3123" s="3">
        <v>260.14</v>
      </c>
      <c r="L3123" s="3"/>
      <c r="N3123" s="4"/>
    </row>
    <row r="3124" spans="1:14" ht="17.5" thickBot="1" x14ac:dyDescent="0.45">
      <c r="A3124" s="4">
        <v>46024</v>
      </c>
      <c r="B3124" s="3">
        <v>187.33</v>
      </c>
      <c r="C3124" s="3">
        <v>462.15</v>
      </c>
      <c r="D3124" s="3">
        <v>120.06</v>
      </c>
      <c r="E3124" s="3">
        <v>1.7627999999999999</v>
      </c>
      <c r="F3124" s="3">
        <v>390.65</v>
      </c>
      <c r="G3124" s="3">
        <v>515.6</v>
      </c>
      <c r="H3124" s="3">
        <v>230.38</v>
      </c>
      <c r="I3124" s="3">
        <v>450</v>
      </c>
      <c r="J3124" s="3">
        <v>125.16</v>
      </c>
      <c r="K3124" s="3">
        <v>261.69</v>
      </c>
      <c r="L3124" s="3"/>
      <c r="N3124" s="4"/>
    </row>
    <row r="3125" spans="1:14" ht="17.5" thickBot="1" x14ac:dyDescent="0.45">
      <c r="A3125" s="4">
        <v>46027</v>
      </c>
      <c r="B3125" s="3">
        <v>187.21</v>
      </c>
      <c r="C3125" s="3">
        <v>467.05</v>
      </c>
      <c r="D3125" s="3">
        <v>120.06</v>
      </c>
      <c r="E3125" s="3">
        <v>1.7710999999999999</v>
      </c>
      <c r="F3125" s="3">
        <v>393.49</v>
      </c>
      <c r="G3125" s="3">
        <v>519.04</v>
      </c>
      <c r="H3125" s="3">
        <v>231.58</v>
      </c>
      <c r="I3125" s="3">
        <v>452.86</v>
      </c>
      <c r="J3125" s="3">
        <v>125.18</v>
      </c>
      <c r="K3125" s="3">
        <v>262.81</v>
      </c>
      <c r="L3125" s="3"/>
      <c r="N3125" s="4"/>
    </row>
    <row r="3126" spans="1:14" ht="17.5" thickBot="1" x14ac:dyDescent="0.45">
      <c r="A3126" s="4">
        <v>46028</v>
      </c>
      <c r="B3126" s="3">
        <v>189.73</v>
      </c>
      <c r="C3126" s="3">
        <v>471.49</v>
      </c>
      <c r="D3126" s="3">
        <v>120.06</v>
      </c>
      <c r="E3126" s="3">
        <v>1.7786999999999999</v>
      </c>
      <c r="F3126" s="3">
        <v>397.57</v>
      </c>
      <c r="G3126" s="3">
        <v>523.28</v>
      </c>
      <c r="H3126" s="3">
        <v>233.1</v>
      </c>
      <c r="I3126" s="3">
        <v>455.53</v>
      </c>
      <c r="J3126" s="3">
        <v>125.19</v>
      </c>
      <c r="K3126" s="3">
        <v>264.39</v>
      </c>
      <c r="L3126" s="3"/>
      <c r="N3126" s="4"/>
    </row>
    <row r="3127" spans="1:14" ht="17.5" thickBot="1" x14ac:dyDescent="0.45">
      <c r="A3127" s="4">
        <v>46029</v>
      </c>
      <c r="B3127" s="3">
        <v>188.13</v>
      </c>
      <c r="C3127" s="3">
        <v>471.1</v>
      </c>
      <c r="D3127" s="3">
        <v>120.16</v>
      </c>
      <c r="E3127" s="3">
        <v>1.7758</v>
      </c>
      <c r="F3127" s="3">
        <v>395.95</v>
      </c>
      <c r="G3127" s="3">
        <v>522.15</v>
      </c>
      <c r="H3127" s="3">
        <v>232.77</v>
      </c>
      <c r="I3127" s="3">
        <v>454.08</v>
      </c>
      <c r="J3127" s="3">
        <v>125.2</v>
      </c>
      <c r="K3127" s="3">
        <v>263.93</v>
      </c>
      <c r="L3127" s="3"/>
      <c r="N3127" s="4"/>
    </row>
    <row r="3128" spans="1:14" ht="17.5" thickBot="1" x14ac:dyDescent="0.45">
      <c r="A3128" s="4">
        <v>46030</v>
      </c>
      <c r="B3128" s="3">
        <v>185.77</v>
      </c>
      <c r="C3128" s="3">
        <v>466.99</v>
      </c>
      <c r="D3128" s="3">
        <v>120.13</v>
      </c>
      <c r="E3128" s="3">
        <v>1.7735000000000001</v>
      </c>
      <c r="F3128" s="3">
        <v>393.67</v>
      </c>
      <c r="G3128" s="3">
        <v>522.14</v>
      </c>
      <c r="H3128" s="3">
        <v>232</v>
      </c>
      <c r="I3128" s="3">
        <v>454.11</v>
      </c>
      <c r="J3128" s="3">
        <v>125.21</v>
      </c>
      <c r="K3128" s="3">
        <v>262.98</v>
      </c>
      <c r="L3128" s="3"/>
      <c r="N3128" s="4"/>
    </row>
    <row r="3129" spans="1:14" ht="17.5" thickBot="1" x14ac:dyDescent="0.45">
      <c r="A3129" s="4">
        <v>46031</v>
      </c>
      <c r="B3129" s="3">
        <v>186.3</v>
      </c>
      <c r="C3129" s="3">
        <v>466.69</v>
      </c>
      <c r="D3129" s="3">
        <v>120.16</v>
      </c>
      <c r="E3129" s="3">
        <v>1.78</v>
      </c>
      <c r="F3129" s="3">
        <v>395.15</v>
      </c>
      <c r="G3129" s="3">
        <v>526.02</v>
      </c>
      <c r="H3129" s="3">
        <v>232.78</v>
      </c>
      <c r="I3129" s="3">
        <v>457.24</v>
      </c>
      <c r="J3129" s="3">
        <v>125.21</v>
      </c>
      <c r="K3129" s="3">
        <v>263.64</v>
      </c>
      <c r="L3129" s="3"/>
      <c r="N3129" s="4"/>
    </row>
    <row r="3130" spans="1:14" ht="17.5" thickBot="1" x14ac:dyDescent="0.45">
      <c r="A3130" s="4">
        <v>46034</v>
      </c>
      <c r="B3130" s="3">
        <v>189.12</v>
      </c>
      <c r="C3130" s="3">
        <v>469.85</v>
      </c>
      <c r="D3130" s="3">
        <v>120.16</v>
      </c>
      <c r="E3130" s="3">
        <v>1.7837000000000001</v>
      </c>
      <c r="F3130" s="3">
        <v>397.42</v>
      </c>
      <c r="G3130" s="3">
        <v>526.92999999999995</v>
      </c>
      <c r="H3130" s="3">
        <v>233.62</v>
      </c>
      <c r="I3130" s="3">
        <v>457.96</v>
      </c>
      <c r="J3130" s="3">
        <v>125.24</v>
      </c>
      <c r="K3130" s="3">
        <v>264.57</v>
      </c>
      <c r="L3130" s="3"/>
      <c r="N3130" s="4"/>
    </row>
    <row r="3131" spans="1:14" ht="17.5" thickBot="1" x14ac:dyDescent="0.45">
      <c r="A3131" s="4">
        <v>46035</v>
      </c>
      <c r="B3131" s="3">
        <v>190.79</v>
      </c>
      <c r="C3131" s="3">
        <v>473.74</v>
      </c>
      <c r="D3131" s="3">
        <v>120.23</v>
      </c>
      <c r="E3131" s="3">
        <v>1.7838000000000001</v>
      </c>
      <c r="F3131" s="3">
        <v>399.14</v>
      </c>
      <c r="G3131" s="3">
        <v>526.19000000000005</v>
      </c>
      <c r="H3131" s="3">
        <v>234.07</v>
      </c>
      <c r="I3131" s="3">
        <v>457.24</v>
      </c>
      <c r="J3131" s="3">
        <v>125.24</v>
      </c>
      <c r="K3131" s="3">
        <v>265.22000000000003</v>
      </c>
      <c r="L3131" s="3"/>
      <c r="N3131" s="4"/>
    </row>
    <row r="3132" spans="1:14" ht="17.5" thickBot="1" x14ac:dyDescent="0.45">
      <c r="A3132" s="4">
        <v>46036</v>
      </c>
      <c r="B3132" s="3">
        <v>191.9</v>
      </c>
      <c r="C3132" s="3">
        <v>475.89</v>
      </c>
      <c r="D3132" s="3">
        <v>120.36</v>
      </c>
      <c r="E3132" s="3">
        <v>1.7822</v>
      </c>
      <c r="F3132" s="3">
        <v>400.32</v>
      </c>
      <c r="G3132" s="3">
        <v>523.03</v>
      </c>
      <c r="H3132" s="3">
        <v>234.59</v>
      </c>
      <c r="I3132" s="3">
        <v>454.87</v>
      </c>
      <c r="J3132" s="3">
        <v>125.25</v>
      </c>
      <c r="K3132" s="3">
        <v>265.81</v>
      </c>
      <c r="L3132" s="3"/>
      <c r="N3132" s="4"/>
    </row>
    <row r="3133" spans="1:14" ht="17.5" thickBot="1" x14ac:dyDescent="0.45">
      <c r="A3133" s="4">
        <v>46037</v>
      </c>
      <c r="B3133" s="3">
        <v>191.4</v>
      </c>
      <c r="C3133" s="3">
        <v>476.95</v>
      </c>
      <c r="D3133" s="3">
        <v>120.35</v>
      </c>
      <c r="E3133" s="3">
        <v>1.7845</v>
      </c>
      <c r="F3133" s="3">
        <v>400.46</v>
      </c>
      <c r="G3133" s="3">
        <v>525.05999999999995</v>
      </c>
      <c r="H3133" s="3">
        <v>234.87</v>
      </c>
      <c r="I3133" s="3">
        <v>456.12</v>
      </c>
      <c r="J3133" s="3">
        <v>125.26</v>
      </c>
      <c r="K3133" s="3">
        <v>265.73</v>
      </c>
      <c r="L3133" s="3"/>
      <c r="N3133" s="4"/>
    </row>
    <row r="3134" spans="1:14" ht="17.5" thickBot="1" x14ac:dyDescent="0.45">
      <c r="A3134" s="4">
        <v>46038</v>
      </c>
      <c r="B3134" s="3">
        <v>190.78</v>
      </c>
      <c r="C3134" s="3">
        <v>477.8</v>
      </c>
      <c r="D3134" s="3">
        <v>120.23</v>
      </c>
      <c r="E3134" s="3">
        <v>1.7830999999999999</v>
      </c>
      <c r="F3134" s="3">
        <v>400.52</v>
      </c>
      <c r="G3134" s="3">
        <v>524.94000000000005</v>
      </c>
      <c r="H3134" s="3">
        <v>234.81</v>
      </c>
      <c r="I3134" s="3">
        <v>455.77</v>
      </c>
      <c r="J3134" s="3">
        <v>125.27</v>
      </c>
      <c r="K3134" s="3">
        <v>265.56</v>
      </c>
      <c r="L3134" s="3"/>
      <c r="N3134" s="4"/>
    </row>
    <row r="3135" spans="1:14" ht="17.5" thickBot="1" x14ac:dyDescent="0.45">
      <c r="A3135" s="4">
        <v>46041</v>
      </c>
      <c r="B3135" s="3">
        <v>188.84</v>
      </c>
      <c r="C3135" s="3">
        <v>478.53</v>
      </c>
      <c r="D3135" s="3">
        <v>120.24</v>
      </c>
      <c r="E3135" s="3">
        <v>1.7825</v>
      </c>
      <c r="F3135" s="3">
        <v>399.3</v>
      </c>
      <c r="G3135" s="3">
        <v>524.77</v>
      </c>
      <c r="H3135" s="3">
        <v>234.49</v>
      </c>
      <c r="I3135" s="3">
        <v>455.6</v>
      </c>
      <c r="J3135" s="3">
        <v>125.29</v>
      </c>
      <c r="K3135" s="3">
        <v>265.12</v>
      </c>
      <c r="L3135" s="3"/>
      <c r="N3135" s="4"/>
    </row>
    <row r="3136" spans="1:14" ht="17.5" thickBot="1" x14ac:dyDescent="0.45">
      <c r="A3136" s="4">
        <v>46042</v>
      </c>
      <c r="B3136" s="3">
        <v>188.29</v>
      </c>
      <c r="C3136" s="3">
        <v>475.39</v>
      </c>
      <c r="D3136" s="3">
        <v>119.86</v>
      </c>
      <c r="E3136" s="3">
        <v>1.7636000000000001</v>
      </c>
      <c r="F3136" s="3">
        <v>396.46</v>
      </c>
      <c r="G3136" s="3">
        <v>514.70000000000005</v>
      </c>
      <c r="H3136" s="3">
        <v>233.2</v>
      </c>
      <c r="I3136" s="3">
        <v>446.45</v>
      </c>
      <c r="J3136" s="3">
        <v>125.29</v>
      </c>
      <c r="K3136" s="3">
        <v>263.8</v>
      </c>
      <c r="L3136" s="3"/>
      <c r="N3136" s="4"/>
    </row>
    <row r="3137" spans="1:14" ht="17.5" thickBot="1" x14ac:dyDescent="0.45">
      <c r="A3137" s="4">
        <v>46043</v>
      </c>
      <c r="B3137" s="3">
        <v>189.1</v>
      </c>
      <c r="C3137" s="3">
        <v>476.27</v>
      </c>
      <c r="D3137" s="3">
        <v>119.97</v>
      </c>
      <c r="E3137" s="3">
        <v>1.7713000000000001</v>
      </c>
      <c r="F3137" s="3">
        <v>396.89</v>
      </c>
      <c r="G3137" s="3">
        <v>521.20000000000005</v>
      </c>
      <c r="H3137" s="3">
        <v>233.66</v>
      </c>
      <c r="I3137" s="3">
        <v>451.46</v>
      </c>
      <c r="J3137" s="3">
        <v>125.3</v>
      </c>
      <c r="K3137" s="3">
        <v>264.12</v>
      </c>
      <c r="L3137" s="3"/>
      <c r="N3137" s="4"/>
    </row>
    <row r="3138" spans="1:14" ht="17.5" thickBot="1" x14ac:dyDescent="0.45">
      <c r="A3138" s="4">
        <v>46044</v>
      </c>
      <c r="B3138" s="3">
        <v>189.48</v>
      </c>
      <c r="C3138" s="3">
        <v>479.43</v>
      </c>
      <c r="D3138" s="3">
        <v>120.12</v>
      </c>
      <c r="E3138" s="3">
        <v>1.7791999999999999</v>
      </c>
      <c r="F3138" s="3">
        <v>399.06</v>
      </c>
      <c r="G3138" s="3">
        <v>524.5</v>
      </c>
      <c r="H3138" s="3">
        <v>234.79</v>
      </c>
      <c r="I3138" s="3">
        <v>453.85</v>
      </c>
      <c r="J3138" s="3">
        <v>125.31</v>
      </c>
      <c r="K3138" s="3">
        <v>265.06</v>
      </c>
      <c r="L3138" s="3"/>
      <c r="N3138" s="4"/>
    </row>
    <row r="3139" spans="1:14" ht="17.5" thickBot="1" x14ac:dyDescent="0.45">
      <c r="A3139" s="4">
        <v>46045</v>
      </c>
      <c r="B3139" s="3">
        <v>190.21</v>
      </c>
      <c r="C3139" s="3">
        <v>480.65</v>
      </c>
      <c r="D3139" s="3">
        <v>120.21</v>
      </c>
      <c r="E3139" s="3">
        <v>1.7810999999999999</v>
      </c>
      <c r="F3139" s="3">
        <v>400.21</v>
      </c>
      <c r="G3139" s="3">
        <v>523.87</v>
      </c>
      <c r="H3139" s="3">
        <v>234.91</v>
      </c>
      <c r="I3139" s="3">
        <v>454.06</v>
      </c>
      <c r="J3139" s="3">
        <v>125.32</v>
      </c>
      <c r="K3139" s="3">
        <v>265.61</v>
      </c>
      <c r="L3139" s="3"/>
      <c r="N3139" s="4"/>
    </row>
    <row r="3140" spans="1:14" ht="17.5" thickBot="1" x14ac:dyDescent="0.45">
      <c r="A3140" s="4">
        <v>46048</v>
      </c>
      <c r="B3140" s="3">
        <v>190.33</v>
      </c>
      <c r="C3140" s="3">
        <v>481.26</v>
      </c>
      <c r="D3140" s="3">
        <v>120.39</v>
      </c>
      <c r="E3140" s="3">
        <v>1.7890999999999999</v>
      </c>
      <c r="F3140" s="3">
        <v>402.07</v>
      </c>
      <c r="G3140" s="3">
        <v>525.82000000000005</v>
      </c>
      <c r="H3140" s="3">
        <v>235.95</v>
      </c>
      <c r="I3140" s="3">
        <v>456.32</v>
      </c>
      <c r="J3140" s="3">
        <v>125.34</v>
      </c>
      <c r="K3140" s="3">
        <v>266.83</v>
      </c>
      <c r="L3140" s="3"/>
      <c r="N3140" s="4"/>
    </row>
    <row r="3141" spans="1:14" ht="17.5" thickBot="1" x14ac:dyDescent="0.45">
      <c r="A3141" s="4">
        <v>46049</v>
      </c>
      <c r="B3141" s="3">
        <v>192.73</v>
      </c>
      <c r="C3141" s="3">
        <v>489.67</v>
      </c>
      <c r="D3141" s="3">
        <v>120.34</v>
      </c>
      <c r="E3141" s="3">
        <v>1.7958000000000001</v>
      </c>
      <c r="F3141" s="3">
        <v>405.82</v>
      </c>
      <c r="G3141" s="3">
        <v>528.79</v>
      </c>
      <c r="H3141" s="3">
        <v>237.42</v>
      </c>
      <c r="I3141" s="3">
        <v>458.24</v>
      </c>
      <c r="J3141" s="3">
        <v>125.35</v>
      </c>
      <c r="K3141" s="3">
        <v>268.26</v>
      </c>
      <c r="L3141" s="3"/>
      <c r="N3141" s="4"/>
    </row>
    <row r="3142" spans="1:14" ht="17.5" thickBot="1" x14ac:dyDescent="0.45">
      <c r="A3142" s="4">
        <v>46050</v>
      </c>
      <c r="B3142" s="3">
        <v>197.75</v>
      </c>
      <c r="C3142" s="3">
        <v>499.21</v>
      </c>
      <c r="D3142" s="3">
        <v>120.32</v>
      </c>
      <c r="E3142" s="3">
        <v>1.7971999999999999</v>
      </c>
      <c r="F3142" s="3">
        <v>407.65</v>
      </c>
      <c r="G3142" s="3">
        <v>528.91</v>
      </c>
      <c r="H3142" s="3">
        <v>237.57</v>
      </c>
      <c r="I3142" s="3">
        <v>458.32</v>
      </c>
      <c r="J3142" s="3">
        <v>125.35</v>
      </c>
      <c r="K3142" s="3">
        <v>268.95999999999998</v>
      </c>
      <c r="L3142" s="3"/>
      <c r="N3142" s="4"/>
    </row>
    <row r="3143" spans="1:14" ht="17.5" thickBot="1" x14ac:dyDescent="0.45">
      <c r="A3143" s="4">
        <v>46051</v>
      </c>
      <c r="B3143" s="3">
        <v>198.75</v>
      </c>
      <c r="C3143" s="3">
        <v>499.77</v>
      </c>
      <c r="D3143" s="3">
        <v>120.37</v>
      </c>
      <c r="E3143" s="3">
        <v>1.7968</v>
      </c>
      <c r="F3143" s="3">
        <v>408.36</v>
      </c>
      <c r="G3143" s="3">
        <v>528.07000000000005</v>
      </c>
      <c r="H3143" s="3">
        <v>237.84</v>
      </c>
      <c r="I3143" s="3">
        <v>457.37</v>
      </c>
      <c r="J3143" s="3">
        <v>125.36</v>
      </c>
      <c r="K3143" s="3">
        <v>269.31</v>
      </c>
      <c r="L3143" s="3"/>
      <c r="N3143" s="4"/>
    </row>
    <row r="3144" spans="1:14" ht="17.5" thickBot="1" x14ac:dyDescent="0.45">
      <c r="A3144" s="4">
        <v>46052</v>
      </c>
      <c r="B3144" s="3">
        <v>194.68</v>
      </c>
      <c r="C3144" s="3">
        <v>493.81</v>
      </c>
      <c r="D3144" s="3">
        <v>120.38</v>
      </c>
      <c r="E3144" s="3">
        <v>1.7914000000000001</v>
      </c>
      <c r="F3144" s="3">
        <v>405.36</v>
      </c>
      <c r="G3144" s="3">
        <v>523.48</v>
      </c>
      <c r="H3144" s="3">
        <v>236.48</v>
      </c>
      <c r="I3144" s="3">
        <v>456.11</v>
      </c>
      <c r="J3144" s="3">
        <v>125.37</v>
      </c>
      <c r="K3144" s="3">
        <v>268.04000000000002</v>
      </c>
      <c r="L3144" s="3"/>
      <c r="N3144" s="4"/>
    </row>
    <row r="3145" spans="1:14" ht="17.5" thickBot="1" x14ac:dyDescent="0.45">
      <c r="A3145" s="4">
        <v>46055</v>
      </c>
      <c r="B3145" s="3">
        <v>190.01</v>
      </c>
      <c r="C3145" s="3">
        <v>481.03</v>
      </c>
      <c r="D3145" s="3">
        <v>120.33</v>
      </c>
      <c r="E3145" s="3">
        <v>1.7908999999999999</v>
      </c>
      <c r="F3145" s="3">
        <v>401.08</v>
      </c>
      <c r="G3145" s="3">
        <v>526.49</v>
      </c>
      <c r="H3145" s="3">
        <v>235.21</v>
      </c>
      <c r="I3145" s="3">
        <v>458.5</v>
      </c>
      <c r="J3145" s="3">
        <v>125.39</v>
      </c>
      <c r="K3145" s="3">
        <v>266.10000000000002</v>
      </c>
      <c r="L3145" s="3"/>
      <c r="N3145" s="4"/>
    </row>
    <row r="3146" spans="1:14" ht="17.5" thickBot="1" x14ac:dyDescent="0.45">
      <c r="A3146" s="4">
        <v>46056</v>
      </c>
      <c r="B3146" s="3">
        <v>191.01</v>
      </c>
      <c r="C3146" s="3">
        <v>494.9</v>
      </c>
      <c r="D3146" s="3">
        <v>120.31</v>
      </c>
      <c r="E3146" s="3">
        <v>1.7907</v>
      </c>
      <c r="F3146" s="3">
        <v>405.15</v>
      </c>
      <c r="G3146" s="3">
        <v>522.20000000000005</v>
      </c>
      <c r="H3146" s="3">
        <v>236.91</v>
      </c>
      <c r="I3146" s="3">
        <v>454.7</v>
      </c>
      <c r="J3146" s="3">
        <v>125.4</v>
      </c>
      <c r="K3146" s="3">
        <v>267.69</v>
      </c>
      <c r="L3146" s="3"/>
      <c r="N3146" s="4"/>
    </row>
    <row r="3147" spans="1:14" ht="17.5" thickBot="1" x14ac:dyDescent="0.45">
      <c r="A3147" s="4">
        <v>46057</v>
      </c>
      <c r="B3147" s="3">
        <v>190.96</v>
      </c>
      <c r="C3147" s="3">
        <v>497.66</v>
      </c>
      <c r="D3147" s="3">
        <v>120.35</v>
      </c>
      <c r="E3147" s="3">
        <v>1.7874000000000001</v>
      </c>
      <c r="F3147" s="3">
        <v>404.59</v>
      </c>
      <c r="G3147" s="3">
        <v>517.13</v>
      </c>
      <c r="H3147" s="3">
        <v>236.24</v>
      </c>
      <c r="I3147" s="3">
        <v>452.49</v>
      </c>
      <c r="J3147" s="3">
        <v>125.4</v>
      </c>
      <c r="K3147" s="3">
        <v>267.41000000000003</v>
      </c>
      <c r="L3147" s="3"/>
      <c r="N3147" s="4"/>
    </row>
    <row r="3148" spans="1:14" ht="17.5" thickBot="1" x14ac:dyDescent="0.45">
      <c r="A3148" s="4">
        <v>46058</v>
      </c>
      <c r="B3148" s="3">
        <v>191.08</v>
      </c>
      <c r="C3148" s="3">
        <v>488.17</v>
      </c>
      <c r="D3148" s="3">
        <v>120.6</v>
      </c>
      <c r="E3148" s="3">
        <v>1.7759</v>
      </c>
      <c r="F3148" s="3">
        <v>401.05</v>
      </c>
      <c r="G3148" s="3">
        <v>510.12</v>
      </c>
      <c r="H3148" s="3">
        <v>234.5</v>
      </c>
      <c r="I3148" s="3">
        <v>446.64</v>
      </c>
      <c r="J3148" s="3">
        <v>125.41</v>
      </c>
      <c r="K3148" s="3">
        <v>266.27999999999997</v>
      </c>
      <c r="L3148" s="3"/>
      <c r="N3148" s="4"/>
    </row>
    <row r="3149" spans="1:14" ht="17.5" thickBot="1" x14ac:dyDescent="0.45">
      <c r="A3149" s="4">
        <v>46059</v>
      </c>
      <c r="B3149" s="3">
        <v>188.72</v>
      </c>
      <c r="C3149" s="3">
        <v>485.86</v>
      </c>
      <c r="D3149" s="3">
        <v>120.69</v>
      </c>
      <c r="E3149" s="3">
        <v>1.7918000000000001</v>
      </c>
      <c r="F3149" s="3">
        <v>402.62</v>
      </c>
      <c r="G3149" s="3">
        <v>521.89</v>
      </c>
      <c r="H3149" s="3">
        <v>236.21</v>
      </c>
      <c r="I3149" s="3">
        <v>455.41</v>
      </c>
      <c r="J3149" s="3">
        <v>125.42</v>
      </c>
      <c r="K3149" s="3">
        <v>266.97000000000003</v>
      </c>
      <c r="L3149" s="3"/>
      <c r="N3149" s="4"/>
    </row>
    <row r="3150" spans="1:14" ht="17.5" thickBot="1" x14ac:dyDescent="0.45">
      <c r="A3150" s="4">
        <v>46062</v>
      </c>
      <c r="B3150" s="3">
        <v>191.96</v>
      </c>
      <c r="C3150" s="3">
        <v>498.14</v>
      </c>
      <c r="D3150" s="3">
        <v>120.71</v>
      </c>
      <c r="E3150" s="3">
        <v>1.8033999999999999</v>
      </c>
      <c r="F3150" s="3">
        <v>409.89</v>
      </c>
      <c r="G3150" s="3">
        <v>525.14</v>
      </c>
      <c r="H3150" s="3">
        <v>239.15</v>
      </c>
      <c r="I3150" s="3">
        <v>457.69</v>
      </c>
      <c r="J3150" s="3">
        <v>125.44</v>
      </c>
      <c r="K3150" s="3">
        <v>269.95</v>
      </c>
      <c r="L3150" s="3"/>
      <c r="N3150" s="4"/>
    </row>
    <row r="3151" spans="1:14" ht="17.5" thickBot="1" x14ac:dyDescent="0.45">
      <c r="A3151" s="4">
        <v>46063</v>
      </c>
      <c r="B3151" s="3">
        <v>193.05</v>
      </c>
      <c r="C3151" s="3">
        <v>500.69</v>
      </c>
      <c r="D3151" s="3">
        <v>121.01</v>
      </c>
      <c r="E3151" s="3">
        <v>1.8069</v>
      </c>
      <c r="F3151" s="3">
        <v>412.29</v>
      </c>
      <c r="G3151" s="3">
        <v>523.51</v>
      </c>
      <c r="H3151" s="3">
        <v>240.07</v>
      </c>
      <c r="I3151" s="3">
        <v>456.49</v>
      </c>
      <c r="J3151" s="3">
        <v>125.45</v>
      </c>
      <c r="K3151" s="3">
        <v>271.26</v>
      </c>
      <c r="L3151" s="3"/>
      <c r="N3151" s="4"/>
    </row>
    <row r="3152" spans="1:14" ht="17.5" thickBot="1" x14ac:dyDescent="0.45">
      <c r="A3152" s="4">
        <v>46064</v>
      </c>
      <c r="B3152" s="3">
        <v>193.75</v>
      </c>
      <c r="C3152" s="3">
        <v>507</v>
      </c>
      <c r="D3152" s="3">
        <v>121.01</v>
      </c>
      <c r="E3152" s="3">
        <v>1.8081</v>
      </c>
      <c r="F3152" s="3">
        <v>413.35</v>
      </c>
      <c r="G3152" s="3">
        <v>523.25</v>
      </c>
      <c r="H3152" s="3">
        <v>240.26</v>
      </c>
      <c r="I3152" s="3">
        <v>456.36</v>
      </c>
      <c r="J3152" s="3">
        <v>125.45</v>
      </c>
      <c r="K3152" s="3">
        <v>271.45999999999998</v>
      </c>
      <c r="L3152" s="3"/>
      <c r="N3152" s="4"/>
    </row>
    <row r="3153" spans="1:14" ht="17.5" thickBot="1" x14ac:dyDescent="0.45">
      <c r="A3153" s="4">
        <v>46065</v>
      </c>
      <c r="B3153" s="3">
        <v>192.07</v>
      </c>
      <c r="C3153" s="3">
        <v>510.87</v>
      </c>
      <c r="D3153" s="3">
        <v>121.19</v>
      </c>
      <c r="E3153" s="3">
        <v>1.7990999999999999</v>
      </c>
      <c r="F3153" s="3">
        <v>413.17</v>
      </c>
      <c r="G3153" s="3">
        <v>514.30999999999995</v>
      </c>
      <c r="H3153" s="3">
        <v>239.92</v>
      </c>
      <c r="I3153" s="3">
        <v>449.34</v>
      </c>
      <c r="J3153" s="3">
        <v>125.46</v>
      </c>
      <c r="K3153" s="3">
        <v>271.79000000000002</v>
      </c>
      <c r="L3153" s="3"/>
      <c r="N3153" s="4"/>
    </row>
    <row r="3154" spans="1:14" ht="17.5" thickBot="1" x14ac:dyDescent="0.45">
      <c r="A3154" s="4">
        <v>46066</v>
      </c>
      <c r="B3154" s="3">
        <v>188.83</v>
      </c>
      <c r="C3154" s="3">
        <v>505.27</v>
      </c>
      <c r="D3154" s="3">
        <v>121.44</v>
      </c>
      <c r="E3154" s="3">
        <v>1.7972999999999999</v>
      </c>
      <c r="F3154" s="3">
        <v>409.38</v>
      </c>
      <c r="G3154" s="3">
        <v>515.77</v>
      </c>
      <c r="H3154" s="3">
        <v>239.2</v>
      </c>
      <c r="I3154" s="3">
        <v>449.55</v>
      </c>
      <c r="J3154" s="3">
        <v>125.47</v>
      </c>
      <c r="K3154" s="3">
        <v>270.5</v>
      </c>
      <c r="L3154" s="3"/>
      <c r="N3154" s="4"/>
    </row>
    <row r="3155" spans="1:14" ht="17.5" thickBot="1" x14ac:dyDescent="0.45">
      <c r="A3155" s="4">
        <v>46069</v>
      </c>
      <c r="B3155" s="3">
        <v>190.17</v>
      </c>
      <c r="C3155" s="3">
        <v>505.94</v>
      </c>
      <c r="D3155" s="3">
        <v>121.68</v>
      </c>
      <c r="E3155" s="3">
        <v>1.7974000000000001</v>
      </c>
      <c r="F3155" s="3">
        <v>409.83</v>
      </c>
      <c r="G3155" s="3">
        <v>515.70000000000005</v>
      </c>
      <c r="H3155" s="3">
        <v>239.38</v>
      </c>
      <c r="I3155" s="3">
        <v>449.53</v>
      </c>
      <c r="J3155" s="3">
        <v>125.49</v>
      </c>
      <c r="K3155" s="3">
        <v>270.64999999999998</v>
      </c>
      <c r="L3155" s="3"/>
      <c r="N3155" s="4"/>
    </row>
    <row r="3156" spans="1:14" ht="17.5" thickBot="1" x14ac:dyDescent="0.45">
      <c r="A3156" s="4">
        <v>46073</v>
      </c>
      <c r="B3156" s="3">
        <v>187.81</v>
      </c>
      <c r="C3156" s="3">
        <v>511.78</v>
      </c>
      <c r="D3156" s="3">
        <v>121.5</v>
      </c>
      <c r="E3156" s="3">
        <v>1.8090999999999999</v>
      </c>
      <c r="F3156" s="3">
        <v>411.67</v>
      </c>
      <c r="G3156" s="3">
        <v>521.09</v>
      </c>
      <c r="H3156" s="3">
        <v>240.27</v>
      </c>
      <c r="I3156" s="3">
        <v>454.54</v>
      </c>
      <c r="J3156" s="3">
        <v>125.51</v>
      </c>
      <c r="K3156" s="3">
        <v>271.20999999999998</v>
      </c>
      <c r="L3156" s="3"/>
      <c r="N3156" s="4"/>
    </row>
    <row r="3157" spans="1:14" ht="17.5" thickBot="1" x14ac:dyDescent="0.45">
      <c r="A3157" s="4">
        <v>46076</v>
      </c>
      <c r="B3157" s="3">
        <v>192.39</v>
      </c>
      <c r="C3157" s="3">
        <v>516.76</v>
      </c>
      <c r="D3157" s="3">
        <v>121.64</v>
      </c>
      <c r="E3157" s="3">
        <v>1.8044</v>
      </c>
      <c r="F3157" s="3">
        <v>413.71</v>
      </c>
      <c r="G3157" s="3">
        <v>514.78</v>
      </c>
      <c r="H3157" s="3">
        <v>240.34</v>
      </c>
      <c r="I3157" s="3">
        <v>449.79</v>
      </c>
      <c r="J3157" s="3">
        <v>125.53</v>
      </c>
      <c r="K3157" s="3">
        <v>272.20999999999998</v>
      </c>
      <c r="L3157" s="3"/>
      <c r="N3157" s="4"/>
    </row>
    <row r="3158" spans="1:14" ht="17.5" thickBot="1" x14ac:dyDescent="0.45">
      <c r="A3158" s="4">
        <v>46077</v>
      </c>
      <c r="B3158" s="3">
        <v>188.92</v>
      </c>
      <c r="C3158" s="3">
        <v>519.48</v>
      </c>
      <c r="D3158" s="3">
        <v>121.7</v>
      </c>
      <c r="E3158" s="3">
        <v>1.8109999999999999</v>
      </c>
      <c r="F3158" s="3">
        <v>413.38</v>
      </c>
      <c r="G3158" s="3">
        <v>519.62</v>
      </c>
      <c r="H3158" s="3">
        <v>240.9</v>
      </c>
      <c r="I3158" s="3">
        <v>453.26</v>
      </c>
      <c r="J3158" s="3">
        <v>125.54</v>
      </c>
      <c r="K3158" s="3">
        <v>272.08999999999997</v>
      </c>
      <c r="L3158" s="3"/>
      <c r="N3158" s="4"/>
    </row>
    <row r="3159" spans="1:14" ht="17.5" thickBot="1" x14ac:dyDescent="0.45">
      <c r="A3159" s="4">
        <v>46078</v>
      </c>
      <c r="B3159" s="3">
        <v>190.11</v>
      </c>
      <c r="C3159" s="3">
        <v>529.23</v>
      </c>
      <c r="D3159" s="3">
        <v>121.65</v>
      </c>
      <c r="E3159" s="3">
        <v>1.8202</v>
      </c>
      <c r="F3159" s="3">
        <v>417.34</v>
      </c>
      <c r="G3159" s="3">
        <v>524.21</v>
      </c>
      <c r="H3159" s="3">
        <v>242.58</v>
      </c>
      <c r="I3159" s="3">
        <v>456.97</v>
      </c>
      <c r="J3159" s="3">
        <v>125.55</v>
      </c>
      <c r="K3159" s="3">
        <v>273.52999999999997</v>
      </c>
      <c r="L3159" s="3"/>
      <c r="N3159" s="4"/>
    </row>
    <row r="3160" spans="1:14" ht="17.5" thickBot="1" x14ac:dyDescent="0.45">
      <c r="A3160" s="4">
        <v>46079</v>
      </c>
      <c r="B3160" s="3">
        <v>187.59</v>
      </c>
      <c r="C3160" s="3">
        <v>533.28</v>
      </c>
      <c r="D3160" s="3">
        <v>121.79</v>
      </c>
      <c r="E3160" s="3">
        <v>1.8197000000000001</v>
      </c>
      <c r="F3160" s="3">
        <v>416.81</v>
      </c>
      <c r="G3160" s="3">
        <v>521.99</v>
      </c>
      <c r="H3160" s="3">
        <v>242.79</v>
      </c>
      <c r="I3160" s="3">
        <v>454.5</v>
      </c>
      <c r="J3160" s="3">
        <v>125.55</v>
      </c>
      <c r="K3160" s="3">
        <v>273.45999999999998</v>
      </c>
      <c r="L3160" s="3"/>
      <c r="N3160" s="4"/>
    </row>
    <row r="3161" spans="1:14" ht="17.5" thickBot="1" x14ac:dyDescent="0.45">
      <c r="A3161" s="4">
        <v>46080</v>
      </c>
      <c r="B3161" s="3">
        <v>189.57</v>
      </c>
      <c r="C3161" s="3">
        <v>531.16</v>
      </c>
      <c r="D3161" s="3">
        <v>121.96</v>
      </c>
      <c r="E3161" s="3">
        <v>1.8184</v>
      </c>
      <c r="F3161" s="3">
        <v>417.44</v>
      </c>
      <c r="G3161" s="3">
        <v>517.97</v>
      </c>
      <c r="H3161" s="3">
        <v>242.57</v>
      </c>
      <c r="I3161" s="3">
        <v>452.5</v>
      </c>
      <c r="J3161" s="3">
        <v>125.56</v>
      </c>
      <c r="K3161" s="3">
        <v>273.88</v>
      </c>
      <c r="L3161" s="3"/>
      <c r="N3161" s="4"/>
    </row>
    <row r="3162" spans="1:14" ht="17.5" thickBot="1" x14ac:dyDescent="0.45">
      <c r="A3162" s="4">
        <v>46083</v>
      </c>
      <c r="B3162" s="3">
        <v>185.23</v>
      </c>
      <c r="C3162" s="3">
        <v>525.49</v>
      </c>
      <c r="D3162" s="3">
        <v>121.64</v>
      </c>
      <c r="E3162" s="3">
        <v>1.8098000000000001</v>
      </c>
      <c r="F3162" s="3">
        <v>411.72</v>
      </c>
      <c r="G3162" s="3">
        <v>519.29999999999995</v>
      </c>
      <c r="H3162" s="3">
        <v>240.42</v>
      </c>
      <c r="I3162" s="3">
        <v>452.49</v>
      </c>
      <c r="J3162" s="3">
        <v>125.58</v>
      </c>
      <c r="K3162" s="3">
        <v>271.06</v>
      </c>
      <c r="L3162" s="3"/>
      <c r="N3162" s="4"/>
    </row>
    <row r="3163" spans="1:14" ht="17.5" thickBot="1" x14ac:dyDescent="0.45">
      <c r="A3163" s="4">
        <v>46084</v>
      </c>
      <c r="B3163" s="3">
        <v>182.98</v>
      </c>
      <c r="C3163" s="3">
        <v>508.74</v>
      </c>
      <c r="D3163" s="3">
        <v>121.08</v>
      </c>
      <c r="E3163" s="3">
        <v>1.7848999999999999</v>
      </c>
      <c r="F3163" s="3">
        <v>401.29</v>
      </c>
      <c r="G3163" s="3">
        <v>512.27</v>
      </c>
      <c r="H3163" s="3">
        <v>235.13</v>
      </c>
      <c r="I3163" s="3">
        <v>448.03</v>
      </c>
      <c r="J3163" s="3">
        <v>125.58</v>
      </c>
      <c r="K3163" s="3">
        <v>266.39999999999998</v>
      </c>
      <c r="L3163" s="3"/>
      <c r="N3163" s="4"/>
    </row>
    <row r="3164" spans="1:14" ht="17.5" thickBot="1" x14ac:dyDescent="0.45">
      <c r="A3164" s="4">
        <v>46085</v>
      </c>
      <c r="B3164" s="3">
        <v>179.66</v>
      </c>
      <c r="C3164" s="3">
        <v>487.22</v>
      </c>
      <c r="D3164" s="3">
        <v>121.16</v>
      </c>
      <c r="E3164" s="3">
        <v>1.7853000000000001</v>
      </c>
      <c r="F3164" s="3">
        <v>397.21</v>
      </c>
      <c r="G3164" s="3">
        <v>517.64</v>
      </c>
      <c r="H3164" s="3">
        <v>235.82</v>
      </c>
      <c r="I3164" s="3">
        <v>451.55</v>
      </c>
      <c r="J3164" s="3">
        <v>125.59</v>
      </c>
      <c r="K3164" s="3">
        <v>265.24</v>
      </c>
      <c r="L3164" s="3"/>
      <c r="N3164" s="4"/>
    </row>
    <row r="3165" spans="1:14" ht="17.5" thickBot="1" x14ac:dyDescent="0.45">
      <c r="A3165" s="4">
        <v>46086</v>
      </c>
      <c r="B3165" s="3">
        <v>179.8</v>
      </c>
      <c r="C3165" s="3">
        <v>500.89</v>
      </c>
      <c r="D3165" s="3">
        <v>121.04</v>
      </c>
      <c r="E3165" s="3">
        <v>1.7818000000000001</v>
      </c>
      <c r="F3165" s="3">
        <v>398.65</v>
      </c>
      <c r="G3165" s="3">
        <v>513.30999999999995</v>
      </c>
      <c r="H3165" s="3">
        <v>234.63</v>
      </c>
      <c r="I3165" s="3">
        <v>449.12</v>
      </c>
      <c r="J3165" s="3">
        <v>125.6</v>
      </c>
      <c r="K3165" s="3">
        <v>265.33</v>
      </c>
      <c r="L3165" s="3"/>
      <c r="N3165" s="4"/>
    </row>
    <row r="3166" spans="1:14" ht="17.5" thickBot="1" x14ac:dyDescent="0.45">
      <c r="A3166" s="4">
        <v>46087</v>
      </c>
      <c r="B3166" s="3">
        <v>182.72</v>
      </c>
      <c r="C3166" s="3">
        <v>499.16</v>
      </c>
      <c r="D3166" s="3">
        <v>120.97</v>
      </c>
      <c r="E3166" s="3">
        <v>1.7695000000000001</v>
      </c>
      <c r="F3166" s="3">
        <v>398.33</v>
      </c>
      <c r="G3166" s="3">
        <v>505.04</v>
      </c>
      <c r="H3166" s="3">
        <v>233.12</v>
      </c>
      <c r="I3166" s="3">
        <v>443.27</v>
      </c>
      <c r="J3166" s="3">
        <v>125.6</v>
      </c>
      <c r="K3166" s="3">
        <v>265.02999999999997</v>
      </c>
      <c r="L3166" s="3"/>
      <c r="N3166" s="4"/>
    </row>
    <row r="3167" spans="1:14" ht="17.5" thickBot="1" x14ac:dyDescent="0.45">
      <c r="A3167" s="4">
        <v>46090</v>
      </c>
      <c r="B3167" s="3">
        <v>180.58</v>
      </c>
      <c r="C3167" s="3">
        <v>487.05</v>
      </c>
      <c r="D3167" s="3">
        <v>120.81</v>
      </c>
      <c r="E3167" s="3">
        <v>1.766</v>
      </c>
      <c r="F3167" s="3">
        <v>392.79</v>
      </c>
      <c r="G3167" s="3">
        <v>510.03</v>
      </c>
      <c r="H3167" s="3">
        <v>231.44</v>
      </c>
      <c r="I3167" s="3">
        <v>446.8</v>
      </c>
      <c r="J3167" s="3">
        <v>125.62</v>
      </c>
      <c r="K3167" s="3">
        <v>262.77</v>
      </c>
      <c r="L3167" s="3"/>
      <c r="N3167" s="4"/>
    </row>
    <row r="3168" spans="1:14" ht="17.5" thickBot="1" x14ac:dyDescent="0.45">
      <c r="A3168" s="4">
        <v>46091</v>
      </c>
      <c r="B3168" s="3">
        <v>184.45</v>
      </c>
      <c r="C3168" s="3">
        <v>496.66</v>
      </c>
      <c r="D3168" s="3">
        <v>121.01</v>
      </c>
      <c r="E3168" s="3">
        <v>1.7763</v>
      </c>
      <c r="F3168" s="3">
        <v>400.03</v>
      </c>
      <c r="G3168" s="3">
        <v>509.9</v>
      </c>
      <c r="H3168" s="3">
        <v>235.18</v>
      </c>
      <c r="I3168" s="3">
        <v>446.41</v>
      </c>
      <c r="J3168" s="3">
        <v>125.62</v>
      </c>
      <c r="K3168" s="3">
        <v>265.93</v>
      </c>
      <c r="L3168" s="3"/>
      <c r="N3168" s="4"/>
    </row>
    <row r="3169" spans="1:14" ht="17.5" thickBot="1" x14ac:dyDescent="0.45">
      <c r="A3169" s="4">
        <v>46092</v>
      </c>
      <c r="B3169" s="3">
        <v>183.91</v>
      </c>
      <c r="C3169" s="3">
        <v>501.46</v>
      </c>
      <c r="D3169" s="3">
        <v>120.72</v>
      </c>
      <c r="E3169" s="3">
        <v>1.7736000000000001</v>
      </c>
      <c r="F3169" s="3">
        <v>399.67</v>
      </c>
      <c r="G3169" s="3">
        <v>509.3</v>
      </c>
      <c r="H3169" s="3">
        <v>234.18</v>
      </c>
      <c r="I3169" s="3">
        <v>445.97</v>
      </c>
      <c r="J3169" s="3">
        <v>125.63</v>
      </c>
      <c r="K3169" s="3">
        <v>265.14999999999998</v>
      </c>
      <c r="L3169" s="3"/>
      <c r="N3169" s="4"/>
    </row>
    <row r="3170" spans="1:14" ht="17.5" thickBot="1" x14ac:dyDescent="0.45">
      <c r="A3170" s="4">
        <v>46093</v>
      </c>
      <c r="B3170" s="3">
        <v>183.46</v>
      </c>
      <c r="C3170" s="3">
        <v>494.57</v>
      </c>
      <c r="D3170" s="3">
        <v>120.43</v>
      </c>
      <c r="E3170" s="3">
        <v>1.7565999999999999</v>
      </c>
      <c r="F3170" s="3">
        <v>395.09</v>
      </c>
      <c r="G3170" s="3">
        <v>500.26</v>
      </c>
      <c r="H3170" s="3">
        <v>231.06</v>
      </c>
      <c r="I3170" s="3">
        <v>439.04</v>
      </c>
      <c r="J3170" s="3">
        <v>125.64</v>
      </c>
      <c r="K3170" s="3">
        <v>262.92</v>
      </c>
      <c r="L3170" s="3"/>
      <c r="N3170" s="4"/>
    </row>
    <row r="3171" spans="1:14" ht="17.5" thickBot="1" x14ac:dyDescent="0.45">
      <c r="A3171" s="4">
        <v>46094</v>
      </c>
      <c r="B3171" s="3">
        <v>181.26</v>
      </c>
      <c r="C3171" s="3">
        <v>486.49</v>
      </c>
      <c r="D3171" s="3">
        <v>120.18</v>
      </c>
      <c r="E3171" s="3">
        <v>1.7466999999999999</v>
      </c>
      <c r="F3171" s="3">
        <v>391.4</v>
      </c>
      <c r="G3171" s="3">
        <v>497.5</v>
      </c>
      <c r="H3171" s="3">
        <v>229.42</v>
      </c>
      <c r="I3171" s="3">
        <v>436.63</v>
      </c>
      <c r="J3171" s="3">
        <v>125.64</v>
      </c>
      <c r="K3171" s="3">
        <v>261.16000000000003</v>
      </c>
      <c r="L3171" s="3"/>
      <c r="N3171" s="4"/>
    </row>
    <row r="3172" spans="1:14" ht="17.5" thickBot="1" x14ac:dyDescent="0.45">
      <c r="A3172" s="4">
        <v>46097</v>
      </c>
      <c r="B3172" s="3">
        <v>184.01</v>
      </c>
      <c r="C3172" s="3">
        <v>490.43</v>
      </c>
      <c r="D3172" s="3">
        <v>120.39</v>
      </c>
      <c r="E3172" s="3">
        <v>1.7565</v>
      </c>
      <c r="F3172" s="3">
        <v>394.12</v>
      </c>
      <c r="G3172" s="3">
        <v>502.71</v>
      </c>
      <c r="H3172" s="3">
        <v>231.06</v>
      </c>
      <c r="I3172" s="3">
        <v>441.09</v>
      </c>
      <c r="J3172" s="3">
        <v>125.66</v>
      </c>
      <c r="K3172" s="3">
        <v>262.56</v>
      </c>
      <c r="L3172" s="3"/>
      <c r="N3172" s="4"/>
    </row>
    <row r="3173" spans="1:14" ht="17.5" thickBot="1" x14ac:dyDescent="0.45">
      <c r="A3173" s="4">
        <v>46098</v>
      </c>
      <c r="B3173" s="3">
        <v>184.57</v>
      </c>
      <c r="C3173" s="3">
        <v>496.81</v>
      </c>
      <c r="D3173" s="3">
        <v>120.57</v>
      </c>
      <c r="E3173" s="3">
        <v>1.7642</v>
      </c>
      <c r="F3173" s="3">
        <v>396.34</v>
      </c>
      <c r="G3173" s="3">
        <v>504.95</v>
      </c>
      <c r="H3173" s="3">
        <v>232.89</v>
      </c>
      <c r="I3173" s="3">
        <v>442.22</v>
      </c>
      <c r="J3173" s="3">
        <v>125.66</v>
      </c>
      <c r="K3173" s="3">
        <v>263.75</v>
      </c>
      <c r="L3173" s="3"/>
      <c r="N3173" s="4"/>
    </row>
    <row r="3174" spans="1:14" ht="17.5" thickBot="1" x14ac:dyDescent="0.45">
      <c r="A3174" s="4">
        <v>46099</v>
      </c>
      <c r="B3174" s="3">
        <v>185.17</v>
      </c>
      <c r="C3174" s="3">
        <v>505.94</v>
      </c>
      <c r="D3174" s="3">
        <v>120.51</v>
      </c>
      <c r="E3174" s="3">
        <v>1.7569999999999999</v>
      </c>
      <c r="F3174" s="3">
        <v>398.06</v>
      </c>
      <c r="G3174" s="3">
        <v>497.71</v>
      </c>
      <c r="H3174" s="3">
        <v>232.82</v>
      </c>
      <c r="I3174" s="3">
        <v>436.22</v>
      </c>
      <c r="J3174" s="3">
        <v>125.67</v>
      </c>
      <c r="K3174" s="3">
        <v>264.2</v>
      </c>
      <c r="L3174" s="3"/>
      <c r="N3174" s="4"/>
    </row>
    <row r="3175" spans="1:14" ht="17.5" thickBot="1" x14ac:dyDescent="0.45">
      <c r="A3175" s="4">
        <v>46100</v>
      </c>
      <c r="B3175" s="3">
        <v>181.49</v>
      </c>
      <c r="C3175" s="3">
        <v>493.5</v>
      </c>
      <c r="D3175" s="3">
        <v>120.19</v>
      </c>
      <c r="E3175" s="3">
        <v>1.7442</v>
      </c>
      <c r="F3175" s="3">
        <v>390.53</v>
      </c>
      <c r="G3175" s="3">
        <v>497.3</v>
      </c>
      <c r="H3175" s="3">
        <v>229.63</v>
      </c>
      <c r="I3175" s="3">
        <v>434.86</v>
      </c>
      <c r="J3175" s="3">
        <v>125.68</v>
      </c>
      <c r="K3175" s="3">
        <v>261.13</v>
      </c>
      <c r="L3175" s="3"/>
      <c r="N3175" s="4"/>
    </row>
    <row r="3176" spans="1:14" ht="17.5" thickBot="1" x14ac:dyDescent="0.45">
      <c r="A3176" s="4">
        <v>46101</v>
      </c>
      <c r="B3176" s="3">
        <v>180.08</v>
      </c>
      <c r="C3176" s="3">
        <v>489.8</v>
      </c>
      <c r="D3176" s="3">
        <v>119.82</v>
      </c>
      <c r="E3176" s="3">
        <v>1.7278</v>
      </c>
      <c r="F3176" s="3">
        <v>386.63</v>
      </c>
      <c r="G3176" s="3">
        <v>488.77</v>
      </c>
      <c r="H3176" s="3">
        <v>226.75</v>
      </c>
      <c r="I3176" s="3">
        <v>428.63</v>
      </c>
      <c r="J3176" s="3">
        <v>125.68</v>
      </c>
      <c r="K3176" s="3">
        <v>259.11</v>
      </c>
      <c r="L3176" s="3"/>
      <c r="N3176" s="4"/>
    </row>
    <row r="3177" spans="1:14" ht="17.5" thickBot="1" x14ac:dyDescent="0.45">
      <c r="A3177" s="4">
        <v>46104</v>
      </c>
      <c r="B3177" s="3">
        <v>174.11</v>
      </c>
      <c r="C3177" s="3">
        <v>471.78</v>
      </c>
      <c r="D3177" s="3">
        <v>119.59</v>
      </c>
      <c r="E3177" s="3">
        <v>1.7312000000000001</v>
      </c>
      <c r="F3177" s="3">
        <v>380.31</v>
      </c>
      <c r="G3177" s="3">
        <v>495.31</v>
      </c>
      <c r="H3177" s="3">
        <v>225.96</v>
      </c>
      <c r="I3177" s="3">
        <v>432.87</v>
      </c>
      <c r="J3177" s="3">
        <v>125.7</v>
      </c>
      <c r="K3177" s="3">
        <v>257</v>
      </c>
      <c r="L3177" s="3"/>
      <c r="N3177" s="4"/>
    </row>
    <row r="3178" spans="1:14" ht="17.5" thickBot="1" x14ac:dyDescent="0.45">
      <c r="A3178" s="4">
        <v>46105</v>
      </c>
      <c r="B3178" s="3">
        <v>178.65</v>
      </c>
      <c r="C3178" s="3">
        <v>481.3</v>
      </c>
      <c r="D3178" s="3">
        <v>119.45</v>
      </c>
      <c r="E3178" s="3">
        <v>1.7318</v>
      </c>
      <c r="F3178" s="3">
        <v>384.9</v>
      </c>
      <c r="G3178" s="3">
        <v>494.39</v>
      </c>
      <c r="H3178" s="3">
        <v>227.06</v>
      </c>
      <c r="I3178" s="3">
        <v>431.67</v>
      </c>
      <c r="J3178" s="3">
        <v>125.7</v>
      </c>
      <c r="K3178" s="3">
        <v>258.5</v>
      </c>
      <c r="L3178" s="3"/>
      <c r="N3178" s="4"/>
    </row>
    <row r="3179" spans="1:14" ht="17.5" thickBot="1" x14ac:dyDescent="0.45">
      <c r="A3179" s="4">
        <v>46106</v>
      </c>
      <c r="B3179" s="3">
        <v>180.67</v>
      </c>
      <c r="C3179" s="3">
        <v>489.16</v>
      </c>
      <c r="D3179" s="3">
        <v>119.73</v>
      </c>
      <c r="E3179" s="3">
        <v>1.7430000000000001</v>
      </c>
      <c r="F3179" s="3">
        <v>389.6</v>
      </c>
      <c r="G3179" s="3">
        <v>497.48</v>
      </c>
      <c r="H3179" s="3">
        <v>229.6</v>
      </c>
      <c r="I3179" s="3">
        <v>433.35</v>
      </c>
      <c r="J3179" s="3">
        <v>125.71</v>
      </c>
      <c r="K3179" s="3">
        <v>260.58</v>
      </c>
      <c r="L3179" s="3"/>
      <c r="N3179" s="4"/>
    </row>
    <row r="3180" spans="1:14" ht="17.5" thickBot="1" x14ac:dyDescent="0.45">
      <c r="A3180" s="4">
        <v>46107</v>
      </c>
      <c r="B3180" s="3">
        <v>177.09</v>
      </c>
      <c r="C3180" s="3">
        <v>481.83</v>
      </c>
      <c r="D3180" s="3">
        <v>119.43</v>
      </c>
      <c r="E3180" s="3">
        <v>1.7222</v>
      </c>
      <c r="F3180" s="3">
        <v>383.89</v>
      </c>
      <c r="G3180" s="3">
        <v>487.9</v>
      </c>
      <c r="H3180" s="3">
        <v>226.03</v>
      </c>
      <c r="I3180" s="3">
        <v>425.69</v>
      </c>
      <c r="J3180" s="3">
        <v>125.72</v>
      </c>
      <c r="K3180" s="3">
        <v>257.87</v>
      </c>
      <c r="L3180" s="3"/>
      <c r="N3180" s="4"/>
    </row>
    <row r="3181" spans="1:14" ht="17.5" thickBot="1" x14ac:dyDescent="0.45">
      <c r="A3181" s="4">
        <v>46108</v>
      </c>
      <c r="B3181" s="3">
        <v>177.55</v>
      </c>
      <c r="C3181" s="3">
        <v>478.7</v>
      </c>
      <c r="D3181" s="3">
        <v>119.21</v>
      </c>
      <c r="E3181" s="3">
        <v>1.7088000000000001</v>
      </c>
      <c r="F3181" s="3">
        <v>381.83</v>
      </c>
      <c r="G3181" s="3">
        <v>479.84</v>
      </c>
      <c r="H3181" s="3">
        <v>224.23</v>
      </c>
      <c r="I3181" s="3">
        <v>418.81</v>
      </c>
      <c r="J3181" s="3">
        <v>125.72</v>
      </c>
      <c r="K3181" s="3">
        <v>256.83999999999997</v>
      </c>
      <c r="L3181" s="3"/>
      <c r="N3181" s="4"/>
    </row>
    <row r="3182" spans="1:14" ht="17.5" thickBot="1" x14ac:dyDescent="0.45">
      <c r="A3182" s="4">
        <v>46111</v>
      </c>
      <c r="B3182" s="3">
        <v>176.09</v>
      </c>
      <c r="C3182" s="3">
        <v>470.43</v>
      </c>
      <c r="D3182" s="3">
        <v>119.61</v>
      </c>
      <c r="E3182" s="3">
        <v>1.7057</v>
      </c>
      <c r="F3182" s="3">
        <v>379.15</v>
      </c>
      <c r="G3182" s="3">
        <v>476.38</v>
      </c>
      <c r="H3182" s="3">
        <v>222.83</v>
      </c>
      <c r="I3182" s="3">
        <v>417.61</v>
      </c>
      <c r="J3182" s="3">
        <v>125.74</v>
      </c>
      <c r="K3182" s="3">
        <v>256.17</v>
      </c>
      <c r="L3182" s="3"/>
      <c r="N3182" s="4"/>
    </row>
    <row r="3183" spans="1:14" ht="17.5" thickBot="1" x14ac:dyDescent="0.45">
      <c r="A3183" s="4">
        <v>46112</v>
      </c>
      <c r="B3183" s="3">
        <v>176.63</v>
      </c>
      <c r="C3183" s="3">
        <v>462.5</v>
      </c>
      <c r="D3183" s="3">
        <v>119.86</v>
      </c>
      <c r="E3183" s="3">
        <v>1.7264999999999999</v>
      </c>
      <c r="F3183" s="3">
        <v>380.36</v>
      </c>
      <c r="G3183" s="3">
        <v>491.72</v>
      </c>
      <c r="H3183" s="3">
        <v>224.14</v>
      </c>
      <c r="I3183" s="3">
        <v>429.76</v>
      </c>
      <c r="J3183" s="3">
        <v>125.75</v>
      </c>
      <c r="K3183" s="3">
        <v>256.95999999999998</v>
      </c>
      <c r="L3183" s="3"/>
      <c r="N3183" s="4"/>
    </row>
    <row r="3184" spans="1:14" ht="17.5" thickBot="1" x14ac:dyDescent="0.45">
      <c r="A3184" s="4">
        <v>46113</v>
      </c>
      <c r="B3184" s="3">
        <v>179.92</v>
      </c>
      <c r="C3184" s="3">
        <v>485.15</v>
      </c>
      <c r="D3184" s="3">
        <v>120.08</v>
      </c>
      <c r="E3184" s="3">
        <v>1.7467999999999999</v>
      </c>
      <c r="F3184" s="3">
        <v>391.67</v>
      </c>
      <c r="G3184" s="3">
        <v>495.61</v>
      </c>
      <c r="H3184" s="3">
        <v>230.63</v>
      </c>
      <c r="I3184" s="3">
        <v>432.87</v>
      </c>
      <c r="J3184" s="3">
        <v>125.75</v>
      </c>
      <c r="K3184" s="3">
        <v>261.69</v>
      </c>
      <c r="L3184" s="3"/>
      <c r="N3184" s="4"/>
    </row>
    <row r="3185" spans="1:14" ht="17.5" thickBot="1" x14ac:dyDescent="0.45">
      <c r="A3185" s="4">
        <v>46114</v>
      </c>
      <c r="B3185" s="3">
        <v>178.87</v>
      </c>
      <c r="C3185" s="3">
        <v>476.82</v>
      </c>
      <c r="D3185" s="3">
        <v>119.96</v>
      </c>
      <c r="E3185" s="3">
        <v>1.7425999999999999</v>
      </c>
      <c r="F3185" s="3">
        <v>387.8</v>
      </c>
      <c r="G3185" s="3">
        <v>496.78</v>
      </c>
      <c r="H3185" s="3">
        <v>228.31</v>
      </c>
      <c r="I3185" s="3">
        <v>433.43</v>
      </c>
      <c r="J3185" s="3">
        <v>125.76</v>
      </c>
      <c r="K3185" s="3">
        <v>260.05</v>
      </c>
      <c r="L3185" s="3"/>
      <c r="N3185" s="4"/>
    </row>
    <row r="3186" spans="1:14" ht="17.5" thickBot="1" x14ac:dyDescent="0.45">
      <c r="A3186" s="4">
        <v>46120</v>
      </c>
      <c r="B3186" s="3">
        <v>184.52</v>
      </c>
      <c r="C3186" s="3">
        <v>513.86</v>
      </c>
      <c r="D3186" s="3">
        <v>120.52</v>
      </c>
      <c r="E3186" s="3">
        <v>1.7842</v>
      </c>
      <c r="F3186" s="3">
        <v>404.92</v>
      </c>
      <c r="G3186" s="3">
        <v>513.55999999999995</v>
      </c>
      <c r="H3186" s="3">
        <v>236.31</v>
      </c>
      <c r="I3186" s="3">
        <v>446.32</v>
      </c>
      <c r="J3186" s="3">
        <v>125.8</v>
      </c>
      <c r="K3186" s="3">
        <v>267.27999999999997</v>
      </c>
      <c r="L3186" s="3"/>
      <c r="N3186" s="4"/>
    </row>
    <row r="3187" spans="1:14" ht="17.5" thickBot="1" x14ac:dyDescent="0.45">
      <c r="A3187" s="4">
        <v>46121</v>
      </c>
      <c r="B3187" s="3">
        <v>183.26</v>
      </c>
      <c r="C3187" s="3">
        <v>510.7</v>
      </c>
      <c r="D3187" s="3">
        <v>120.5</v>
      </c>
      <c r="E3187" s="3">
        <v>1.7861</v>
      </c>
      <c r="F3187" s="3">
        <v>403.6</v>
      </c>
      <c r="G3187" s="3">
        <v>516.84</v>
      </c>
      <c r="H3187" s="3">
        <v>235.93</v>
      </c>
      <c r="I3187" s="3">
        <v>448.96</v>
      </c>
      <c r="J3187" s="3">
        <v>125.8</v>
      </c>
      <c r="K3187" s="3">
        <v>266.60000000000002</v>
      </c>
      <c r="L3187" s="3"/>
      <c r="N3187" s="4"/>
    </row>
    <row r="3188" spans="1:14" ht="17.5" thickBot="1" x14ac:dyDescent="0.45">
      <c r="A3188" s="4">
        <v>46122</v>
      </c>
      <c r="B3188" s="3">
        <v>184.27</v>
      </c>
      <c r="C3188" s="3">
        <v>517.07000000000005</v>
      </c>
      <c r="D3188" s="3">
        <v>120.45</v>
      </c>
      <c r="E3188" s="3">
        <v>1.7876000000000001</v>
      </c>
      <c r="F3188" s="3">
        <v>405.92</v>
      </c>
      <c r="G3188" s="3">
        <v>516.64</v>
      </c>
      <c r="H3188" s="3">
        <v>236.56</v>
      </c>
      <c r="I3188" s="3">
        <v>448.68</v>
      </c>
      <c r="J3188" s="3">
        <v>125.81</v>
      </c>
      <c r="K3188" s="3">
        <v>267.42</v>
      </c>
      <c r="L3188" s="3"/>
      <c r="N3188" s="4"/>
    </row>
    <row r="3189" spans="1:14" ht="17.5" thickBot="1" x14ac:dyDescent="0.45">
      <c r="A3189" s="4">
        <v>46125</v>
      </c>
      <c r="B3189" s="3">
        <v>182.81</v>
      </c>
      <c r="C3189" s="3">
        <v>513.21</v>
      </c>
      <c r="D3189" s="3">
        <v>120.48</v>
      </c>
      <c r="E3189" s="3">
        <v>1.7918000000000001</v>
      </c>
      <c r="F3189" s="3">
        <v>404.69</v>
      </c>
      <c r="G3189" s="3">
        <v>522.02</v>
      </c>
      <c r="H3189" s="3">
        <v>236.45</v>
      </c>
      <c r="I3189" s="3">
        <v>453.06</v>
      </c>
      <c r="J3189" s="3">
        <v>125.83</v>
      </c>
      <c r="K3189" s="3">
        <v>266.91000000000003</v>
      </c>
      <c r="L3189" s="3"/>
      <c r="N3189" s="4"/>
    </row>
    <row r="3190" spans="1:14" ht="17.5" thickBot="1" x14ac:dyDescent="0.45">
      <c r="A3190" s="4">
        <v>46126</v>
      </c>
      <c r="B3190" s="3">
        <v>184.5</v>
      </c>
      <c r="C3190" s="3">
        <v>522.13</v>
      </c>
      <c r="D3190" s="3">
        <v>120.84</v>
      </c>
      <c r="E3190" s="3">
        <v>1.8091999999999999</v>
      </c>
      <c r="F3190" s="3">
        <v>410.21</v>
      </c>
      <c r="G3190" s="3">
        <v>528.96</v>
      </c>
      <c r="H3190" s="3">
        <v>238.89</v>
      </c>
      <c r="I3190" s="3">
        <v>458.51</v>
      </c>
      <c r="J3190" s="3">
        <v>125.83</v>
      </c>
      <c r="K3190" s="3">
        <v>269.58999999999997</v>
      </c>
      <c r="L3190" s="3"/>
      <c r="N3190" s="4"/>
    </row>
    <row r="3191" spans="1:14" ht="17.5" thickBot="1" x14ac:dyDescent="0.45">
      <c r="A3191" s="4">
        <v>46127</v>
      </c>
      <c r="B3191" s="3">
        <v>184.84</v>
      </c>
      <c r="C3191" s="3">
        <v>527.38</v>
      </c>
      <c r="D3191" s="3">
        <v>120.91</v>
      </c>
      <c r="E3191" s="3">
        <v>1.8165</v>
      </c>
      <c r="F3191" s="3">
        <v>411.5</v>
      </c>
      <c r="G3191" s="3">
        <v>533.04999999999995</v>
      </c>
      <c r="H3191" s="3">
        <v>239.26</v>
      </c>
      <c r="I3191" s="3">
        <v>462.17</v>
      </c>
      <c r="J3191" s="3">
        <v>125.84</v>
      </c>
      <c r="K3191" s="3">
        <v>270.02</v>
      </c>
      <c r="L3191" s="3"/>
      <c r="N3191" s="4"/>
    </row>
    <row r="3192" spans="1:14" ht="17.5" thickBot="1" x14ac:dyDescent="0.45">
      <c r="A3192" s="4">
        <v>46128</v>
      </c>
      <c r="B3192" s="3">
        <v>188.04</v>
      </c>
      <c r="C3192" s="3">
        <v>533.57000000000005</v>
      </c>
      <c r="D3192" s="3">
        <v>120.72</v>
      </c>
      <c r="E3192" s="3">
        <v>1.8183</v>
      </c>
      <c r="F3192" s="3">
        <v>414.43</v>
      </c>
      <c r="G3192" s="3">
        <v>534.02</v>
      </c>
      <c r="H3192" s="3">
        <v>239.69</v>
      </c>
      <c r="I3192" s="3">
        <v>462.95</v>
      </c>
      <c r="J3192" s="3">
        <v>125.84</v>
      </c>
      <c r="K3192" s="3">
        <v>270.87</v>
      </c>
      <c r="L3192" s="3"/>
      <c r="N3192" s="4"/>
    </row>
    <row r="3193" spans="1:14" ht="17.5" thickBot="1" x14ac:dyDescent="0.45">
      <c r="A3193" s="4">
        <v>46129</v>
      </c>
      <c r="B3193" s="3">
        <v>186.2</v>
      </c>
      <c r="C3193" s="3">
        <v>530.72</v>
      </c>
      <c r="D3193" s="3">
        <v>120.93</v>
      </c>
      <c r="E3193" s="3">
        <v>1.8302</v>
      </c>
      <c r="F3193" s="3">
        <v>415.6</v>
      </c>
      <c r="G3193" s="3">
        <v>541.17999999999995</v>
      </c>
      <c r="H3193" s="3">
        <v>241.08</v>
      </c>
      <c r="I3193" s="3">
        <v>468.46</v>
      </c>
      <c r="J3193" s="3">
        <v>125.85</v>
      </c>
      <c r="K3193" s="3">
        <v>271.89</v>
      </c>
      <c r="L3193" s="3"/>
      <c r="N3193" s="4"/>
    </row>
    <row r="3194" spans="1:14" ht="17.5" thickBot="1" x14ac:dyDescent="0.45">
      <c r="A3194" s="4">
        <v>46132</v>
      </c>
      <c r="B3194" s="3">
        <v>187.75</v>
      </c>
      <c r="C3194" s="3">
        <v>533.25</v>
      </c>
      <c r="D3194" s="3">
        <v>121.03</v>
      </c>
      <c r="E3194" s="3">
        <v>1.8280000000000001</v>
      </c>
      <c r="F3194" s="3">
        <v>415.44</v>
      </c>
      <c r="G3194" s="3">
        <v>540.75</v>
      </c>
      <c r="H3194" s="3">
        <v>240.79</v>
      </c>
      <c r="I3194" s="3">
        <v>467.74</v>
      </c>
      <c r="J3194" s="3">
        <v>125.87</v>
      </c>
      <c r="K3194" s="3">
        <v>271.67</v>
      </c>
      <c r="L3194" s="3"/>
      <c r="N3194" s="4"/>
    </row>
    <row r="3195" spans="1:14" ht="17.5" thickBot="1" x14ac:dyDescent="0.45">
      <c r="A3195" s="4">
        <v>46133</v>
      </c>
      <c r="B3195" s="3">
        <v>188.44</v>
      </c>
      <c r="C3195" s="3">
        <v>539.09</v>
      </c>
      <c r="D3195" s="3">
        <v>120.93</v>
      </c>
      <c r="E3195" s="3">
        <v>1.8221000000000001</v>
      </c>
      <c r="F3195" s="3">
        <v>414.99</v>
      </c>
      <c r="G3195" s="3">
        <v>537.13</v>
      </c>
      <c r="H3195" s="3">
        <v>240.23</v>
      </c>
      <c r="I3195" s="3">
        <v>464.45</v>
      </c>
      <c r="J3195" s="3">
        <v>125.88</v>
      </c>
      <c r="K3195" s="3">
        <v>271.24</v>
      </c>
      <c r="L3195" s="3"/>
      <c r="N3195" s="4"/>
    </row>
    <row r="3196" spans="1:14" ht="17.5" thickBot="1" x14ac:dyDescent="0.45">
      <c r="A3196" s="4">
        <v>46134</v>
      </c>
      <c r="B3196" s="3">
        <v>186.34</v>
      </c>
      <c r="C3196" s="3">
        <v>538.1</v>
      </c>
      <c r="D3196" s="3">
        <v>120.92</v>
      </c>
      <c r="E3196" s="3">
        <v>1.8274999999999999</v>
      </c>
      <c r="F3196" s="3">
        <v>414.36</v>
      </c>
      <c r="G3196" s="3">
        <v>543.04</v>
      </c>
      <c r="H3196" s="3">
        <v>240.34</v>
      </c>
      <c r="I3196" s="3">
        <v>469.29</v>
      </c>
      <c r="J3196" s="3">
        <v>125.88</v>
      </c>
      <c r="K3196" s="3">
        <v>270.94</v>
      </c>
      <c r="L3196" s="3"/>
      <c r="N3196" s="4"/>
    </row>
    <row r="3197" spans="1:14" ht="17.5" thickBot="1" x14ac:dyDescent="0.45">
      <c r="A3197" s="4">
        <v>46135</v>
      </c>
      <c r="B3197" s="3">
        <v>184.51</v>
      </c>
      <c r="C3197" s="3">
        <v>535.53</v>
      </c>
      <c r="D3197" s="3">
        <v>120.8</v>
      </c>
      <c r="E3197" s="3">
        <v>1.8220000000000001</v>
      </c>
      <c r="F3197" s="3">
        <v>412.17</v>
      </c>
      <c r="G3197" s="3">
        <v>540.82000000000005</v>
      </c>
      <c r="H3197" s="3">
        <v>239.67</v>
      </c>
      <c r="I3197" s="3">
        <v>467.47</v>
      </c>
      <c r="J3197" s="3">
        <v>125.89</v>
      </c>
      <c r="K3197" s="3">
        <v>269.95999999999998</v>
      </c>
      <c r="L3197" s="3"/>
      <c r="N3197" s="4"/>
    </row>
    <row r="3198" spans="1:14" ht="17.5" thickBot="1" x14ac:dyDescent="0.45">
      <c r="A3198" s="4">
        <v>46136</v>
      </c>
      <c r="B3198" s="3">
        <v>184.93</v>
      </c>
      <c r="C3198" s="3">
        <v>540.22</v>
      </c>
      <c r="D3198" s="3">
        <v>120.85</v>
      </c>
      <c r="E3198" s="3">
        <v>1.8281000000000001</v>
      </c>
      <c r="F3198" s="3">
        <v>413.36</v>
      </c>
      <c r="G3198" s="3">
        <v>546.20000000000005</v>
      </c>
      <c r="H3198" s="3">
        <v>240.34</v>
      </c>
      <c r="I3198" s="3">
        <v>471.19</v>
      </c>
      <c r="J3198" s="3">
        <v>125.89</v>
      </c>
      <c r="K3198" s="3">
        <v>270.45999999999998</v>
      </c>
      <c r="L3198" s="3"/>
      <c r="N3198" s="4"/>
    </row>
    <row r="3199" spans="1:14" ht="17.5" thickBot="1" x14ac:dyDescent="0.45">
      <c r="A3199" s="4">
        <v>46139</v>
      </c>
      <c r="B3199" s="3">
        <v>184.78</v>
      </c>
      <c r="C3199" s="3">
        <v>546.24</v>
      </c>
      <c r="D3199" s="3">
        <v>120.87</v>
      </c>
      <c r="E3199" s="3">
        <v>1.8304</v>
      </c>
      <c r="F3199" s="3">
        <v>414.62</v>
      </c>
      <c r="G3199" s="3">
        <v>546.69000000000005</v>
      </c>
      <c r="H3199" s="3">
        <v>240.84</v>
      </c>
      <c r="I3199" s="3">
        <v>472</v>
      </c>
      <c r="J3199" s="3">
        <v>125.91</v>
      </c>
      <c r="K3199" s="3">
        <v>270.83999999999997</v>
      </c>
      <c r="L3199" s="3"/>
      <c r="N3199" s="4"/>
    </row>
    <row r="3200" spans="1:14" ht="17.5" thickBot="1" x14ac:dyDescent="0.45">
      <c r="A3200" s="4">
        <v>46140</v>
      </c>
      <c r="B3200" s="3">
        <v>182.89</v>
      </c>
      <c r="C3200" s="3">
        <v>543.30999999999995</v>
      </c>
      <c r="D3200" s="3">
        <v>120.73</v>
      </c>
      <c r="E3200" s="3">
        <v>1.8243</v>
      </c>
      <c r="F3200" s="3">
        <v>412.71</v>
      </c>
      <c r="G3200" s="3">
        <v>542.03</v>
      </c>
      <c r="H3200" s="3">
        <v>239.84</v>
      </c>
      <c r="I3200" s="3">
        <v>469.62</v>
      </c>
      <c r="J3200" s="3">
        <v>125.92</v>
      </c>
      <c r="K3200" s="3">
        <v>269.88</v>
      </c>
      <c r="L3200" s="3"/>
      <c r="N3200" s="4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BF5B2-888F-47BF-BB8B-6317CBFAB829}">
  <dimension ref="A1:K109"/>
  <sheetViews>
    <sheetView workbookViewId="0">
      <selection activeCell="L4" sqref="L4"/>
    </sheetView>
  </sheetViews>
  <sheetFormatPr defaultRowHeight="17" x14ac:dyDescent="0.4"/>
  <cols>
    <col min="1" max="1" width="13.7265625" bestFit="1" customWidth="1"/>
    <col min="2" max="2" width="12.6328125" bestFit="1" customWidth="1"/>
    <col min="3" max="5" width="17.54296875" bestFit="1" customWidth="1"/>
    <col min="6" max="6" width="12.6328125" bestFit="1" customWidth="1"/>
    <col min="7" max="7" width="17.54296875" bestFit="1" customWidth="1"/>
    <col min="8" max="8" width="27.36328125" bestFit="1" customWidth="1"/>
    <col min="9" max="9" width="12.6328125" bestFit="1" customWidth="1"/>
    <col min="10" max="10" width="20" bestFit="1" customWidth="1"/>
    <col min="11" max="11" width="12.6328125" bestFit="1" customWidth="1"/>
  </cols>
  <sheetData>
    <row r="1" spans="1:11" x14ac:dyDescent="0.4">
      <c r="A1" s="6" t="s">
        <v>11</v>
      </c>
      <c r="B1" t="s">
        <v>12</v>
      </c>
      <c r="C1" t="s">
        <v>13</v>
      </c>
      <c r="D1" t="s">
        <v>14</v>
      </c>
      <c r="E1" t="s">
        <v>3</v>
      </c>
      <c r="F1" t="s">
        <v>15</v>
      </c>
      <c r="G1" t="s">
        <v>16</v>
      </c>
      <c r="H1" t="s">
        <v>17</v>
      </c>
      <c r="I1" t="s">
        <v>7</v>
      </c>
      <c r="J1" t="s">
        <v>8</v>
      </c>
      <c r="K1" t="s">
        <v>9</v>
      </c>
    </row>
    <row r="2" spans="1:11" x14ac:dyDescent="0.4">
      <c r="A2" s="6">
        <v>42859</v>
      </c>
      <c r="B2">
        <v>144.61000000000001</v>
      </c>
      <c r="C2">
        <v>216.84</v>
      </c>
      <c r="D2">
        <v>104.39</v>
      </c>
      <c r="E2">
        <v>1.0114000000000001</v>
      </c>
      <c r="F2">
        <v>222.43</v>
      </c>
      <c r="G2">
        <v>200.95</v>
      </c>
      <c r="H2">
        <v>161.12</v>
      </c>
      <c r="I2">
        <v>173.67</v>
      </c>
      <c r="J2">
        <v>111.62</v>
      </c>
      <c r="K2">
        <v>195.66</v>
      </c>
    </row>
    <row r="3" spans="1:11" x14ac:dyDescent="0.4">
      <c r="A3" s="6">
        <v>42887</v>
      </c>
      <c r="B3">
        <v>151.11000000000001</v>
      </c>
      <c r="C3">
        <v>220.01</v>
      </c>
      <c r="D3">
        <v>105.71</v>
      </c>
      <c r="E3">
        <v>1.0248999999999999</v>
      </c>
      <c r="F3">
        <v>229.67</v>
      </c>
      <c r="G3">
        <v>204.46</v>
      </c>
      <c r="H3">
        <v>165.13</v>
      </c>
      <c r="I3">
        <v>175.67</v>
      </c>
      <c r="J3">
        <v>111.63</v>
      </c>
      <c r="K3">
        <v>199.45</v>
      </c>
    </row>
    <row r="4" spans="1:11" x14ac:dyDescent="0.4">
      <c r="A4" s="6">
        <v>42917</v>
      </c>
      <c r="B4">
        <v>151.94</v>
      </c>
      <c r="C4">
        <v>225.28</v>
      </c>
      <c r="D4">
        <v>106.03</v>
      </c>
      <c r="E4">
        <v>1.0228999999999999</v>
      </c>
      <c r="F4">
        <v>230.71</v>
      </c>
      <c r="G4">
        <v>203.96</v>
      </c>
      <c r="H4">
        <v>165.89</v>
      </c>
      <c r="I4">
        <v>175.58</v>
      </c>
      <c r="J4">
        <v>111.64</v>
      </c>
      <c r="K4">
        <v>199.99</v>
      </c>
    </row>
    <row r="5" spans="1:11" x14ac:dyDescent="0.4">
      <c r="A5" s="6">
        <v>42948</v>
      </c>
      <c r="B5">
        <v>163.18</v>
      </c>
      <c r="C5">
        <v>237.06</v>
      </c>
      <c r="D5">
        <v>107.27</v>
      </c>
      <c r="E5">
        <v>1.0436000000000001</v>
      </c>
      <c r="F5">
        <v>240.94</v>
      </c>
      <c r="G5">
        <v>210.6</v>
      </c>
      <c r="H5">
        <v>171.77</v>
      </c>
      <c r="I5">
        <v>181.73</v>
      </c>
      <c r="J5">
        <v>111.65</v>
      </c>
      <c r="K5">
        <v>205.23</v>
      </c>
    </row>
    <row r="6" spans="1:11" x14ac:dyDescent="0.4">
      <c r="A6" s="6">
        <v>42979</v>
      </c>
      <c r="B6">
        <v>166.4</v>
      </c>
      <c r="C6">
        <v>234.42</v>
      </c>
      <c r="D6">
        <v>107.95</v>
      </c>
      <c r="E6">
        <v>1.0472999999999999</v>
      </c>
      <c r="F6">
        <v>243.17</v>
      </c>
      <c r="G6">
        <v>210.06</v>
      </c>
      <c r="H6">
        <v>173.27</v>
      </c>
      <c r="I6">
        <v>183.86</v>
      </c>
      <c r="J6">
        <v>111.66</v>
      </c>
      <c r="K6">
        <v>206.59</v>
      </c>
    </row>
    <row r="7" spans="1:11" x14ac:dyDescent="0.4">
      <c r="A7" s="6">
        <v>43009</v>
      </c>
      <c r="B7">
        <v>163.63999999999999</v>
      </c>
      <c r="C7">
        <v>230.7</v>
      </c>
      <c r="D7">
        <v>106.97</v>
      </c>
      <c r="E7">
        <v>1.0537000000000001</v>
      </c>
      <c r="F7">
        <v>244.68</v>
      </c>
      <c r="G7">
        <v>213.91</v>
      </c>
      <c r="H7">
        <v>174.18</v>
      </c>
      <c r="I7">
        <v>186.1</v>
      </c>
      <c r="J7">
        <v>111.67</v>
      </c>
      <c r="K7">
        <v>206.79</v>
      </c>
    </row>
    <row r="8" spans="1:11" x14ac:dyDescent="0.4">
      <c r="A8" s="6">
        <v>43040</v>
      </c>
      <c r="B8">
        <v>170.83</v>
      </c>
      <c r="C8">
        <v>244.01</v>
      </c>
      <c r="D8">
        <v>106.54</v>
      </c>
      <c r="E8">
        <v>1.069</v>
      </c>
      <c r="F8">
        <v>252.96</v>
      </c>
      <c r="G8">
        <v>217.7</v>
      </c>
      <c r="H8">
        <v>179.47</v>
      </c>
      <c r="I8">
        <v>188.23</v>
      </c>
      <c r="J8">
        <v>111.68</v>
      </c>
      <c r="K8">
        <v>210.97</v>
      </c>
    </row>
    <row r="9" spans="1:11" x14ac:dyDescent="0.4">
      <c r="A9" s="6">
        <v>43070</v>
      </c>
      <c r="B9">
        <v>172.79</v>
      </c>
      <c r="C9">
        <v>239.77</v>
      </c>
      <c r="D9">
        <v>107.68</v>
      </c>
      <c r="E9">
        <v>1.079</v>
      </c>
      <c r="F9">
        <v>254.36</v>
      </c>
      <c r="G9">
        <v>224.34</v>
      </c>
      <c r="H9">
        <v>180.81</v>
      </c>
      <c r="I9">
        <v>191.4</v>
      </c>
      <c r="J9">
        <v>111.69</v>
      </c>
      <c r="K9">
        <v>212.3</v>
      </c>
    </row>
    <row r="10" spans="1:11" x14ac:dyDescent="0.4">
      <c r="A10" s="6">
        <v>43101</v>
      </c>
      <c r="B10">
        <v>176.9</v>
      </c>
      <c r="C10">
        <v>247.49</v>
      </c>
      <c r="D10">
        <v>108.73</v>
      </c>
      <c r="E10">
        <v>1.0903</v>
      </c>
      <c r="F10">
        <v>260.8</v>
      </c>
      <c r="G10">
        <v>227.14</v>
      </c>
      <c r="H10">
        <v>184.8</v>
      </c>
      <c r="I10">
        <v>194.89</v>
      </c>
      <c r="J10">
        <v>111.7</v>
      </c>
      <c r="K10">
        <v>215.26</v>
      </c>
    </row>
    <row r="11" spans="1:11" x14ac:dyDescent="0.4">
      <c r="A11" s="6">
        <v>43132</v>
      </c>
      <c r="B11">
        <v>195.12</v>
      </c>
      <c r="C11">
        <v>258.25</v>
      </c>
      <c r="D11">
        <v>109.59</v>
      </c>
      <c r="E11">
        <v>1.1224000000000001</v>
      </c>
      <c r="F11">
        <v>277.3</v>
      </c>
      <c r="G11">
        <v>239.13</v>
      </c>
      <c r="H11">
        <v>195.44</v>
      </c>
      <c r="I11">
        <v>208.73</v>
      </c>
      <c r="J11">
        <v>111.71</v>
      </c>
      <c r="K11">
        <v>223.17</v>
      </c>
    </row>
    <row r="12" spans="1:11" x14ac:dyDescent="0.4">
      <c r="A12" s="6">
        <v>43160</v>
      </c>
      <c r="B12">
        <v>184.48</v>
      </c>
      <c r="C12">
        <v>247.66</v>
      </c>
      <c r="D12">
        <v>108.61</v>
      </c>
      <c r="E12">
        <v>1.0882000000000001</v>
      </c>
      <c r="F12">
        <v>263.47000000000003</v>
      </c>
      <c r="G12">
        <v>227.58</v>
      </c>
      <c r="H12">
        <v>186.72</v>
      </c>
      <c r="I12">
        <v>198.49</v>
      </c>
      <c r="J12">
        <v>111.72</v>
      </c>
      <c r="K12">
        <v>216.4</v>
      </c>
    </row>
    <row r="13" spans="1:11" x14ac:dyDescent="0.4">
      <c r="A13" s="6">
        <v>43191</v>
      </c>
      <c r="B13">
        <v>178.8</v>
      </c>
      <c r="C13">
        <v>243.67</v>
      </c>
      <c r="D13">
        <v>109.39</v>
      </c>
      <c r="E13">
        <v>1.0862000000000001</v>
      </c>
      <c r="F13">
        <v>259.01</v>
      </c>
      <c r="G13">
        <v>224.24</v>
      </c>
      <c r="H13">
        <v>183.96</v>
      </c>
      <c r="I13">
        <v>196.55</v>
      </c>
      <c r="J13">
        <v>111.73</v>
      </c>
      <c r="K13">
        <v>214.85</v>
      </c>
    </row>
    <row r="14" spans="1:11" x14ac:dyDescent="0.4">
      <c r="A14" s="6">
        <v>43221</v>
      </c>
      <c r="B14">
        <v>183.38</v>
      </c>
      <c r="C14">
        <v>249.4</v>
      </c>
      <c r="D14">
        <v>107.85</v>
      </c>
      <c r="E14">
        <v>1.0900000000000001</v>
      </c>
      <c r="F14">
        <v>261.73</v>
      </c>
      <c r="G14">
        <v>226.3</v>
      </c>
      <c r="H14">
        <v>185.46</v>
      </c>
      <c r="I14">
        <v>195.87</v>
      </c>
      <c r="J14">
        <v>111.74</v>
      </c>
      <c r="K14">
        <v>214.93</v>
      </c>
    </row>
    <row r="15" spans="1:11" x14ac:dyDescent="0.4">
      <c r="A15" s="6">
        <v>43252</v>
      </c>
      <c r="B15">
        <v>182.09</v>
      </c>
      <c r="C15">
        <v>247.85</v>
      </c>
      <c r="D15">
        <v>107.51</v>
      </c>
      <c r="E15">
        <v>1.0941000000000001</v>
      </c>
      <c r="F15">
        <v>261.44</v>
      </c>
      <c r="G15">
        <v>234.2</v>
      </c>
      <c r="H15">
        <v>185.16</v>
      </c>
      <c r="I15">
        <v>194.83</v>
      </c>
      <c r="J15">
        <v>111.75</v>
      </c>
      <c r="K15">
        <v>213.76</v>
      </c>
    </row>
    <row r="16" spans="1:11" x14ac:dyDescent="0.4">
      <c r="A16" s="6">
        <v>43282</v>
      </c>
      <c r="B16">
        <v>172.16</v>
      </c>
      <c r="C16">
        <v>239.75</v>
      </c>
      <c r="D16">
        <v>105.98</v>
      </c>
      <c r="E16">
        <v>1.0859000000000001</v>
      </c>
      <c r="F16">
        <v>252.9</v>
      </c>
      <c r="G16">
        <v>229.73</v>
      </c>
      <c r="H16">
        <v>178.91</v>
      </c>
      <c r="I16">
        <v>191.99</v>
      </c>
      <c r="J16">
        <v>111.84</v>
      </c>
      <c r="K16">
        <v>209.1</v>
      </c>
    </row>
    <row r="17" spans="1:11" x14ac:dyDescent="0.4">
      <c r="A17" s="6">
        <v>43313</v>
      </c>
      <c r="B17">
        <v>170.32</v>
      </c>
      <c r="C17">
        <v>247.38</v>
      </c>
      <c r="D17">
        <v>106.11</v>
      </c>
      <c r="E17">
        <v>1.1019000000000001</v>
      </c>
      <c r="F17">
        <v>255.12</v>
      </c>
      <c r="G17">
        <v>237.45</v>
      </c>
      <c r="H17">
        <v>180.6</v>
      </c>
      <c r="I17">
        <v>200.96</v>
      </c>
      <c r="J17">
        <v>111.89</v>
      </c>
      <c r="K17">
        <v>209.91</v>
      </c>
    </row>
    <row r="18" spans="1:11" x14ac:dyDescent="0.4">
      <c r="A18" s="6">
        <v>43344</v>
      </c>
      <c r="B18">
        <v>168.33</v>
      </c>
      <c r="C18">
        <v>243.68</v>
      </c>
      <c r="D18">
        <v>106.42</v>
      </c>
      <c r="E18">
        <v>1.1095999999999999</v>
      </c>
      <c r="F18">
        <v>253.45</v>
      </c>
      <c r="G18">
        <v>244.92</v>
      </c>
      <c r="H18">
        <v>179.59</v>
      </c>
      <c r="I18">
        <v>203.37</v>
      </c>
      <c r="J18">
        <v>112.02</v>
      </c>
      <c r="K18">
        <v>209.14</v>
      </c>
    </row>
    <row r="19" spans="1:11" x14ac:dyDescent="0.4">
      <c r="A19" s="6">
        <v>43374</v>
      </c>
      <c r="B19">
        <v>168.69</v>
      </c>
      <c r="C19">
        <v>237.67</v>
      </c>
      <c r="D19">
        <v>105.72</v>
      </c>
      <c r="E19">
        <v>1.1079000000000001</v>
      </c>
      <c r="F19">
        <v>253.06</v>
      </c>
      <c r="G19">
        <v>246.12</v>
      </c>
      <c r="H19">
        <v>179.37</v>
      </c>
      <c r="I19">
        <v>204.87</v>
      </c>
      <c r="J19">
        <v>112.09</v>
      </c>
      <c r="K19">
        <v>208.33</v>
      </c>
    </row>
    <row r="20" spans="1:11" x14ac:dyDescent="0.4">
      <c r="A20" s="6">
        <v>43405</v>
      </c>
      <c r="B20">
        <v>155.28</v>
      </c>
      <c r="C20">
        <v>217.03</v>
      </c>
      <c r="D20">
        <v>105.28</v>
      </c>
      <c r="E20">
        <v>1.0640000000000001</v>
      </c>
      <c r="F20">
        <v>234.06</v>
      </c>
      <c r="G20">
        <v>231.01</v>
      </c>
      <c r="H20">
        <v>168.1</v>
      </c>
      <c r="I20">
        <v>198.18</v>
      </c>
      <c r="J20">
        <v>112.23</v>
      </c>
      <c r="K20">
        <v>198.48</v>
      </c>
    </row>
    <row r="21" spans="1:11" x14ac:dyDescent="0.4">
      <c r="A21" s="6">
        <v>43435</v>
      </c>
      <c r="B21">
        <v>161.82</v>
      </c>
      <c r="C21">
        <v>219.97</v>
      </c>
      <c r="D21">
        <v>106.59</v>
      </c>
      <c r="E21">
        <v>1.0676000000000001</v>
      </c>
      <c r="F21">
        <v>235.77</v>
      </c>
      <c r="G21">
        <v>229.49</v>
      </c>
      <c r="H21">
        <v>169.15</v>
      </c>
      <c r="I21">
        <v>197</v>
      </c>
      <c r="J21">
        <v>112.34</v>
      </c>
      <c r="K21">
        <v>199.16</v>
      </c>
    </row>
    <row r="22" spans="1:11" x14ac:dyDescent="0.4">
      <c r="A22" s="6">
        <v>43466</v>
      </c>
      <c r="B22">
        <v>156.97999999999999</v>
      </c>
      <c r="C22">
        <v>215.39</v>
      </c>
      <c r="D22">
        <v>107.99</v>
      </c>
      <c r="E22">
        <v>1.0290999999999999</v>
      </c>
      <c r="F22">
        <v>224.94</v>
      </c>
      <c r="G22">
        <v>208.53</v>
      </c>
      <c r="H22">
        <v>163.57</v>
      </c>
      <c r="I22">
        <v>181.44</v>
      </c>
      <c r="J22">
        <v>112.45</v>
      </c>
      <c r="K22">
        <v>195.19</v>
      </c>
    </row>
    <row r="23" spans="1:11" x14ac:dyDescent="0.4">
      <c r="A23" s="6">
        <v>43497</v>
      </c>
      <c r="B23">
        <v>169.63</v>
      </c>
      <c r="C23">
        <v>225.87</v>
      </c>
      <c r="D23">
        <v>110.13</v>
      </c>
      <c r="E23">
        <v>1.0783</v>
      </c>
      <c r="F23">
        <v>240.29</v>
      </c>
      <c r="G23">
        <v>224.89</v>
      </c>
      <c r="H23">
        <v>173.41</v>
      </c>
      <c r="I23">
        <v>198.34</v>
      </c>
      <c r="J23">
        <v>112.61</v>
      </c>
      <c r="K23">
        <v>204.26</v>
      </c>
    </row>
    <row r="24" spans="1:11" x14ac:dyDescent="0.4">
      <c r="A24" s="6">
        <v>43525</v>
      </c>
      <c r="B24">
        <v>175.71</v>
      </c>
      <c r="C24">
        <v>228.74</v>
      </c>
      <c r="D24">
        <v>109.7</v>
      </c>
      <c r="E24">
        <v>1.0968</v>
      </c>
      <c r="F24">
        <v>246.87</v>
      </c>
      <c r="G24">
        <v>233.22</v>
      </c>
      <c r="H24">
        <v>177.23</v>
      </c>
      <c r="I24">
        <v>202.08</v>
      </c>
      <c r="J24">
        <v>112.68</v>
      </c>
      <c r="K24">
        <v>207.29</v>
      </c>
    </row>
    <row r="25" spans="1:11" x14ac:dyDescent="0.4">
      <c r="A25" s="6">
        <v>43556</v>
      </c>
      <c r="B25">
        <v>179.66</v>
      </c>
      <c r="C25">
        <v>233.48</v>
      </c>
      <c r="D25">
        <v>111.1</v>
      </c>
      <c r="E25">
        <v>1.1151</v>
      </c>
      <c r="F25">
        <v>251.12</v>
      </c>
      <c r="G25">
        <v>235.16</v>
      </c>
      <c r="H25">
        <v>180.33</v>
      </c>
      <c r="I25">
        <v>205.62</v>
      </c>
      <c r="J25">
        <v>112.75</v>
      </c>
      <c r="K25">
        <v>210.53</v>
      </c>
    </row>
    <row r="26" spans="1:11" x14ac:dyDescent="0.4">
      <c r="A26" s="6">
        <v>43586</v>
      </c>
      <c r="B26">
        <v>180.02</v>
      </c>
      <c r="C26">
        <v>234.58</v>
      </c>
      <c r="D26">
        <v>110.04</v>
      </c>
      <c r="E26">
        <v>1.1294</v>
      </c>
      <c r="F26">
        <v>253.05</v>
      </c>
      <c r="G26">
        <v>238.61</v>
      </c>
      <c r="H26">
        <v>181.53</v>
      </c>
      <c r="I26">
        <v>209.57</v>
      </c>
      <c r="J26">
        <v>112.88</v>
      </c>
      <c r="K26">
        <v>211.56</v>
      </c>
    </row>
    <row r="27" spans="1:11" x14ac:dyDescent="0.4">
      <c r="A27" s="6">
        <v>43617</v>
      </c>
      <c r="B27">
        <v>164.52</v>
      </c>
      <c r="C27">
        <v>223.2</v>
      </c>
      <c r="D27">
        <v>110.43</v>
      </c>
      <c r="E27">
        <v>1.0952</v>
      </c>
      <c r="F27">
        <v>237.77</v>
      </c>
      <c r="G27">
        <v>222.8</v>
      </c>
      <c r="H27">
        <v>172.93</v>
      </c>
      <c r="I27">
        <v>197.38</v>
      </c>
      <c r="J27">
        <v>112.94</v>
      </c>
      <c r="K27">
        <v>204.73</v>
      </c>
    </row>
    <row r="28" spans="1:11" x14ac:dyDescent="0.4">
      <c r="A28" s="6">
        <v>43647</v>
      </c>
      <c r="B28">
        <v>174.78</v>
      </c>
      <c r="C28">
        <v>233.4</v>
      </c>
      <c r="D28">
        <v>112.66</v>
      </c>
      <c r="E28">
        <v>1.1398999999999999</v>
      </c>
      <c r="F28">
        <v>250.06</v>
      </c>
      <c r="G28">
        <v>237.08</v>
      </c>
      <c r="H28">
        <v>180.95</v>
      </c>
      <c r="I28">
        <v>209.18</v>
      </c>
      <c r="J28">
        <v>113.09</v>
      </c>
      <c r="K28">
        <v>212.46</v>
      </c>
    </row>
    <row r="29" spans="1:11" x14ac:dyDescent="0.4">
      <c r="A29" s="6">
        <v>43678</v>
      </c>
      <c r="B29">
        <v>170.2</v>
      </c>
      <c r="C29">
        <v>229.49</v>
      </c>
      <c r="D29">
        <v>112.49</v>
      </c>
      <c r="E29">
        <v>1.1425000000000001</v>
      </c>
      <c r="F29">
        <v>247.16</v>
      </c>
      <c r="G29">
        <v>237.19</v>
      </c>
      <c r="H29">
        <v>179.22</v>
      </c>
      <c r="I29">
        <v>208.8</v>
      </c>
      <c r="J29">
        <v>113.14</v>
      </c>
      <c r="K29">
        <v>211.08</v>
      </c>
    </row>
    <row r="30" spans="1:11" x14ac:dyDescent="0.4">
      <c r="A30" s="6">
        <v>43709</v>
      </c>
      <c r="B30">
        <v>159.77000000000001</v>
      </c>
      <c r="C30">
        <v>221.17</v>
      </c>
      <c r="D30">
        <v>113.8</v>
      </c>
      <c r="E30">
        <v>1.1409</v>
      </c>
      <c r="F30">
        <v>240.29</v>
      </c>
      <c r="G30">
        <v>232.91</v>
      </c>
      <c r="H30">
        <v>175.6</v>
      </c>
      <c r="I30">
        <v>205.23</v>
      </c>
      <c r="J30">
        <v>113.28</v>
      </c>
      <c r="K30">
        <v>209.03</v>
      </c>
    </row>
    <row r="31" spans="1:11" x14ac:dyDescent="0.4">
      <c r="A31" s="6">
        <v>43739</v>
      </c>
      <c r="B31">
        <v>162.24</v>
      </c>
      <c r="C31">
        <v>228.91</v>
      </c>
      <c r="D31">
        <v>113.55</v>
      </c>
      <c r="E31">
        <v>1.1538999999999999</v>
      </c>
      <c r="F31">
        <v>244.18</v>
      </c>
      <c r="G31">
        <v>237.6</v>
      </c>
      <c r="H31">
        <v>177.32</v>
      </c>
      <c r="I31">
        <v>209.27</v>
      </c>
      <c r="J31">
        <v>113.41</v>
      </c>
      <c r="K31">
        <v>210.1</v>
      </c>
    </row>
    <row r="32" spans="1:11" x14ac:dyDescent="0.4">
      <c r="A32" s="6">
        <v>43770</v>
      </c>
      <c r="B32">
        <v>168.89</v>
      </c>
      <c r="C32">
        <v>239.26</v>
      </c>
      <c r="D32">
        <v>114.03</v>
      </c>
      <c r="E32">
        <v>1.1744000000000001</v>
      </c>
      <c r="F32">
        <v>252.75</v>
      </c>
      <c r="G32">
        <v>243.81</v>
      </c>
      <c r="H32">
        <v>182.52</v>
      </c>
      <c r="I32">
        <v>217.12</v>
      </c>
      <c r="J32">
        <v>113.54</v>
      </c>
      <c r="K32">
        <v>214.86</v>
      </c>
    </row>
    <row r="33" spans="1:11" x14ac:dyDescent="0.4">
      <c r="A33" s="6">
        <v>43800</v>
      </c>
      <c r="B33">
        <v>163.92</v>
      </c>
      <c r="C33">
        <v>238.1</v>
      </c>
      <c r="D33">
        <v>113.41</v>
      </c>
      <c r="E33">
        <v>1.1835</v>
      </c>
      <c r="F33">
        <v>252.51</v>
      </c>
      <c r="G33">
        <v>249.57</v>
      </c>
      <c r="H33">
        <v>182.15</v>
      </c>
      <c r="I33">
        <v>218.37</v>
      </c>
      <c r="J33">
        <v>113.61</v>
      </c>
      <c r="K33">
        <v>213.91</v>
      </c>
    </row>
    <row r="34" spans="1:11" x14ac:dyDescent="0.4">
      <c r="A34" s="6">
        <v>43831</v>
      </c>
      <c r="B34">
        <v>176.1</v>
      </c>
      <c r="C34">
        <v>249.08</v>
      </c>
      <c r="D34">
        <v>113.8</v>
      </c>
      <c r="E34">
        <v>1.2012</v>
      </c>
      <c r="F34">
        <v>262.04000000000002</v>
      </c>
      <c r="G34">
        <v>254.75</v>
      </c>
      <c r="H34">
        <v>188.78</v>
      </c>
      <c r="I34">
        <v>225.94</v>
      </c>
      <c r="J34">
        <v>113.74</v>
      </c>
      <c r="K34">
        <v>218.82</v>
      </c>
    </row>
    <row r="35" spans="1:11" x14ac:dyDescent="0.4">
      <c r="A35" s="6">
        <v>43862</v>
      </c>
      <c r="B35">
        <v>163.32</v>
      </c>
      <c r="C35">
        <v>238.98</v>
      </c>
      <c r="D35">
        <v>114</v>
      </c>
      <c r="E35">
        <v>1.2003999999999999</v>
      </c>
      <c r="F35">
        <v>253.67</v>
      </c>
      <c r="G35">
        <v>253.5</v>
      </c>
      <c r="H35">
        <v>182.84</v>
      </c>
      <c r="I35">
        <v>221.96</v>
      </c>
      <c r="J35">
        <v>113.87</v>
      </c>
      <c r="K35">
        <v>215.64</v>
      </c>
    </row>
    <row r="36" spans="1:11" x14ac:dyDescent="0.4">
      <c r="A36" s="6">
        <v>43891</v>
      </c>
      <c r="B36">
        <v>163.30000000000001</v>
      </c>
      <c r="C36">
        <v>221.22</v>
      </c>
      <c r="D36">
        <v>114.22</v>
      </c>
      <c r="E36">
        <v>1.1520999999999999</v>
      </c>
      <c r="F36">
        <v>241.03</v>
      </c>
      <c r="G36">
        <v>232.7</v>
      </c>
      <c r="H36">
        <v>174.78</v>
      </c>
      <c r="I36">
        <v>202.69</v>
      </c>
      <c r="J36">
        <v>113.94</v>
      </c>
      <c r="K36">
        <v>210.02</v>
      </c>
    </row>
    <row r="37" spans="1:11" x14ac:dyDescent="0.4">
      <c r="A37" s="6">
        <v>43922</v>
      </c>
      <c r="B37">
        <v>144.69999999999999</v>
      </c>
      <c r="C37">
        <v>177.94</v>
      </c>
      <c r="D37">
        <v>111.15</v>
      </c>
      <c r="E37">
        <v>1.0364</v>
      </c>
      <c r="F37">
        <v>207.76</v>
      </c>
      <c r="G37">
        <v>192.86</v>
      </c>
      <c r="H37">
        <v>156.81</v>
      </c>
      <c r="I37">
        <v>161.07</v>
      </c>
      <c r="J37">
        <v>114.07</v>
      </c>
      <c r="K37">
        <v>190.87</v>
      </c>
    </row>
    <row r="38" spans="1:11" x14ac:dyDescent="0.4">
      <c r="A38" s="6">
        <v>43952</v>
      </c>
      <c r="B38">
        <v>154.19</v>
      </c>
      <c r="C38">
        <v>200.17</v>
      </c>
      <c r="D38">
        <v>113.91</v>
      </c>
      <c r="E38">
        <v>1.1336999999999999</v>
      </c>
      <c r="F38">
        <v>228.78</v>
      </c>
      <c r="G38">
        <v>230.71</v>
      </c>
      <c r="H38">
        <v>165.65</v>
      </c>
      <c r="I38">
        <v>190.7</v>
      </c>
      <c r="J38">
        <v>114.13</v>
      </c>
      <c r="K38">
        <v>202.72</v>
      </c>
    </row>
    <row r="39" spans="1:11" x14ac:dyDescent="0.4">
      <c r="A39" s="6">
        <v>43983</v>
      </c>
      <c r="B39">
        <v>149.86000000000001</v>
      </c>
      <c r="C39">
        <v>214.13</v>
      </c>
      <c r="D39">
        <v>115.48</v>
      </c>
      <c r="E39">
        <v>1.1646000000000001</v>
      </c>
      <c r="F39">
        <v>237.63</v>
      </c>
      <c r="G39">
        <v>239.63</v>
      </c>
      <c r="H39">
        <v>170.5</v>
      </c>
      <c r="I39">
        <v>199.01</v>
      </c>
      <c r="J39">
        <v>114.14</v>
      </c>
      <c r="K39">
        <v>207.84</v>
      </c>
    </row>
    <row r="40" spans="1:11" x14ac:dyDescent="0.4">
      <c r="A40" s="6">
        <v>44013</v>
      </c>
      <c r="B40">
        <v>154.4</v>
      </c>
      <c r="C40">
        <v>223.61</v>
      </c>
      <c r="D40">
        <v>116.78</v>
      </c>
      <c r="E40">
        <v>1.1819</v>
      </c>
      <c r="F40">
        <v>245.71</v>
      </c>
      <c r="G40">
        <v>243.91</v>
      </c>
      <c r="H40">
        <v>175.14</v>
      </c>
      <c r="I40">
        <v>202.06</v>
      </c>
      <c r="J40">
        <v>114.19</v>
      </c>
      <c r="K40">
        <v>212.57</v>
      </c>
    </row>
    <row r="41" spans="1:11" x14ac:dyDescent="0.4">
      <c r="A41" s="6">
        <v>44044</v>
      </c>
      <c r="B41">
        <v>157.46</v>
      </c>
      <c r="C41">
        <v>245.02</v>
      </c>
      <c r="D41">
        <v>119.07</v>
      </c>
      <c r="E41">
        <v>1.2208000000000001</v>
      </c>
      <c r="F41">
        <v>256.64999999999998</v>
      </c>
      <c r="G41">
        <v>256.16000000000003</v>
      </c>
      <c r="H41">
        <v>182.19</v>
      </c>
      <c r="I41">
        <v>214.49</v>
      </c>
      <c r="J41">
        <v>114.2</v>
      </c>
      <c r="K41">
        <v>220.31</v>
      </c>
    </row>
    <row r="42" spans="1:11" x14ac:dyDescent="0.4">
      <c r="A42" s="6">
        <v>44075</v>
      </c>
      <c r="B42">
        <v>160.27000000000001</v>
      </c>
      <c r="C42">
        <v>251.58</v>
      </c>
      <c r="D42">
        <v>119</v>
      </c>
      <c r="E42">
        <v>1.2650999999999999</v>
      </c>
      <c r="F42">
        <v>271.43</v>
      </c>
      <c r="G42">
        <v>275.97000000000003</v>
      </c>
      <c r="H42">
        <v>189.72</v>
      </c>
      <c r="I42">
        <v>228.27</v>
      </c>
      <c r="J42">
        <v>114.21</v>
      </c>
      <c r="K42">
        <v>227.04</v>
      </c>
    </row>
    <row r="43" spans="1:11" x14ac:dyDescent="0.4">
      <c r="A43" s="6">
        <v>44105</v>
      </c>
      <c r="B43">
        <v>150.38999999999999</v>
      </c>
      <c r="C43">
        <v>247.62</v>
      </c>
      <c r="D43">
        <v>119.02</v>
      </c>
      <c r="E43">
        <v>1.2388999999999999</v>
      </c>
      <c r="F43">
        <v>262.67</v>
      </c>
      <c r="G43">
        <v>262.14999999999998</v>
      </c>
      <c r="H43">
        <v>184.78</v>
      </c>
      <c r="I43">
        <v>216.17</v>
      </c>
      <c r="J43">
        <v>114.22</v>
      </c>
      <c r="K43">
        <v>222.43</v>
      </c>
    </row>
    <row r="44" spans="1:11" x14ac:dyDescent="0.4">
      <c r="A44" s="6">
        <v>44136</v>
      </c>
      <c r="B44">
        <v>154.46</v>
      </c>
      <c r="C44">
        <v>251.8</v>
      </c>
      <c r="D44">
        <v>119.41</v>
      </c>
      <c r="E44">
        <v>1.2197</v>
      </c>
      <c r="F44">
        <v>262.01</v>
      </c>
      <c r="G44">
        <v>255.21</v>
      </c>
      <c r="H44">
        <v>184.02</v>
      </c>
      <c r="I44">
        <v>211.33</v>
      </c>
      <c r="J44">
        <v>114.23</v>
      </c>
      <c r="K44">
        <v>221.71</v>
      </c>
    </row>
    <row r="45" spans="1:11" x14ac:dyDescent="0.4">
      <c r="A45" s="6">
        <v>44166</v>
      </c>
      <c r="B45">
        <v>169.4</v>
      </c>
      <c r="C45">
        <v>292.04000000000002</v>
      </c>
      <c r="D45">
        <v>121.41</v>
      </c>
      <c r="E45">
        <v>1.3160000000000001</v>
      </c>
      <c r="F45">
        <v>291.08</v>
      </c>
      <c r="G45">
        <v>285</v>
      </c>
      <c r="H45">
        <v>201.2</v>
      </c>
      <c r="I45">
        <v>242.21</v>
      </c>
      <c r="J45">
        <v>114.24</v>
      </c>
      <c r="K45">
        <v>237.33</v>
      </c>
    </row>
    <row r="46" spans="1:11" x14ac:dyDescent="0.4">
      <c r="A46" s="6">
        <v>44197</v>
      </c>
      <c r="B46">
        <v>172.98</v>
      </c>
      <c r="C46">
        <v>319.06</v>
      </c>
      <c r="D46">
        <v>122.97</v>
      </c>
      <c r="E46">
        <v>1.3451</v>
      </c>
      <c r="F46">
        <v>303.33</v>
      </c>
      <c r="G46">
        <v>291.69</v>
      </c>
      <c r="H46">
        <v>208.72</v>
      </c>
      <c r="I46">
        <v>249.74</v>
      </c>
      <c r="J46">
        <v>114.25</v>
      </c>
      <c r="K46">
        <v>243.89</v>
      </c>
    </row>
    <row r="47" spans="1:11" x14ac:dyDescent="0.4">
      <c r="A47" s="6">
        <v>44228</v>
      </c>
      <c r="B47">
        <v>183.51</v>
      </c>
      <c r="C47">
        <v>332.72</v>
      </c>
      <c r="D47">
        <v>122</v>
      </c>
      <c r="E47">
        <v>1.3479000000000001</v>
      </c>
      <c r="F47">
        <v>313.20999999999998</v>
      </c>
      <c r="G47">
        <v>294.64</v>
      </c>
      <c r="H47">
        <v>214.27</v>
      </c>
      <c r="I47">
        <v>248.84</v>
      </c>
      <c r="J47">
        <v>114.26</v>
      </c>
      <c r="K47">
        <v>247.32</v>
      </c>
    </row>
    <row r="48" spans="1:11" x14ac:dyDescent="0.4">
      <c r="A48" s="6">
        <v>44256</v>
      </c>
      <c r="B48">
        <v>185.99</v>
      </c>
      <c r="C48">
        <v>336.91</v>
      </c>
      <c r="D48">
        <v>120.04</v>
      </c>
      <c r="E48">
        <v>1.3613999999999999</v>
      </c>
      <c r="F48">
        <v>318.58999999999997</v>
      </c>
      <c r="G48">
        <v>301.83999999999997</v>
      </c>
      <c r="H48">
        <v>217.17</v>
      </c>
      <c r="I48">
        <v>254.8</v>
      </c>
      <c r="J48">
        <v>114.27</v>
      </c>
      <c r="K48">
        <v>248.22</v>
      </c>
    </row>
    <row r="49" spans="1:11" x14ac:dyDescent="0.4">
      <c r="A49" s="6">
        <v>44287</v>
      </c>
      <c r="B49">
        <v>182.92</v>
      </c>
      <c r="C49">
        <v>340.68</v>
      </c>
      <c r="D49">
        <v>117.98</v>
      </c>
      <c r="E49">
        <v>1.3773</v>
      </c>
      <c r="F49">
        <v>319.05</v>
      </c>
      <c r="G49">
        <v>314.55</v>
      </c>
      <c r="H49">
        <v>217.38</v>
      </c>
      <c r="I49">
        <v>262.39999999999998</v>
      </c>
      <c r="J49">
        <v>114.28</v>
      </c>
      <c r="K49">
        <v>247.7</v>
      </c>
    </row>
    <row r="50" spans="1:11" x14ac:dyDescent="0.4">
      <c r="A50" s="6">
        <v>44317</v>
      </c>
      <c r="B50">
        <v>180.41</v>
      </c>
      <c r="C50">
        <v>347.6</v>
      </c>
      <c r="D50">
        <v>119.18</v>
      </c>
      <c r="E50">
        <v>1.401</v>
      </c>
      <c r="F50">
        <v>322.32</v>
      </c>
      <c r="G50">
        <v>326.51</v>
      </c>
      <c r="H50">
        <v>219.66</v>
      </c>
      <c r="I50">
        <v>272.76</v>
      </c>
      <c r="J50">
        <v>114.29</v>
      </c>
      <c r="K50">
        <v>249.67</v>
      </c>
    </row>
    <row r="51" spans="1:11" x14ac:dyDescent="0.4">
      <c r="A51" s="6">
        <v>44348</v>
      </c>
      <c r="B51">
        <v>185.95</v>
      </c>
      <c r="C51">
        <v>352.58</v>
      </c>
      <c r="D51">
        <v>119.65</v>
      </c>
      <c r="E51">
        <v>1.4156</v>
      </c>
      <c r="F51">
        <v>330.5</v>
      </c>
      <c r="G51">
        <v>327.55</v>
      </c>
      <c r="H51">
        <v>223.61</v>
      </c>
      <c r="I51">
        <v>277.95999999999998</v>
      </c>
      <c r="J51">
        <v>114.3</v>
      </c>
      <c r="K51">
        <v>253.29</v>
      </c>
    </row>
    <row r="52" spans="1:11" x14ac:dyDescent="0.4">
      <c r="A52" s="6">
        <v>44378</v>
      </c>
      <c r="B52">
        <v>182.35</v>
      </c>
      <c r="C52">
        <v>348.58</v>
      </c>
      <c r="D52">
        <v>118.32</v>
      </c>
      <c r="E52">
        <v>1.4266000000000001</v>
      </c>
      <c r="F52">
        <v>327.81</v>
      </c>
      <c r="G52">
        <v>334.34</v>
      </c>
      <c r="H52">
        <v>222.05</v>
      </c>
      <c r="I52">
        <v>283.83</v>
      </c>
      <c r="J52">
        <v>114.31</v>
      </c>
      <c r="K52">
        <v>251.84</v>
      </c>
    </row>
    <row r="53" spans="1:11" x14ac:dyDescent="0.4">
      <c r="A53" s="6">
        <v>44409</v>
      </c>
      <c r="B53">
        <v>165.05</v>
      </c>
      <c r="C53">
        <v>340.77</v>
      </c>
      <c r="D53">
        <v>118.61</v>
      </c>
      <c r="E53">
        <v>1.4409000000000001</v>
      </c>
      <c r="F53">
        <v>318.67</v>
      </c>
      <c r="G53">
        <v>341.13</v>
      </c>
      <c r="H53">
        <v>217.32</v>
      </c>
      <c r="I53">
        <v>290.73</v>
      </c>
      <c r="J53">
        <v>114.32</v>
      </c>
      <c r="K53">
        <v>248.93</v>
      </c>
    </row>
    <row r="54" spans="1:11" x14ac:dyDescent="0.4">
      <c r="A54" s="6">
        <v>44440</v>
      </c>
      <c r="B54">
        <v>165.44</v>
      </c>
      <c r="C54">
        <v>349.04</v>
      </c>
      <c r="D54">
        <v>118.9</v>
      </c>
      <c r="E54">
        <v>1.4628000000000001</v>
      </c>
      <c r="F54">
        <v>325.5</v>
      </c>
      <c r="G54">
        <v>352.4</v>
      </c>
      <c r="H54">
        <v>220.75</v>
      </c>
      <c r="I54">
        <v>299.5</v>
      </c>
      <c r="J54">
        <v>114.33</v>
      </c>
      <c r="K54">
        <v>251.63</v>
      </c>
    </row>
    <row r="55" spans="1:11" x14ac:dyDescent="0.4">
      <c r="A55" s="6">
        <v>44470</v>
      </c>
      <c r="B55">
        <v>156.72</v>
      </c>
      <c r="C55">
        <v>336.59</v>
      </c>
      <c r="D55">
        <v>116.59</v>
      </c>
      <c r="E55">
        <v>1.4175</v>
      </c>
      <c r="F55">
        <v>312.37</v>
      </c>
      <c r="G55">
        <v>335</v>
      </c>
      <c r="H55">
        <v>213.8</v>
      </c>
      <c r="I55">
        <v>285.2</v>
      </c>
      <c r="J55">
        <v>114.34</v>
      </c>
      <c r="K55">
        <v>244.25</v>
      </c>
    </row>
    <row r="56" spans="1:11" x14ac:dyDescent="0.4">
      <c r="A56" s="6">
        <v>44501</v>
      </c>
      <c r="B56">
        <v>160.46</v>
      </c>
      <c r="C56">
        <v>341.61</v>
      </c>
      <c r="D56">
        <v>116.06</v>
      </c>
      <c r="E56">
        <v>1.4615</v>
      </c>
      <c r="F56">
        <v>321.08999999999997</v>
      </c>
      <c r="G56">
        <v>356.97</v>
      </c>
      <c r="H56">
        <v>217</v>
      </c>
      <c r="I56">
        <v>305.31</v>
      </c>
      <c r="J56">
        <v>114.35</v>
      </c>
      <c r="K56">
        <v>247.21</v>
      </c>
    </row>
    <row r="57" spans="1:11" x14ac:dyDescent="0.4">
      <c r="A57" s="6">
        <v>44531</v>
      </c>
      <c r="B57">
        <v>151.34</v>
      </c>
      <c r="C57">
        <v>332.63</v>
      </c>
      <c r="D57">
        <v>115.19</v>
      </c>
      <c r="E57">
        <v>1.4419</v>
      </c>
      <c r="F57">
        <v>311.10000000000002</v>
      </c>
      <c r="G57">
        <v>351.08</v>
      </c>
      <c r="H57">
        <v>212.94</v>
      </c>
      <c r="I57">
        <v>299.08</v>
      </c>
      <c r="J57">
        <v>114.36</v>
      </c>
      <c r="K57">
        <v>243.15</v>
      </c>
    </row>
    <row r="58" spans="1:11" x14ac:dyDescent="0.4">
      <c r="A58" s="6">
        <v>44562</v>
      </c>
      <c r="B58">
        <v>149.38</v>
      </c>
      <c r="C58">
        <v>339.02</v>
      </c>
      <c r="D58">
        <v>115.93</v>
      </c>
      <c r="E58">
        <v>1.4746999999999999</v>
      </c>
      <c r="F58">
        <v>314.58</v>
      </c>
      <c r="G58">
        <v>370.9</v>
      </c>
      <c r="H58">
        <v>214.49</v>
      </c>
      <c r="I58">
        <v>315.91000000000003</v>
      </c>
      <c r="J58">
        <v>114.37</v>
      </c>
      <c r="K58">
        <v>244.36</v>
      </c>
    </row>
    <row r="59" spans="1:11" x14ac:dyDescent="0.4">
      <c r="A59" s="6">
        <v>44593</v>
      </c>
      <c r="B59">
        <v>152.16</v>
      </c>
      <c r="C59">
        <v>325.3</v>
      </c>
      <c r="D59">
        <v>113.7</v>
      </c>
      <c r="E59">
        <v>1.4228000000000001</v>
      </c>
      <c r="F59">
        <v>305.66000000000003</v>
      </c>
      <c r="G59">
        <v>354.89</v>
      </c>
      <c r="H59">
        <v>209.41</v>
      </c>
      <c r="I59">
        <v>299.08</v>
      </c>
      <c r="J59">
        <v>114.38</v>
      </c>
      <c r="K59">
        <v>238.45</v>
      </c>
    </row>
    <row r="60" spans="1:11" x14ac:dyDescent="0.4">
      <c r="A60" s="6">
        <v>44621</v>
      </c>
      <c r="B60">
        <v>145.15</v>
      </c>
      <c r="C60">
        <v>324.48</v>
      </c>
      <c r="D60">
        <v>114.27</v>
      </c>
      <c r="E60">
        <v>1.3923000000000001</v>
      </c>
      <c r="F60">
        <v>294.31</v>
      </c>
      <c r="G60">
        <v>341.89</v>
      </c>
      <c r="H60">
        <v>204.39</v>
      </c>
      <c r="I60">
        <v>286.18</v>
      </c>
      <c r="J60">
        <v>114.39</v>
      </c>
      <c r="K60">
        <v>232.92</v>
      </c>
    </row>
    <row r="61" spans="1:11" x14ac:dyDescent="0.4">
      <c r="A61" s="6">
        <v>44652</v>
      </c>
      <c r="B61">
        <v>140.66999999999999</v>
      </c>
      <c r="C61">
        <v>329.76</v>
      </c>
      <c r="D61">
        <v>112.05</v>
      </c>
      <c r="E61">
        <v>1.4055</v>
      </c>
      <c r="F61">
        <v>293.39</v>
      </c>
      <c r="G61">
        <v>359.86</v>
      </c>
      <c r="H61">
        <v>199.53</v>
      </c>
      <c r="I61">
        <v>302.29000000000002</v>
      </c>
      <c r="J61">
        <v>114.4</v>
      </c>
      <c r="K61">
        <v>228.72</v>
      </c>
    </row>
    <row r="62" spans="1:11" x14ac:dyDescent="0.4">
      <c r="A62" s="6">
        <v>44682</v>
      </c>
      <c r="B62">
        <v>134.62</v>
      </c>
      <c r="C62">
        <v>308.24</v>
      </c>
      <c r="D62">
        <v>108.04</v>
      </c>
      <c r="E62">
        <v>1.3237000000000001</v>
      </c>
      <c r="F62">
        <v>276.83</v>
      </c>
      <c r="G62">
        <v>329.89</v>
      </c>
      <c r="H62">
        <v>190.34</v>
      </c>
      <c r="I62">
        <v>275.08999999999997</v>
      </c>
      <c r="J62">
        <v>114.41</v>
      </c>
      <c r="K62">
        <v>217.94</v>
      </c>
    </row>
    <row r="63" spans="1:11" x14ac:dyDescent="0.4">
      <c r="A63" s="6">
        <v>44713</v>
      </c>
      <c r="B63">
        <v>136.38999999999999</v>
      </c>
      <c r="C63">
        <v>307.95</v>
      </c>
      <c r="D63">
        <v>108.33</v>
      </c>
      <c r="E63">
        <v>1.3132999999999999</v>
      </c>
      <c r="F63">
        <v>278.13</v>
      </c>
      <c r="G63">
        <v>328.36</v>
      </c>
      <c r="H63">
        <v>190.04</v>
      </c>
      <c r="I63">
        <v>273.35000000000002</v>
      </c>
      <c r="J63">
        <v>114.42</v>
      </c>
      <c r="K63">
        <v>217.63</v>
      </c>
    </row>
    <row r="64" spans="1:11" x14ac:dyDescent="0.4">
      <c r="A64" s="6">
        <v>44743</v>
      </c>
      <c r="B64">
        <v>141.12</v>
      </c>
      <c r="C64">
        <v>272.58999999999997</v>
      </c>
      <c r="D64">
        <v>105.5</v>
      </c>
      <c r="E64">
        <v>1.2474000000000001</v>
      </c>
      <c r="F64">
        <v>265.48</v>
      </c>
      <c r="G64">
        <v>301.01</v>
      </c>
      <c r="H64">
        <v>184.52</v>
      </c>
      <c r="I64">
        <v>252.36</v>
      </c>
      <c r="J64">
        <v>114.43</v>
      </c>
      <c r="K64">
        <v>210.86</v>
      </c>
    </row>
    <row r="65" spans="1:11" x14ac:dyDescent="0.4">
      <c r="A65" s="6">
        <v>44774</v>
      </c>
      <c r="B65">
        <v>130.88</v>
      </c>
      <c r="C65">
        <v>287.51</v>
      </c>
      <c r="D65">
        <v>108.03</v>
      </c>
      <c r="E65">
        <v>1.3120000000000001</v>
      </c>
      <c r="F65">
        <v>267.44</v>
      </c>
      <c r="G65">
        <v>325.95999999999998</v>
      </c>
      <c r="H65">
        <v>187.31</v>
      </c>
      <c r="I65">
        <v>274.62</v>
      </c>
      <c r="J65">
        <v>114.44</v>
      </c>
      <c r="K65">
        <v>213.44</v>
      </c>
    </row>
    <row r="66" spans="1:11" x14ac:dyDescent="0.4">
      <c r="A66" s="6">
        <v>44805</v>
      </c>
      <c r="B66">
        <v>127.71</v>
      </c>
      <c r="C66">
        <v>278.45</v>
      </c>
      <c r="D66">
        <v>104.48</v>
      </c>
      <c r="E66">
        <v>1.2544999999999999</v>
      </c>
      <c r="F66">
        <v>256.87</v>
      </c>
      <c r="G66">
        <v>314.8</v>
      </c>
      <c r="H66">
        <v>179.41</v>
      </c>
      <c r="I66">
        <v>264.67</v>
      </c>
      <c r="J66">
        <v>114.45</v>
      </c>
      <c r="K66">
        <v>204.3</v>
      </c>
    </row>
    <row r="67" spans="1:11" x14ac:dyDescent="0.4">
      <c r="A67" s="6">
        <v>44835</v>
      </c>
      <c r="B67">
        <v>113.11</v>
      </c>
      <c r="C67">
        <v>252.83</v>
      </c>
      <c r="D67">
        <v>99.77</v>
      </c>
      <c r="E67">
        <v>1.1738</v>
      </c>
      <c r="F67">
        <v>234.6</v>
      </c>
      <c r="G67">
        <v>285.70999999999998</v>
      </c>
      <c r="H67">
        <v>169.46</v>
      </c>
      <c r="I67">
        <v>239</v>
      </c>
      <c r="J67">
        <v>114.5</v>
      </c>
      <c r="K67">
        <v>191.47</v>
      </c>
    </row>
    <row r="68" spans="1:11" x14ac:dyDescent="0.4">
      <c r="A68" s="6">
        <v>44866</v>
      </c>
      <c r="B68">
        <v>101.76</v>
      </c>
      <c r="C68">
        <v>261.06</v>
      </c>
      <c r="D68">
        <v>99.63</v>
      </c>
      <c r="E68">
        <v>1.214</v>
      </c>
      <c r="F68">
        <v>235.01</v>
      </c>
      <c r="G68">
        <v>308.52</v>
      </c>
      <c r="H68">
        <v>168.72</v>
      </c>
      <c r="I68">
        <v>257.01</v>
      </c>
      <c r="J68">
        <v>114.63</v>
      </c>
      <c r="K68">
        <v>190.67</v>
      </c>
    </row>
    <row r="69" spans="1:11" x14ac:dyDescent="0.4">
      <c r="A69" s="6">
        <v>44896</v>
      </c>
      <c r="B69">
        <v>122.97</v>
      </c>
      <c r="C69">
        <v>291.69</v>
      </c>
      <c r="D69">
        <v>105.64</v>
      </c>
      <c r="E69">
        <v>1.2809999999999999</v>
      </c>
      <c r="F69">
        <v>262.85000000000002</v>
      </c>
      <c r="G69">
        <v>323.41000000000003</v>
      </c>
      <c r="H69">
        <v>181.04</v>
      </c>
      <c r="I69">
        <v>270.43</v>
      </c>
      <c r="J69">
        <v>114.83</v>
      </c>
      <c r="K69">
        <v>206.61</v>
      </c>
    </row>
    <row r="70" spans="1:11" x14ac:dyDescent="0.4">
      <c r="A70" s="6">
        <v>44927</v>
      </c>
      <c r="B70">
        <v>129.4</v>
      </c>
      <c r="C70">
        <v>277.48</v>
      </c>
      <c r="D70">
        <v>105.94</v>
      </c>
      <c r="E70">
        <v>1.2355</v>
      </c>
      <c r="F70">
        <v>261.74</v>
      </c>
      <c r="G70">
        <v>305.14</v>
      </c>
      <c r="H70">
        <v>179.38</v>
      </c>
      <c r="I70">
        <v>254.95</v>
      </c>
      <c r="J70">
        <v>115.12</v>
      </c>
      <c r="K70">
        <v>204.73</v>
      </c>
    </row>
    <row r="71" spans="1:11" x14ac:dyDescent="0.4">
      <c r="A71" s="6">
        <v>44958</v>
      </c>
      <c r="B71">
        <v>143.85</v>
      </c>
      <c r="C71">
        <v>303.27999999999997</v>
      </c>
      <c r="D71">
        <v>110.51</v>
      </c>
      <c r="E71">
        <v>1.3103</v>
      </c>
      <c r="F71">
        <v>285.44</v>
      </c>
      <c r="G71">
        <v>329.5</v>
      </c>
      <c r="H71">
        <v>189.25</v>
      </c>
      <c r="I71">
        <v>274.76</v>
      </c>
      <c r="J71">
        <v>115.43</v>
      </c>
      <c r="K71">
        <v>217.66</v>
      </c>
    </row>
    <row r="72" spans="1:11" x14ac:dyDescent="0.4">
      <c r="A72" s="6">
        <v>44986</v>
      </c>
      <c r="B72">
        <v>134.62</v>
      </c>
      <c r="C72">
        <v>291.52</v>
      </c>
      <c r="D72">
        <v>106.18</v>
      </c>
      <c r="E72">
        <v>1.2674000000000001</v>
      </c>
      <c r="F72">
        <v>274.05</v>
      </c>
      <c r="G72">
        <v>318.5</v>
      </c>
      <c r="H72">
        <v>182.37</v>
      </c>
      <c r="I72">
        <v>263.85000000000002</v>
      </c>
      <c r="J72">
        <v>115.66</v>
      </c>
      <c r="K72">
        <v>209.35</v>
      </c>
    </row>
    <row r="73" spans="1:11" x14ac:dyDescent="0.4">
      <c r="A73" s="6">
        <v>45017</v>
      </c>
      <c r="B73">
        <v>133.41999999999999</v>
      </c>
      <c r="C73">
        <v>296.94</v>
      </c>
      <c r="D73">
        <v>108.96</v>
      </c>
      <c r="E73">
        <v>1.3056000000000001</v>
      </c>
      <c r="F73">
        <v>277.77999999999997</v>
      </c>
      <c r="G73">
        <v>328.46</v>
      </c>
      <c r="H73">
        <v>185.35</v>
      </c>
      <c r="I73">
        <v>274.12</v>
      </c>
      <c r="J73">
        <v>115.88</v>
      </c>
      <c r="K73">
        <v>212.91</v>
      </c>
    </row>
    <row r="74" spans="1:11" x14ac:dyDescent="0.4">
      <c r="A74" s="6">
        <v>45047</v>
      </c>
      <c r="B74">
        <v>130.27000000000001</v>
      </c>
      <c r="C74">
        <v>296.56</v>
      </c>
      <c r="D74">
        <v>108.82</v>
      </c>
      <c r="E74">
        <v>1.3172999999999999</v>
      </c>
      <c r="F74">
        <v>276.08999999999997</v>
      </c>
      <c r="G74">
        <v>331.08</v>
      </c>
      <c r="H74">
        <v>184.53</v>
      </c>
      <c r="I74">
        <v>278.20999999999998</v>
      </c>
      <c r="J74">
        <v>116.11</v>
      </c>
      <c r="K74">
        <v>211.9</v>
      </c>
    </row>
    <row r="75" spans="1:11" x14ac:dyDescent="0.4">
      <c r="A75" s="6">
        <v>45078</v>
      </c>
      <c r="B75">
        <v>119.98</v>
      </c>
      <c r="C75">
        <v>299.7</v>
      </c>
      <c r="D75">
        <v>107.33</v>
      </c>
      <c r="E75">
        <v>1.3118000000000001</v>
      </c>
      <c r="F75">
        <v>268.08999999999997</v>
      </c>
      <c r="G75">
        <v>333.94</v>
      </c>
      <c r="H75">
        <v>180.42</v>
      </c>
      <c r="I75">
        <v>281.33</v>
      </c>
      <c r="J75">
        <v>116.39</v>
      </c>
      <c r="K75">
        <v>207.03</v>
      </c>
    </row>
    <row r="76" spans="1:11" x14ac:dyDescent="0.4">
      <c r="A76" s="6">
        <v>45108</v>
      </c>
      <c r="B76">
        <v>125.21</v>
      </c>
      <c r="C76">
        <v>308.99</v>
      </c>
      <c r="D76">
        <v>106.65</v>
      </c>
      <c r="E76">
        <v>1.3442000000000001</v>
      </c>
      <c r="F76">
        <v>277.35000000000002</v>
      </c>
      <c r="G76">
        <v>352.07</v>
      </c>
      <c r="H76">
        <v>183.27</v>
      </c>
      <c r="I76">
        <v>296.27</v>
      </c>
      <c r="J76">
        <v>116.62</v>
      </c>
      <c r="K76">
        <v>210.55</v>
      </c>
    </row>
    <row r="77" spans="1:11" x14ac:dyDescent="0.4">
      <c r="A77" s="6">
        <v>45139</v>
      </c>
      <c r="B77">
        <v>133.43</v>
      </c>
      <c r="C77">
        <v>317.44</v>
      </c>
      <c r="D77">
        <v>107.33</v>
      </c>
      <c r="E77">
        <v>1.3603000000000001</v>
      </c>
      <c r="F77">
        <v>286.37</v>
      </c>
      <c r="G77">
        <v>361.54</v>
      </c>
      <c r="H77">
        <v>186.52</v>
      </c>
      <c r="I77">
        <v>303.64999999999998</v>
      </c>
      <c r="J77">
        <v>116.98</v>
      </c>
      <c r="K77">
        <v>214.17</v>
      </c>
    </row>
    <row r="78" spans="1:11" x14ac:dyDescent="0.4">
      <c r="A78" s="6">
        <v>45170</v>
      </c>
      <c r="B78">
        <v>122.99</v>
      </c>
      <c r="C78">
        <v>303.07</v>
      </c>
      <c r="D78">
        <v>106.54</v>
      </c>
      <c r="E78">
        <v>1.3472999999999999</v>
      </c>
      <c r="F78">
        <v>275.79000000000002</v>
      </c>
      <c r="G78">
        <v>357.77</v>
      </c>
      <c r="H78">
        <v>182.62</v>
      </c>
      <c r="I78">
        <v>300.49</v>
      </c>
      <c r="J78">
        <v>117.28</v>
      </c>
      <c r="K78">
        <v>209.37</v>
      </c>
    </row>
    <row r="79" spans="1:11" x14ac:dyDescent="0.4">
      <c r="A79" s="6">
        <v>45200</v>
      </c>
      <c r="B79">
        <v>119.69</v>
      </c>
      <c r="C79">
        <v>295.64999999999998</v>
      </c>
      <c r="D79">
        <v>104.56</v>
      </c>
      <c r="E79">
        <v>1.3024</v>
      </c>
      <c r="F79">
        <v>266.77</v>
      </c>
      <c r="G79">
        <v>341.05</v>
      </c>
      <c r="H79">
        <v>177.59</v>
      </c>
      <c r="I79">
        <v>285.26</v>
      </c>
      <c r="J79">
        <v>117.65</v>
      </c>
      <c r="K79">
        <v>203.02</v>
      </c>
    </row>
    <row r="80" spans="1:11" x14ac:dyDescent="0.4">
      <c r="A80" s="6">
        <v>45231</v>
      </c>
      <c r="B80">
        <v>115.05</v>
      </c>
      <c r="C80">
        <v>286.58999999999997</v>
      </c>
      <c r="D80">
        <v>103.68</v>
      </c>
      <c r="E80">
        <v>1.2848999999999999</v>
      </c>
      <c r="F80">
        <v>259.29000000000002</v>
      </c>
      <c r="G80">
        <v>336.07</v>
      </c>
      <c r="H80">
        <v>174.42</v>
      </c>
      <c r="I80">
        <v>281.75</v>
      </c>
      <c r="J80">
        <v>118.01</v>
      </c>
      <c r="K80">
        <v>198.97</v>
      </c>
    </row>
    <row r="81" spans="1:11" x14ac:dyDescent="0.4">
      <c r="A81" s="6">
        <v>45261</v>
      </c>
      <c r="B81">
        <v>113.56</v>
      </c>
      <c r="C81">
        <v>300.87</v>
      </c>
      <c r="D81">
        <v>107.27</v>
      </c>
      <c r="E81">
        <v>1.363</v>
      </c>
      <c r="F81">
        <v>272.24</v>
      </c>
      <c r="G81">
        <v>361.85</v>
      </c>
      <c r="H81">
        <v>182.28</v>
      </c>
      <c r="I81">
        <v>305.18</v>
      </c>
      <c r="J81">
        <v>118.38</v>
      </c>
      <c r="K81">
        <v>208.14</v>
      </c>
    </row>
    <row r="82" spans="1:11" x14ac:dyDescent="0.4">
      <c r="A82" s="6">
        <v>45292</v>
      </c>
      <c r="B82">
        <v>114.97</v>
      </c>
      <c r="C82">
        <v>315.27</v>
      </c>
      <c r="D82">
        <v>110.14</v>
      </c>
      <c r="E82">
        <v>1.4100999999999999</v>
      </c>
      <c r="F82">
        <v>280.01</v>
      </c>
      <c r="G82">
        <v>375.13</v>
      </c>
      <c r="H82">
        <v>187.63</v>
      </c>
      <c r="I82">
        <v>316.88</v>
      </c>
      <c r="J82">
        <v>118.68</v>
      </c>
      <c r="K82">
        <v>214.34</v>
      </c>
    </row>
    <row r="83" spans="1:11" x14ac:dyDescent="0.4">
      <c r="A83" s="6">
        <v>45323</v>
      </c>
      <c r="B83">
        <v>105.27</v>
      </c>
      <c r="C83">
        <v>306.58</v>
      </c>
      <c r="D83">
        <v>109.59</v>
      </c>
      <c r="E83">
        <v>1.4211</v>
      </c>
      <c r="F83">
        <v>274.04000000000002</v>
      </c>
      <c r="G83">
        <v>386.9</v>
      </c>
      <c r="H83">
        <v>185.01</v>
      </c>
      <c r="I83">
        <v>326</v>
      </c>
      <c r="J83">
        <v>119.11</v>
      </c>
      <c r="K83">
        <v>211</v>
      </c>
    </row>
    <row r="84" spans="1:11" x14ac:dyDescent="0.4">
      <c r="A84" s="6">
        <v>45352</v>
      </c>
      <c r="B84">
        <v>111.71</v>
      </c>
      <c r="C84">
        <v>319.07</v>
      </c>
      <c r="D84">
        <v>109.05</v>
      </c>
      <c r="E84">
        <v>1.452</v>
      </c>
      <c r="F84">
        <v>285.54000000000002</v>
      </c>
      <c r="G84">
        <v>404.91</v>
      </c>
      <c r="H84">
        <v>188.38</v>
      </c>
      <c r="I84">
        <v>341.55</v>
      </c>
      <c r="J84">
        <v>119.48</v>
      </c>
      <c r="K84">
        <v>214.66</v>
      </c>
    </row>
    <row r="85" spans="1:11" x14ac:dyDescent="0.4">
      <c r="A85" s="6">
        <v>45383</v>
      </c>
      <c r="B85">
        <v>111.86</v>
      </c>
      <c r="C85">
        <v>324.87</v>
      </c>
      <c r="D85">
        <v>109.47</v>
      </c>
      <c r="E85">
        <v>1.4737</v>
      </c>
      <c r="F85">
        <v>289.56</v>
      </c>
      <c r="G85">
        <v>414.57</v>
      </c>
      <c r="H85">
        <v>190.2</v>
      </c>
      <c r="I85">
        <v>348.69</v>
      </c>
      <c r="J85">
        <v>119.78</v>
      </c>
      <c r="K85">
        <v>216.74</v>
      </c>
    </row>
    <row r="86" spans="1:11" x14ac:dyDescent="0.4">
      <c r="A86" s="6">
        <v>45413</v>
      </c>
      <c r="B86">
        <v>120.09</v>
      </c>
      <c r="C86">
        <v>324.10000000000002</v>
      </c>
      <c r="D86">
        <v>107.74</v>
      </c>
      <c r="E86">
        <v>1.4339</v>
      </c>
      <c r="F86">
        <v>289.13</v>
      </c>
      <c r="G86">
        <v>396.96</v>
      </c>
      <c r="H86">
        <v>188.2</v>
      </c>
      <c r="I86">
        <v>334.37</v>
      </c>
      <c r="J86">
        <v>120.13</v>
      </c>
      <c r="K86">
        <v>214.39</v>
      </c>
    </row>
    <row r="87" spans="1:11" x14ac:dyDescent="0.4">
      <c r="A87" s="6">
        <v>45444</v>
      </c>
      <c r="B87">
        <v>123.04</v>
      </c>
      <c r="C87">
        <v>328.94</v>
      </c>
      <c r="D87">
        <v>109.07</v>
      </c>
      <c r="E87">
        <v>1.4716</v>
      </c>
      <c r="F87">
        <v>296.73</v>
      </c>
      <c r="G87">
        <v>415.17</v>
      </c>
      <c r="H87">
        <v>191.91</v>
      </c>
      <c r="I87">
        <v>350.55</v>
      </c>
      <c r="J87">
        <v>120.42</v>
      </c>
      <c r="K87">
        <v>218.5</v>
      </c>
    </row>
    <row r="88" spans="1:11" x14ac:dyDescent="0.4">
      <c r="A88" s="6">
        <v>45474</v>
      </c>
      <c r="B88">
        <v>121.73</v>
      </c>
      <c r="C88">
        <v>341.3</v>
      </c>
      <c r="D88">
        <v>109.9</v>
      </c>
      <c r="E88">
        <v>1.4914000000000001</v>
      </c>
      <c r="F88">
        <v>298.2</v>
      </c>
      <c r="G88">
        <v>428.64</v>
      </c>
      <c r="H88">
        <v>192.87</v>
      </c>
      <c r="I88">
        <v>361.97</v>
      </c>
      <c r="J88">
        <v>120.72</v>
      </c>
      <c r="K88">
        <v>219.26</v>
      </c>
    </row>
    <row r="89" spans="1:11" x14ac:dyDescent="0.4">
      <c r="A89" s="6">
        <v>45505</v>
      </c>
      <c r="B89">
        <v>119.87</v>
      </c>
      <c r="C89">
        <v>339.81</v>
      </c>
      <c r="D89">
        <v>112.09</v>
      </c>
      <c r="E89">
        <v>1.5065</v>
      </c>
      <c r="F89">
        <v>297.83999999999997</v>
      </c>
      <c r="G89">
        <v>427.67</v>
      </c>
      <c r="H89">
        <v>194.97</v>
      </c>
      <c r="I89">
        <v>361.07</v>
      </c>
      <c r="J89">
        <v>121.07</v>
      </c>
      <c r="K89">
        <v>221.53</v>
      </c>
    </row>
    <row r="90" spans="1:11" x14ac:dyDescent="0.4">
      <c r="A90" s="6">
        <v>45536</v>
      </c>
      <c r="B90">
        <v>125.51</v>
      </c>
      <c r="C90">
        <v>346.71</v>
      </c>
      <c r="D90">
        <v>113.28</v>
      </c>
      <c r="E90">
        <v>1.5435000000000001</v>
      </c>
      <c r="F90">
        <v>306.06</v>
      </c>
      <c r="G90">
        <v>441.56</v>
      </c>
      <c r="H90">
        <v>198.67</v>
      </c>
      <c r="I90">
        <v>373.61</v>
      </c>
      <c r="J90">
        <v>121.36</v>
      </c>
      <c r="K90">
        <v>225.95</v>
      </c>
    </row>
    <row r="91" spans="1:11" x14ac:dyDescent="0.4">
      <c r="A91" s="6">
        <v>45566</v>
      </c>
      <c r="B91">
        <v>146.43</v>
      </c>
      <c r="C91">
        <v>360.3</v>
      </c>
      <c r="D91">
        <v>114.39</v>
      </c>
      <c r="E91">
        <v>1.5644</v>
      </c>
      <c r="F91">
        <v>323.99</v>
      </c>
      <c r="G91">
        <v>447.73</v>
      </c>
      <c r="H91">
        <v>205.76</v>
      </c>
      <c r="I91">
        <v>379.82</v>
      </c>
      <c r="J91">
        <v>121.64</v>
      </c>
      <c r="K91">
        <v>234.76</v>
      </c>
    </row>
    <row r="92" spans="1:11" x14ac:dyDescent="0.4">
      <c r="A92" s="6">
        <v>45597</v>
      </c>
      <c r="B92">
        <v>142.47999999999999</v>
      </c>
      <c r="C92">
        <v>345.74</v>
      </c>
      <c r="D92">
        <v>112.57</v>
      </c>
      <c r="E92">
        <v>1.5359</v>
      </c>
      <c r="F92">
        <v>313.11</v>
      </c>
      <c r="G92">
        <v>447.27</v>
      </c>
      <c r="H92">
        <v>199.68</v>
      </c>
      <c r="I92">
        <v>377.87</v>
      </c>
      <c r="J92">
        <v>121.94</v>
      </c>
      <c r="K92">
        <v>227.39</v>
      </c>
    </row>
    <row r="93" spans="1:11" x14ac:dyDescent="0.4">
      <c r="A93" s="6">
        <v>45627</v>
      </c>
      <c r="B93">
        <v>135.54</v>
      </c>
      <c r="C93">
        <v>341.59</v>
      </c>
      <c r="D93">
        <v>113.51</v>
      </c>
      <c r="E93">
        <v>1.5750999999999999</v>
      </c>
      <c r="F93">
        <v>311.37</v>
      </c>
      <c r="G93">
        <v>469.7</v>
      </c>
      <c r="H93">
        <v>199.99</v>
      </c>
      <c r="I93">
        <v>398.2</v>
      </c>
      <c r="J93">
        <v>122.2</v>
      </c>
      <c r="K93">
        <v>227.62</v>
      </c>
    </row>
    <row r="94" spans="1:11" x14ac:dyDescent="0.4">
      <c r="A94" s="6">
        <v>45658</v>
      </c>
      <c r="B94">
        <v>140.05000000000001</v>
      </c>
      <c r="C94">
        <v>338.08</v>
      </c>
      <c r="D94">
        <v>112.24</v>
      </c>
      <c r="E94">
        <v>1.5447</v>
      </c>
      <c r="F94">
        <v>308.58</v>
      </c>
      <c r="G94">
        <v>455.64</v>
      </c>
      <c r="H94">
        <v>197.31</v>
      </c>
      <c r="I94">
        <v>387.53</v>
      </c>
      <c r="J94">
        <v>122.51</v>
      </c>
      <c r="K94">
        <v>224.46</v>
      </c>
    </row>
    <row r="95" spans="1:11" x14ac:dyDescent="0.4">
      <c r="A95" s="6">
        <v>45689</v>
      </c>
      <c r="B95">
        <v>141.26</v>
      </c>
      <c r="C95">
        <v>344.32</v>
      </c>
      <c r="D95">
        <v>112.97</v>
      </c>
      <c r="E95">
        <v>1.577</v>
      </c>
      <c r="F95">
        <v>314.24</v>
      </c>
      <c r="G95">
        <v>470.21</v>
      </c>
      <c r="H95">
        <v>199.74</v>
      </c>
      <c r="I95">
        <v>400.52</v>
      </c>
      <c r="J95">
        <v>122.78</v>
      </c>
      <c r="K95">
        <v>227.21</v>
      </c>
    </row>
    <row r="96" spans="1:11" x14ac:dyDescent="0.4">
      <c r="A96" s="6">
        <v>45717</v>
      </c>
      <c r="B96">
        <v>159.9</v>
      </c>
      <c r="C96">
        <v>347.43</v>
      </c>
      <c r="D96">
        <v>114.75</v>
      </c>
      <c r="E96">
        <v>1.5770999999999999</v>
      </c>
      <c r="F96">
        <v>323.99</v>
      </c>
      <c r="G96">
        <v>458.83</v>
      </c>
      <c r="H96">
        <v>204.6</v>
      </c>
      <c r="I96">
        <v>392.78</v>
      </c>
      <c r="J96">
        <v>123.06</v>
      </c>
      <c r="K96">
        <v>232.76</v>
      </c>
    </row>
    <row r="97" spans="1:11" x14ac:dyDescent="0.4">
      <c r="A97" s="6">
        <v>45748</v>
      </c>
      <c r="B97">
        <v>162.18</v>
      </c>
      <c r="C97">
        <v>349.01</v>
      </c>
      <c r="D97">
        <v>114.84</v>
      </c>
      <c r="E97">
        <v>1.5437000000000001</v>
      </c>
      <c r="F97">
        <v>322.51</v>
      </c>
      <c r="G97">
        <v>434.92</v>
      </c>
      <c r="H97">
        <v>204.29</v>
      </c>
      <c r="I97">
        <v>371.6</v>
      </c>
      <c r="J97">
        <v>123.35</v>
      </c>
      <c r="K97">
        <v>232.34</v>
      </c>
    </row>
    <row r="98" spans="1:11" x14ac:dyDescent="0.4">
      <c r="A98" s="6">
        <v>45778</v>
      </c>
      <c r="B98">
        <v>155.01</v>
      </c>
      <c r="C98">
        <v>351.13</v>
      </c>
      <c r="D98">
        <v>114.59</v>
      </c>
      <c r="E98">
        <v>1.5508999999999999</v>
      </c>
      <c r="F98">
        <v>321.41000000000003</v>
      </c>
      <c r="G98">
        <v>428.36</v>
      </c>
      <c r="H98">
        <v>204.72</v>
      </c>
      <c r="I98">
        <v>366.98</v>
      </c>
      <c r="J98">
        <v>123.62</v>
      </c>
      <c r="K98">
        <v>232.71</v>
      </c>
    </row>
    <row r="99" spans="1:11" x14ac:dyDescent="0.4">
      <c r="A99" s="6">
        <v>45809</v>
      </c>
      <c r="B99">
        <v>163.89</v>
      </c>
      <c r="C99">
        <v>376.92</v>
      </c>
      <c r="D99">
        <v>115.47</v>
      </c>
      <c r="E99">
        <v>1.6114999999999999</v>
      </c>
      <c r="F99">
        <v>339.68</v>
      </c>
      <c r="G99">
        <v>456.89</v>
      </c>
      <c r="H99">
        <v>211.27</v>
      </c>
      <c r="I99">
        <v>391.49</v>
      </c>
      <c r="J99">
        <v>123.87</v>
      </c>
      <c r="K99">
        <v>240.13</v>
      </c>
    </row>
    <row r="100" spans="1:11" x14ac:dyDescent="0.4">
      <c r="A100" s="6">
        <v>45839</v>
      </c>
      <c r="B100">
        <v>170.41</v>
      </c>
      <c r="C100">
        <v>401.51</v>
      </c>
      <c r="D100">
        <v>116.86</v>
      </c>
      <c r="E100">
        <v>1.6577999999999999</v>
      </c>
      <c r="F100">
        <v>352.02</v>
      </c>
      <c r="G100">
        <v>478.16</v>
      </c>
      <c r="H100">
        <v>217.04</v>
      </c>
      <c r="I100">
        <v>410.82</v>
      </c>
      <c r="J100">
        <v>124.03</v>
      </c>
      <c r="K100">
        <v>246.55</v>
      </c>
    </row>
    <row r="101" spans="1:11" x14ac:dyDescent="0.4">
      <c r="A101" s="6">
        <v>45870</v>
      </c>
      <c r="B101">
        <v>173.47</v>
      </c>
      <c r="C101">
        <v>400.28</v>
      </c>
      <c r="D101">
        <v>117.69</v>
      </c>
      <c r="E101">
        <v>1.6557999999999999</v>
      </c>
      <c r="F101">
        <v>353.06</v>
      </c>
      <c r="G101">
        <v>479.43</v>
      </c>
      <c r="H101">
        <v>217.31</v>
      </c>
      <c r="I101">
        <v>412.66</v>
      </c>
      <c r="J101">
        <v>124.17</v>
      </c>
      <c r="K101">
        <v>246.73</v>
      </c>
    </row>
    <row r="102" spans="1:11" x14ac:dyDescent="0.4">
      <c r="A102" s="6">
        <v>45901</v>
      </c>
      <c r="B102">
        <v>181.51</v>
      </c>
      <c r="C102">
        <v>411.01</v>
      </c>
      <c r="D102">
        <v>118.17</v>
      </c>
      <c r="E102">
        <v>1.6840999999999999</v>
      </c>
      <c r="F102">
        <v>367.08</v>
      </c>
      <c r="G102">
        <v>494.27</v>
      </c>
      <c r="H102">
        <v>221.83</v>
      </c>
      <c r="I102">
        <v>425.33</v>
      </c>
      <c r="J102">
        <v>124.31</v>
      </c>
      <c r="K102">
        <v>251.99</v>
      </c>
    </row>
    <row r="103" spans="1:11" x14ac:dyDescent="0.4">
      <c r="A103" s="6">
        <v>45932</v>
      </c>
      <c r="B103">
        <v>193.84</v>
      </c>
      <c r="C103">
        <v>441.72</v>
      </c>
      <c r="D103">
        <v>119.3</v>
      </c>
      <c r="E103">
        <v>1.7282999999999999</v>
      </c>
      <c r="F103">
        <v>383.48</v>
      </c>
      <c r="G103">
        <v>510.32</v>
      </c>
      <c r="H103">
        <v>228.27</v>
      </c>
      <c r="I103">
        <v>440.95</v>
      </c>
      <c r="J103">
        <v>124.5</v>
      </c>
      <c r="K103">
        <v>259.33999999999997</v>
      </c>
    </row>
    <row r="104" spans="1:11" x14ac:dyDescent="0.4">
      <c r="A104" s="6">
        <v>45964</v>
      </c>
      <c r="B104">
        <v>185.69</v>
      </c>
      <c r="C104">
        <v>456.9</v>
      </c>
      <c r="D104">
        <v>119.68</v>
      </c>
      <c r="E104">
        <v>1.7481</v>
      </c>
      <c r="F104">
        <v>384.26</v>
      </c>
      <c r="G104">
        <v>518.75</v>
      </c>
      <c r="H104">
        <v>228.26</v>
      </c>
      <c r="I104">
        <v>449.51</v>
      </c>
      <c r="J104">
        <v>124.73</v>
      </c>
      <c r="K104">
        <v>259.35000000000002</v>
      </c>
    </row>
    <row r="105" spans="1:11" x14ac:dyDescent="0.4">
      <c r="A105" s="6">
        <v>45992</v>
      </c>
      <c r="B105">
        <v>185.01</v>
      </c>
      <c r="C105">
        <v>440.66</v>
      </c>
      <c r="D105">
        <v>119.98</v>
      </c>
      <c r="E105">
        <v>1.7444999999999999</v>
      </c>
      <c r="F105">
        <v>381.45</v>
      </c>
      <c r="G105">
        <v>515.02</v>
      </c>
      <c r="H105">
        <v>227.27</v>
      </c>
      <c r="I105">
        <v>447.57</v>
      </c>
      <c r="J105">
        <v>124.92</v>
      </c>
      <c r="K105">
        <v>258.38</v>
      </c>
    </row>
    <row r="106" spans="1:11" x14ac:dyDescent="0.4">
      <c r="A106" s="6">
        <v>46024</v>
      </c>
      <c r="B106">
        <v>187.33</v>
      </c>
      <c r="C106">
        <v>462.15</v>
      </c>
      <c r="D106">
        <v>120.06</v>
      </c>
      <c r="E106">
        <v>1.7627999999999999</v>
      </c>
      <c r="F106">
        <v>390.65</v>
      </c>
      <c r="G106">
        <v>515.6</v>
      </c>
      <c r="H106">
        <v>230.38</v>
      </c>
      <c r="I106">
        <v>450</v>
      </c>
      <c r="J106">
        <v>125.16</v>
      </c>
      <c r="K106">
        <v>261.69</v>
      </c>
    </row>
    <row r="107" spans="1:11" x14ac:dyDescent="0.4">
      <c r="A107" s="6">
        <v>46055</v>
      </c>
      <c r="B107">
        <v>190.01</v>
      </c>
      <c r="C107">
        <v>481.03</v>
      </c>
      <c r="D107">
        <v>120.33</v>
      </c>
      <c r="E107">
        <v>1.7908999999999999</v>
      </c>
      <c r="F107">
        <v>401.08</v>
      </c>
      <c r="G107">
        <v>526.49</v>
      </c>
      <c r="H107">
        <v>235.21</v>
      </c>
      <c r="I107">
        <v>458.5</v>
      </c>
      <c r="J107">
        <v>125.39</v>
      </c>
      <c r="K107">
        <v>266.10000000000002</v>
      </c>
    </row>
    <row r="108" spans="1:11" x14ac:dyDescent="0.4">
      <c r="A108" s="6">
        <v>46083</v>
      </c>
      <c r="B108">
        <v>185.23</v>
      </c>
      <c r="C108">
        <v>525.49</v>
      </c>
      <c r="D108">
        <v>121.64</v>
      </c>
      <c r="E108">
        <v>1.8098000000000001</v>
      </c>
      <c r="F108">
        <v>411.72</v>
      </c>
      <c r="G108">
        <v>519.29999999999995</v>
      </c>
      <c r="H108">
        <v>240.42</v>
      </c>
      <c r="I108">
        <v>452.49</v>
      </c>
      <c r="J108">
        <v>125.58</v>
      </c>
      <c r="K108">
        <v>271.06</v>
      </c>
    </row>
    <row r="109" spans="1:11" x14ac:dyDescent="0.4">
      <c r="A109" s="6">
        <v>46113</v>
      </c>
      <c r="B109">
        <v>179.92</v>
      </c>
      <c r="C109">
        <v>485.15</v>
      </c>
      <c r="D109">
        <v>120.08</v>
      </c>
      <c r="E109">
        <v>1.7467999999999999</v>
      </c>
      <c r="F109">
        <v>391.67</v>
      </c>
      <c r="G109">
        <v>495.61</v>
      </c>
      <c r="H109">
        <v>230.63</v>
      </c>
      <c r="I109">
        <v>432.87</v>
      </c>
      <c r="J109">
        <v>125.75</v>
      </c>
      <c r="K109">
        <v>261.69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B76F-176D-40B1-969A-A3E389C24033}">
  <dimension ref="A1:K11"/>
  <sheetViews>
    <sheetView workbookViewId="0">
      <selection activeCell="A2" sqref="A2"/>
    </sheetView>
  </sheetViews>
  <sheetFormatPr defaultRowHeight="17" x14ac:dyDescent="0.4"/>
  <sheetData>
    <row r="1" spans="1:11" x14ac:dyDescent="0.4">
      <c r="A1" s="8" t="s">
        <v>80</v>
      </c>
      <c r="B1" s="8" t="s">
        <v>12</v>
      </c>
      <c r="C1" s="8" t="s">
        <v>13</v>
      </c>
      <c r="D1" s="8" t="s">
        <v>14</v>
      </c>
      <c r="E1" s="8" t="s">
        <v>3</v>
      </c>
      <c r="F1" s="8" t="s">
        <v>15</v>
      </c>
      <c r="G1" s="8" t="s">
        <v>16</v>
      </c>
      <c r="H1" s="8" t="s">
        <v>17</v>
      </c>
      <c r="I1" s="8" t="s">
        <v>7</v>
      </c>
      <c r="J1" s="8" t="s">
        <v>8</v>
      </c>
      <c r="K1" s="8" t="s">
        <v>9</v>
      </c>
    </row>
    <row r="2" spans="1:11" ht="17.5" thickBot="1" x14ac:dyDescent="0.45">
      <c r="A2" t="s">
        <v>12</v>
      </c>
      <c r="B2">
        <v>1</v>
      </c>
      <c r="C2">
        <v>0.59207165782565474</v>
      </c>
      <c r="D2">
        <v>0.48043213716217398</v>
      </c>
      <c r="E2">
        <v>0.47839937066002952</v>
      </c>
      <c r="F2">
        <v>0.79122488591435125</v>
      </c>
      <c r="G2">
        <v>0.40081619942621183</v>
      </c>
      <c r="H2">
        <v>0.7527852317260546</v>
      </c>
      <c r="I2">
        <v>0.41943334420527095</v>
      </c>
      <c r="J2">
        <v>9.4616868181228789E-2</v>
      </c>
      <c r="K2" s="7">
        <v>0.75312570698230064</v>
      </c>
    </row>
    <row r="3" spans="1:11" ht="17.5" thickBot="1" x14ac:dyDescent="0.45">
      <c r="A3" t="s">
        <v>13</v>
      </c>
      <c r="B3">
        <v>0.59207165782565474</v>
      </c>
      <c r="C3">
        <v>1</v>
      </c>
      <c r="D3">
        <v>0.64154882617852327</v>
      </c>
      <c r="E3">
        <v>0.86749334817979862</v>
      </c>
      <c r="F3">
        <v>0.91151071515116466</v>
      </c>
      <c r="G3">
        <v>0.80053688154021774</v>
      </c>
      <c r="H3">
        <v>0.89855478608276695</v>
      </c>
      <c r="I3">
        <v>0.82389549833850639</v>
      </c>
      <c r="J3">
        <v>2.7393784662602561E-2</v>
      </c>
      <c r="K3" s="7">
        <v>0.89764511115589873</v>
      </c>
    </row>
    <row r="4" spans="1:11" ht="17.5" thickBot="1" x14ac:dyDescent="0.45">
      <c r="A4" t="s">
        <v>14</v>
      </c>
      <c r="B4">
        <v>0.48043213716217398</v>
      </c>
      <c r="C4">
        <v>0.64154882617852327</v>
      </c>
      <c r="D4">
        <v>1</v>
      </c>
      <c r="E4">
        <v>0.717146266910062</v>
      </c>
      <c r="F4">
        <v>0.67451452158795189</v>
      </c>
      <c r="G4">
        <v>0.53868344550603198</v>
      </c>
      <c r="H4">
        <v>0.69372581000328881</v>
      </c>
      <c r="I4">
        <v>0.57090019349192689</v>
      </c>
      <c r="J4">
        <v>0.15788796014110457</v>
      </c>
      <c r="K4" s="7">
        <v>0.78825791094741382</v>
      </c>
    </row>
    <row r="5" spans="1:11" ht="17.5" thickBot="1" x14ac:dyDescent="0.45">
      <c r="A5" t="s">
        <v>3</v>
      </c>
      <c r="B5">
        <v>0.47839937066002952</v>
      </c>
      <c r="C5">
        <v>0.86749334817979862</v>
      </c>
      <c r="D5">
        <v>0.717146266910062</v>
      </c>
      <c r="E5">
        <v>1</v>
      </c>
      <c r="F5">
        <v>0.88895070827236955</v>
      </c>
      <c r="G5">
        <v>0.95554378142732832</v>
      </c>
      <c r="H5">
        <v>0.88634901089652107</v>
      </c>
      <c r="I5">
        <v>0.96025488287803917</v>
      </c>
      <c r="J5">
        <v>7.1772393873024476E-2</v>
      </c>
      <c r="K5" s="7">
        <v>0.90837801108927596</v>
      </c>
    </row>
    <row r="6" spans="1:11" ht="17.5" thickBot="1" x14ac:dyDescent="0.45">
      <c r="A6" t="s">
        <v>15</v>
      </c>
      <c r="B6">
        <v>0.79122488591435125</v>
      </c>
      <c r="C6">
        <v>0.91151071515116466</v>
      </c>
      <c r="D6">
        <v>0.67451452158795189</v>
      </c>
      <c r="E6">
        <v>0.88895070827236955</v>
      </c>
      <c r="F6">
        <v>1</v>
      </c>
      <c r="G6">
        <v>0.82406241051379614</v>
      </c>
      <c r="H6">
        <v>0.98003976475100563</v>
      </c>
      <c r="I6">
        <v>0.83539657461849093</v>
      </c>
      <c r="J6">
        <v>6.5056866560111934E-2</v>
      </c>
      <c r="K6" s="7">
        <v>0.97919675784496651</v>
      </c>
    </row>
    <row r="7" spans="1:11" ht="17.5" thickBot="1" x14ac:dyDescent="0.45">
      <c r="A7" t="s">
        <v>16</v>
      </c>
      <c r="B7">
        <v>0.40081619942621183</v>
      </c>
      <c r="C7">
        <v>0.80053688154021774</v>
      </c>
      <c r="D7">
        <v>0.53868344550603198</v>
      </c>
      <c r="E7">
        <v>0.95554378142732832</v>
      </c>
      <c r="F7">
        <v>0.82406241051379614</v>
      </c>
      <c r="G7">
        <v>1</v>
      </c>
      <c r="H7">
        <v>0.80435290969918183</v>
      </c>
      <c r="I7">
        <v>0.98180536853843903</v>
      </c>
      <c r="J7">
        <v>2.0078215052533009E-2</v>
      </c>
      <c r="K7" s="7">
        <v>0.80252288147828232</v>
      </c>
    </row>
    <row r="8" spans="1:11" ht="17.5" thickBot="1" x14ac:dyDescent="0.45">
      <c r="A8" t="s">
        <v>17</v>
      </c>
      <c r="B8">
        <v>0.7527852317260546</v>
      </c>
      <c r="C8">
        <v>0.89855478608276695</v>
      </c>
      <c r="D8">
        <v>0.69372581000328881</v>
      </c>
      <c r="E8">
        <v>0.88634901089652107</v>
      </c>
      <c r="F8">
        <v>0.98003976475100563</v>
      </c>
      <c r="G8">
        <v>0.80435290969918183</v>
      </c>
      <c r="H8">
        <v>1</v>
      </c>
      <c r="I8">
        <v>0.82145679186564846</v>
      </c>
      <c r="J8">
        <v>4.4733560483845837E-2</v>
      </c>
      <c r="K8" s="7">
        <v>0.97834020184253945</v>
      </c>
    </row>
    <row r="9" spans="1:11" ht="17.5" thickBot="1" x14ac:dyDescent="0.45">
      <c r="A9" t="s">
        <v>7</v>
      </c>
      <c r="B9">
        <v>0.41943334420527095</v>
      </c>
      <c r="C9">
        <v>0.82389549833850639</v>
      </c>
      <c r="D9">
        <v>0.57090019349192689</v>
      </c>
      <c r="E9">
        <v>0.96025488287803917</v>
      </c>
      <c r="F9">
        <v>0.83539657461849093</v>
      </c>
      <c r="G9">
        <v>0.98180536853843903</v>
      </c>
      <c r="H9">
        <v>0.82145679186564846</v>
      </c>
      <c r="I9">
        <v>1</v>
      </c>
      <c r="J9">
        <v>3.1695567828176188E-2</v>
      </c>
      <c r="K9" s="7">
        <v>0.82173211494122589</v>
      </c>
    </row>
    <row r="10" spans="1:11" ht="17.5" thickBot="1" x14ac:dyDescent="0.45">
      <c r="A10" t="s">
        <v>8</v>
      </c>
      <c r="B10">
        <v>9.4616868181228789E-2</v>
      </c>
      <c r="C10">
        <v>2.7393784662602561E-2</v>
      </c>
      <c r="D10">
        <v>0.15788796014110457</v>
      </c>
      <c r="E10">
        <v>7.1772393873024476E-2</v>
      </c>
      <c r="F10">
        <v>6.5056866560111934E-2</v>
      </c>
      <c r="G10">
        <v>2.0078215052533009E-2</v>
      </c>
      <c r="H10">
        <v>4.4733560483845837E-2</v>
      </c>
      <c r="I10">
        <v>3.1695567828176188E-2</v>
      </c>
      <c r="J10">
        <v>1</v>
      </c>
      <c r="K10" s="7">
        <v>8.4759727905485874E-2</v>
      </c>
    </row>
    <row r="11" spans="1:11" ht="17.5" thickBot="1" x14ac:dyDescent="0.45">
      <c r="A11" s="7" t="s">
        <v>9</v>
      </c>
      <c r="B11" s="7">
        <v>0.75312570698230064</v>
      </c>
      <c r="C11" s="7">
        <v>0.89764511115589873</v>
      </c>
      <c r="D11" s="7">
        <v>0.78825791094741382</v>
      </c>
      <c r="E11" s="7">
        <v>0.90837801108927596</v>
      </c>
      <c r="F11" s="7">
        <v>0.97919675784496651</v>
      </c>
      <c r="G11" s="7">
        <v>0.80252288147828232</v>
      </c>
      <c r="H11" s="7">
        <v>0.97834020184253945</v>
      </c>
      <c r="I11" s="7">
        <v>0.82173211494122589</v>
      </c>
      <c r="J11" s="7">
        <v>8.4759727905485874E-2</v>
      </c>
      <c r="K11" s="7">
        <v>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EC65D-6543-462C-968F-C2CC1EEBB989}">
  <dimension ref="A1:I18"/>
  <sheetViews>
    <sheetView topLeftCell="A2" workbookViewId="0">
      <selection activeCell="J21" sqref="J21"/>
    </sheetView>
  </sheetViews>
  <sheetFormatPr defaultRowHeight="17" x14ac:dyDescent="0.4"/>
  <sheetData>
    <row r="1" spans="1:9" x14ac:dyDescent="0.4">
      <c r="A1" t="s">
        <v>42</v>
      </c>
    </row>
    <row r="2" spans="1:9" ht="17.5" thickBot="1" x14ac:dyDescent="0.45"/>
    <row r="3" spans="1:9" x14ac:dyDescent="0.4">
      <c r="A3" s="12" t="s">
        <v>43</v>
      </c>
      <c r="B3" s="12"/>
    </row>
    <row r="4" spans="1:9" x14ac:dyDescent="0.4">
      <c r="A4" t="s">
        <v>44</v>
      </c>
      <c r="B4">
        <v>7.8964740922123564E-2</v>
      </c>
    </row>
    <row r="5" spans="1:9" x14ac:dyDescent="0.4">
      <c r="A5" t="s">
        <v>45</v>
      </c>
      <c r="B5">
        <v>6.2354303088980965E-3</v>
      </c>
    </row>
    <row r="6" spans="1:9" x14ac:dyDescent="0.4">
      <c r="A6" t="s">
        <v>46</v>
      </c>
      <c r="B6">
        <v>-3.2289941643504926E-3</v>
      </c>
    </row>
    <row r="7" spans="1:9" x14ac:dyDescent="0.4">
      <c r="A7" t="s">
        <v>47</v>
      </c>
      <c r="B7">
        <v>1.0383196948465503E-3</v>
      </c>
    </row>
    <row r="8" spans="1:9" ht="17.5" thickBot="1" x14ac:dyDescent="0.45">
      <c r="A8" s="7" t="s">
        <v>48</v>
      </c>
      <c r="B8" s="7">
        <v>107</v>
      </c>
    </row>
    <row r="10" spans="1:9" ht="17.5" thickBot="1" x14ac:dyDescent="0.45">
      <c r="A10" t="s">
        <v>49</v>
      </c>
    </row>
    <row r="11" spans="1:9" x14ac:dyDescent="0.4">
      <c r="A11" s="8"/>
      <c r="B11" s="8" t="s">
        <v>54</v>
      </c>
      <c r="C11" s="8" t="s">
        <v>55</v>
      </c>
      <c r="D11" s="8" t="s">
        <v>56</v>
      </c>
      <c r="E11" s="8" t="s">
        <v>57</v>
      </c>
      <c r="F11" s="8" t="s">
        <v>58</v>
      </c>
    </row>
    <row r="12" spans="1:9" x14ac:dyDescent="0.4">
      <c r="A12" t="s">
        <v>50</v>
      </c>
      <c r="B12">
        <v>1</v>
      </c>
      <c r="C12">
        <v>7.1028787867230114E-7</v>
      </c>
      <c r="D12">
        <v>7.1028787867230114E-7</v>
      </c>
      <c r="E12">
        <v>0.65882826013591012</v>
      </c>
      <c r="F12">
        <v>0.4188101638699685</v>
      </c>
    </row>
    <row r="13" spans="1:9" x14ac:dyDescent="0.4">
      <c r="A13" t="s">
        <v>51</v>
      </c>
      <c r="B13">
        <v>105</v>
      </c>
      <c r="C13">
        <v>1.132013178141545E-4</v>
      </c>
      <c r="D13">
        <v>1.0781077887062334E-6</v>
      </c>
    </row>
    <row r="14" spans="1:9" ht="17.5" thickBot="1" x14ac:dyDescent="0.45">
      <c r="A14" s="7" t="s">
        <v>52</v>
      </c>
      <c r="B14" s="7">
        <v>106</v>
      </c>
      <c r="C14" s="7">
        <v>1.139116056928268E-4</v>
      </c>
      <c r="D14" s="7"/>
      <c r="E14" s="7"/>
      <c r="F14" s="7"/>
    </row>
    <row r="15" spans="1:9" ht="17.5" thickBot="1" x14ac:dyDescent="0.45"/>
    <row r="16" spans="1:9" x14ac:dyDescent="0.4">
      <c r="A16" s="8"/>
      <c r="B16" s="8" t="s">
        <v>59</v>
      </c>
      <c r="C16" s="8" t="s">
        <v>47</v>
      </c>
      <c r="D16" s="8" t="s">
        <v>60</v>
      </c>
      <c r="E16" s="8" t="s">
        <v>61</v>
      </c>
      <c r="F16" s="8" t="s">
        <v>62</v>
      </c>
      <c r="G16" s="8" t="s">
        <v>63</v>
      </c>
      <c r="H16" s="8" t="s">
        <v>64</v>
      </c>
      <c r="I16" s="8" t="s">
        <v>65</v>
      </c>
    </row>
    <row r="17" spans="1:9" x14ac:dyDescent="0.4">
      <c r="A17" t="s">
        <v>53</v>
      </c>
      <c r="B17">
        <v>1.1098494738276759E-3</v>
      </c>
      <c r="C17">
        <v>1.0050689207610431E-4</v>
      </c>
      <c r="D17">
        <v>11.042521073950754</v>
      </c>
      <c r="E17">
        <v>2.8128687303469028E-19</v>
      </c>
      <c r="F17">
        <v>9.1056287309750593E-4</v>
      </c>
      <c r="G17">
        <v>1.3091360745578458E-3</v>
      </c>
      <c r="H17">
        <v>9.1056287309750593E-4</v>
      </c>
      <c r="I17">
        <v>1.3091360745578458E-3</v>
      </c>
    </row>
    <row r="18" spans="1:9" ht="17.5" thickBot="1" x14ac:dyDescent="0.45">
      <c r="A18" s="7" t="s">
        <v>81</v>
      </c>
      <c r="B18" s="7">
        <v>1.3562374244353564E-3</v>
      </c>
      <c r="C18" s="7">
        <v>1.6708967503510778E-3</v>
      </c>
      <c r="D18" s="7">
        <v>0.8116823640661176</v>
      </c>
      <c r="E18" s="7">
        <v>0.41881016386995029</v>
      </c>
      <c r="F18" s="7">
        <v>-1.9568421730952693E-3</v>
      </c>
      <c r="G18" s="7">
        <v>4.6693170219659821E-3</v>
      </c>
      <c r="H18" s="7">
        <v>-1.9568421730952693E-3</v>
      </c>
      <c r="I18" s="7">
        <v>4.6693170219659821E-3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F893A-D09A-4C55-832C-185CEAC28B01}">
  <dimension ref="A1:K108"/>
  <sheetViews>
    <sheetView workbookViewId="0">
      <selection activeCell="J9" sqref="J9"/>
    </sheetView>
  </sheetViews>
  <sheetFormatPr defaultRowHeight="17" x14ac:dyDescent="0.4"/>
  <cols>
    <col min="1" max="1" width="9.1796875" bestFit="1" customWidth="1"/>
  </cols>
  <sheetData>
    <row r="1" spans="1:11" x14ac:dyDescent="0.4">
      <c r="A1" s="6" t="s">
        <v>10</v>
      </c>
      <c r="B1" t="str">
        <f>表格1_[[#Headers],[中港基金]]</f>
        <v>中港基金</v>
      </c>
      <c r="C1" t="str">
        <f>表格1_[[#Headers],[亞洲股票基金]]</f>
        <v>亞洲股票基金</v>
      </c>
      <c r="D1" t="str">
        <f>表格1_[[#Headers],[亞洲債券基金]]</f>
        <v>亞洲債券基金</v>
      </c>
      <c r="E1" t="str">
        <f>表格1_[[#Headers],[核心累積基金]]</f>
        <v>核心累積基金</v>
      </c>
      <c r="F1" t="str">
        <f>表格1_[[#Headers],[增長組合]]</f>
        <v>增長組合</v>
      </c>
      <c r="G1" t="str">
        <f>表格1_[[#Headers],[北美股票基金]]</f>
        <v>北美股票基金</v>
      </c>
      <c r="H1" t="str">
        <f>表格1_[[#Headers],[基金經理精選退休基金]]</f>
        <v>基金經理精選退休基金</v>
      </c>
      <c r="I1" t="str">
        <f>表格1_[[#Headers],[美洲基金]]</f>
        <v>美洲基金</v>
      </c>
      <c r="J1" t="str">
        <f>表格1_[[#Headers],[強積金保守基金]]</f>
        <v>強積金保守基金</v>
      </c>
      <c r="K1" t="str">
        <f>表格1_[[#Headers],[均衡組合]]</f>
        <v>均衡組合</v>
      </c>
    </row>
    <row r="2" spans="1:11" x14ac:dyDescent="0.4">
      <c r="A2" s="6">
        <v>42856</v>
      </c>
      <c r="B2">
        <f>LN(mpf_monthly_price!B3/mpf_monthly_price!B2)</f>
        <v>4.3967584798968069E-2</v>
      </c>
      <c r="C2">
        <f>LN(mpf_monthly_price!C3/mpf_monthly_price!C2)</f>
        <v>1.4513245472652044E-2</v>
      </c>
      <c r="D2">
        <f>LN(mpf_monthly_price!D3/mpf_monthly_price!D2)</f>
        <v>1.2565610360364474E-2</v>
      </c>
      <c r="E2">
        <f>LN(mpf_monthly_price!E3/mpf_monthly_price!E2)</f>
        <v>1.3259537191634438E-2</v>
      </c>
      <c r="F2">
        <f>LN(mpf_monthly_price!F3/mpf_monthly_price!F2)</f>
        <v>3.2031050662684558E-2</v>
      </c>
      <c r="G2">
        <f>LN(mpf_monthly_price!G3/mpf_monthly_price!G2)</f>
        <v>1.7316236433658008E-2</v>
      </c>
      <c r="H2">
        <f>LN(mpf_monthly_price!H3/mpf_monthly_price!H2)</f>
        <v>2.4583613504644705E-2</v>
      </c>
      <c r="I2">
        <f>LN(mpf_monthly_price!I3/mpf_monthly_price!I2)</f>
        <v>1.1450288266268658E-2</v>
      </c>
      <c r="J2">
        <f>LN(mpf_monthly_price!J3/mpf_monthly_price!J2)</f>
        <v>8.9585666353335104E-5</v>
      </c>
      <c r="K2">
        <f>LN(mpf_monthly_price!K3/mpf_monthly_price!K2)</f>
        <v>1.9185119322132824E-2</v>
      </c>
    </row>
    <row r="3" spans="1:11" x14ac:dyDescent="0.4">
      <c r="A3" s="6">
        <v>42887</v>
      </c>
      <c r="B3">
        <f>LN(mpf_monthly_price!B4/mpf_monthly_price!B3)</f>
        <v>5.4776576494065836E-3</v>
      </c>
      <c r="C3">
        <f>LN(mpf_monthly_price!C4/mpf_monthly_price!C3)</f>
        <v>2.367107310488804E-2</v>
      </c>
      <c r="D3">
        <f>LN(mpf_monthly_price!D4/mpf_monthly_price!D3)</f>
        <v>3.0225771571351849E-3</v>
      </c>
      <c r="E3">
        <f>LN(mpf_monthly_price!E4/mpf_monthly_price!E3)</f>
        <v>-1.9533163745555681E-3</v>
      </c>
      <c r="F3">
        <f>LN(mpf_monthly_price!F4/mpf_monthly_price!F3)</f>
        <v>4.5180145491936574E-3</v>
      </c>
      <c r="G3">
        <f>LN(mpf_monthly_price!G4/mpf_monthly_price!G3)</f>
        <v>-2.4484611419129752E-3</v>
      </c>
      <c r="H3">
        <f>LN(mpf_monthly_price!H4/mpf_monthly_price!H3)</f>
        <v>4.5918756292865582E-3</v>
      </c>
      <c r="I3">
        <f>LN(mpf_monthly_price!I4/mpf_monthly_price!I3)</f>
        <v>-5.1245552722875695E-4</v>
      </c>
      <c r="J3">
        <f>LN(mpf_monthly_price!J4/mpf_monthly_price!J3)</f>
        <v>8.9577641480723981E-5</v>
      </c>
      <c r="K3">
        <f>LN(mpf_monthly_price!K4/mpf_monthly_price!K3)</f>
        <v>2.7037869465793862E-3</v>
      </c>
    </row>
    <row r="4" spans="1:11" x14ac:dyDescent="0.4">
      <c r="A4" s="6">
        <v>42917</v>
      </c>
      <c r="B4">
        <f>LN(mpf_monthly_price!B5/mpf_monthly_price!B4)</f>
        <v>7.1368179925578631E-2</v>
      </c>
      <c r="C4">
        <f>LN(mpf_monthly_price!C5/mpf_monthly_price!C4)</f>
        <v>5.0969200681676749E-2</v>
      </c>
      <c r="D4">
        <f>LN(mpf_monthly_price!D5/mpf_monthly_price!D4)</f>
        <v>1.1626947671631071E-2</v>
      </c>
      <c r="E4">
        <f>LN(mpf_monthly_price!E5/mpf_monthly_price!E4)</f>
        <v>2.0034543799611854E-2</v>
      </c>
      <c r="F4">
        <f>LN(mpf_monthly_price!F5/mpf_monthly_price!F4)</f>
        <v>4.338642926118938E-2</v>
      </c>
      <c r="G4">
        <f>LN(mpf_monthly_price!G5/mpf_monthly_price!G4)</f>
        <v>3.2036703512920095E-2</v>
      </c>
      <c r="H4">
        <f>LN(mpf_monthly_price!H5/mpf_monthly_price!H4)</f>
        <v>3.4831454544750486E-2</v>
      </c>
      <c r="I4">
        <f>LN(mpf_monthly_price!I5/mpf_monthly_price!I4)</f>
        <v>3.4427289595107213E-2</v>
      </c>
      <c r="J4">
        <f>LN(mpf_monthly_price!J5/mpf_monthly_price!J4)</f>
        <v>8.9569618045436466E-5</v>
      </c>
      <c r="K4">
        <f>LN(mpf_monthly_price!K5/mpf_monthly_price!K4)</f>
        <v>2.5863936143021238E-2</v>
      </c>
    </row>
    <row r="5" spans="1:11" x14ac:dyDescent="0.4">
      <c r="A5" s="6">
        <v>42948</v>
      </c>
      <c r="B5">
        <f>LN(mpf_monthly_price!B6/mpf_monthly_price!B5)</f>
        <v>1.9540642386454175E-2</v>
      </c>
      <c r="C5">
        <f>LN(mpf_monthly_price!C6/mpf_monthly_price!C5)</f>
        <v>-1.1198895356320161E-2</v>
      </c>
      <c r="D5">
        <f>LN(mpf_monthly_price!D6/mpf_monthly_price!D5)</f>
        <v>6.3191363514785324E-3</v>
      </c>
      <c r="E5">
        <f>LN(mpf_monthly_price!E6/mpf_monthly_price!E5)</f>
        <v>3.5391495165265196E-3</v>
      </c>
      <c r="F5">
        <f>LN(mpf_monthly_price!F6/mpf_monthly_price!F5)</f>
        <v>9.2128473812612376E-3</v>
      </c>
      <c r="G5">
        <f>LN(mpf_monthly_price!G6/mpf_monthly_price!G5)</f>
        <v>-2.5673955052458097E-3</v>
      </c>
      <c r="H5">
        <f>LN(mpf_monthly_price!H6/mpf_monthly_price!H5)</f>
        <v>8.6946988738212435E-3</v>
      </c>
      <c r="I5">
        <f>LN(mpf_monthly_price!I6/mpf_monthly_price!I5)</f>
        <v>1.1652529342438774E-2</v>
      </c>
      <c r="J5">
        <f>LN(mpf_monthly_price!J6/mpf_monthly_price!J5)</f>
        <v>8.9561596047472628E-5</v>
      </c>
      <c r="K5">
        <f>LN(mpf_monthly_price!K6/mpf_monthly_price!K5)</f>
        <v>6.60485136252112E-3</v>
      </c>
    </row>
    <row r="6" spans="1:11" x14ac:dyDescent="0.4">
      <c r="A6" s="6">
        <v>42979</v>
      </c>
      <c r="B6">
        <f>LN(mpf_monthly_price!B7/mpf_monthly_price!B6)</f>
        <v>-1.6725635325910513E-2</v>
      </c>
      <c r="C6">
        <f>LN(mpf_monthly_price!C7/mpf_monthly_price!C6)</f>
        <v>-1.5996213115326275E-2</v>
      </c>
      <c r="D6">
        <f>LN(mpf_monthly_price!D7/mpf_monthly_price!D6)</f>
        <v>-9.1197356427769691E-3</v>
      </c>
      <c r="E6">
        <f>LN(mpf_monthly_price!E7/mpf_monthly_price!E6)</f>
        <v>6.0923558263820841E-3</v>
      </c>
      <c r="F6">
        <f>LN(mpf_monthly_price!F7/mpf_monthly_price!F6)</f>
        <v>6.190447154396355E-3</v>
      </c>
      <c r="G6">
        <f>LN(mpf_monthly_price!G7/mpf_monthly_price!G6)</f>
        <v>1.8162161619084391E-2</v>
      </c>
      <c r="H6">
        <f>LN(mpf_monthly_price!H7/mpf_monthly_price!H6)</f>
        <v>5.2381757418381485E-3</v>
      </c>
      <c r="I6">
        <f>LN(mpf_monthly_price!I7/mpf_monthly_price!I6)</f>
        <v>1.2109565212596317E-2</v>
      </c>
      <c r="J6">
        <f>LN(mpf_monthly_price!J7/mpf_monthly_price!J6)</f>
        <v>8.9553575486388417E-5</v>
      </c>
      <c r="K6">
        <f>LN(mpf_monthly_price!K7/mpf_monthly_price!K6)</f>
        <v>9.6763276213260991E-4</v>
      </c>
    </row>
    <row r="7" spans="1:11" x14ac:dyDescent="0.4">
      <c r="A7" s="6">
        <v>43009</v>
      </c>
      <c r="B7">
        <f>LN(mpf_monthly_price!B8/mpf_monthly_price!B7)</f>
        <v>4.3000016897768563E-2</v>
      </c>
      <c r="C7">
        <f>LN(mpf_monthly_price!C8/mpf_monthly_price!C7)</f>
        <v>5.6091042880246113E-2</v>
      </c>
      <c r="D7">
        <f>LN(mpf_monthly_price!D8/mpf_monthly_price!D7)</f>
        <v>-4.0279198291862991E-3</v>
      </c>
      <c r="E7">
        <f>LN(mpf_monthly_price!E8/mpf_monthly_price!E7)</f>
        <v>1.441585241956315E-2</v>
      </c>
      <c r="F7">
        <f>LN(mpf_monthly_price!F8/mpf_monthly_price!F7)</f>
        <v>3.328013908679768E-2</v>
      </c>
      <c r="G7">
        <f>LN(mpf_monthly_price!G8/mpf_monthly_price!G7)</f>
        <v>1.7562602426787973E-2</v>
      </c>
      <c r="H7">
        <f>LN(mpf_monthly_price!H8/mpf_monthly_price!H7)</f>
        <v>2.9918815776591626E-2</v>
      </c>
      <c r="I7">
        <f>LN(mpf_monthly_price!I8/mpf_monthly_price!I7)</f>
        <v>1.138045568788142E-2</v>
      </c>
      <c r="J7">
        <f>LN(mpf_monthly_price!J8/mpf_monthly_price!J7)</f>
        <v>8.9545556361739838E-5</v>
      </c>
      <c r="K7">
        <f>LN(mpf_monthly_price!K8/mpf_monthly_price!K7)</f>
        <v>2.001215770706188E-2</v>
      </c>
    </row>
    <row r="8" spans="1:11" x14ac:dyDescent="0.4">
      <c r="A8" s="6">
        <v>43040</v>
      </c>
      <c r="B8">
        <f>LN(mpf_monthly_price!B9/mpf_monthly_price!B8)</f>
        <v>1.1408074366063999E-2</v>
      </c>
      <c r="C8">
        <f>LN(mpf_monthly_price!C9/mpf_monthly_price!C8)</f>
        <v>-1.7529077546274734E-2</v>
      </c>
      <c r="D8">
        <f>LN(mpf_monthly_price!D9/mpf_monthly_price!D8)</f>
        <v>1.0643364407564608E-2</v>
      </c>
      <c r="E8">
        <f>LN(mpf_monthly_price!E9/mpf_monthly_price!E8)</f>
        <v>9.3110542330893577E-3</v>
      </c>
      <c r="F8">
        <f>LN(mpf_monthly_price!F9/mpf_monthly_price!F8)</f>
        <v>5.5192129380452213E-3</v>
      </c>
      <c r="G8">
        <f>LN(mpf_monthly_price!G9/mpf_monthly_price!G8)</f>
        <v>3.0044789976575566E-2</v>
      </c>
      <c r="H8">
        <f>LN(mpf_monthly_price!H9/mpf_monthly_price!H8)</f>
        <v>7.4386931218774497E-3</v>
      </c>
      <c r="I8">
        <f>LN(mpf_monthly_price!I9/mpf_monthly_price!I8)</f>
        <v>1.6700859682767362E-2</v>
      </c>
      <c r="J8">
        <f>LN(mpf_monthly_price!J9/mpf_monthly_price!J8)</f>
        <v>8.9537538672860854E-5</v>
      </c>
      <c r="K8">
        <f>LN(mpf_monthly_price!K9/mpf_monthly_price!K8)</f>
        <v>6.2844254364785804E-3</v>
      </c>
    </row>
    <row r="9" spans="1:11" x14ac:dyDescent="0.4">
      <c r="A9" s="6">
        <v>43070</v>
      </c>
      <c r="B9">
        <f>LN(mpf_monthly_price!B10/mpf_monthly_price!B9)</f>
        <v>2.3507616840709202E-2</v>
      </c>
      <c r="C9">
        <f>LN(mpf_monthly_price!C10/mpf_monthly_price!C9)</f>
        <v>3.1690046638396301E-2</v>
      </c>
      <c r="D9">
        <f>LN(mpf_monthly_price!D10/mpf_monthly_price!D9)</f>
        <v>9.7038791132403913E-3</v>
      </c>
      <c r="E9">
        <f>LN(mpf_monthly_price!E10/mpf_monthly_price!E9)</f>
        <v>1.0418201454201434E-2</v>
      </c>
      <c r="F9">
        <f>LN(mpf_monthly_price!F10/mpf_monthly_price!F9)</f>
        <v>2.5003243653290756E-2</v>
      </c>
      <c r="G9">
        <f>LN(mpf_monthly_price!G10/mpf_monthly_price!G9)</f>
        <v>1.2403809246422854E-2</v>
      </c>
      <c r="H9">
        <f>LN(mpf_monthly_price!H10/mpf_monthly_price!H9)</f>
        <v>2.1827403044521396E-2</v>
      </c>
      <c r="I9">
        <f>LN(mpf_monthly_price!I10/mpf_monthly_price!I9)</f>
        <v>1.8069817815078826E-2</v>
      </c>
      <c r="J9">
        <f>LN(mpf_monthly_price!J10/mpf_monthly_price!J9)</f>
        <v>8.9529522419751477E-5</v>
      </c>
      <c r="K9">
        <f>LN(mpf_monthly_price!K10/mpf_monthly_price!K9)</f>
        <v>1.3846231126941586E-2</v>
      </c>
    </row>
    <row r="10" spans="1:11" x14ac:dyDescent="0.4">
      <c r="A10" s="6">
        <v>43101</v>
      </c>
      <c r="B10">
        <f>LN(mpf_monthly_price!B11/mpf_monthly_price!B10)</f>
        <v>9.8030152741925253E-2</v>
      </c>
      <c r="C10">
        <f>LN(mpf_monthly_price!C11/mpf_monthly_price!C10)</f>
        <v>4.2557930847672162E-2</v>
      </c>
      <c r="D10">
        <f>LN(mpf_monthly_price!D11/mpf_monthly_price!D10)</f>
        <v>7.87838446564278E-3</v>
      </c>
      <c r="E10">
        <f>LN(mpf_monthly_price!E11/mpf_monthly_price!E10)</f>
        <v>2.9016362075915202E-2</v>
      </c>
      <c r="F10">
        <f>LN(mpf_monthly_price!F11/mpf_monthly_price!F10)</f>
        <v>6.1346122569234413E-2</v>
      </c>
      <c r="G10">
        <f>LN(mpf_monthly_price!G11/mpf_monthly_price!G10)</f>
        <v>5.1440769644441296E-2</v>
      </c>
      <c r="H10">
        <f>LN(mpf_monthly_price!H11/mpf_monthly_price!H10)</f>
        <v>5.5979267741901068E-2</v>
      </c>
      <c r="I10">
        <f>LN(mpf_monthly_price!I11/mpf_monthly_price!I10)</f>
        <v>6.8606253923882143E-2</v>
      </c>
      <c r="J10">
        <f>LN(mpf_monthly_price!J11/mpf_monthly_price!J10)</f>
        <v>8.9521507601967714E-5</v>
      </c>
      <c r="K10">
        <f>LN(mpf_monthly_price!K11/mpf_monthly_price!K10)</f>
        <v>3.6087213035207608E-2</v>
      </c>
    </row>
    <row r="11" spans="1:11" x14ac:dyDescent="0.4">
      <c r="A11" s="6">
        <v>43132</v>
      </c>
      <c r="B11">
        <f>LN(mpf_monthly_price!B12/mpf_monthly_price!B11)</f>
        <v>-5.6073697386915991E-2</v>
      </c>
      <c r="C11">
        <f>LN(mpf_monthly_price!C12/mpf_monthly_price!C11)</f>
        <v>-4.1871270212795401E-2</v>
      </c>
      <c r="D11">
        <f>LN(mpf_monthly_price!D12/mpf_monthly_price!D11)</f>
        <v>-8.9826451833561471E-3</v>
      </c>
      <c r="E11">
        <f>LN(mpf_monthly_price!E12/mpf_monthly_price!E11)</f>
        <v>-3.0944294736426219E-2</v>
      </c>
      <c r="F11">
        <f>LN(mpf_monthly_price!F12/mpf_monthly_price!F11)</f>
        <v>-5.1160443114355178E-2</v>
      </c>
      <c r="G11">
        <f>LN(mpf_monthly_price!G12/mpf_monthly_price!G11)</f>
        <v>-4.9505512179078844E-2</v>
      </c>
      <c r="H11">
        <f>LN(mpf_monthly_price!H12/mpf_monthly_price!H11)</f>
        <v>-4.5643258411239195E-2</v>
      </c>
      <c r="I11">
        <f>LN(mpf_monthly_price!I12/mpf_monthly_price!I11)</f>
        <v>-5.0302829733328593E-2</v>
      </c>
      <c r="J11">
        <f>LN(mpf_monthly_price!J12/mpf_monthly_price!J11)</f>
        <v>8.9513494219065542E-5</v>
      </c>
      <c r="K11">
        <f>LN(mpf_monthly_price!K12/mpf_monthly_price!K11)</f>
        <v>-3.0805265899033134E-2</v>
      </c>
    </row>
    <row r="12" spans="1:11" x14ac:dyDescent="0.4">
      <c r="A12" s="6">
        <v>43160</v>
      </c>
      <c r="B12">
        <f>LN(mpf_monthly_price!B13/mpf_monthly_price!B12)</f>
        <v>-3.1273193781334967E-2</v>
      </c>
      <c r="C12">
        <f>LN(mpf_monthly_price!C13/mpf_monthly_price!C12)</f>
        <v>-1.6241986908291772E-2</v>
      </c>
      <c r="D12">
        <f>LN(mpf_monthly_price!D13/mpf_monthly_price!D12)</f>
        <v>7.1559938397546922E-3</v>
      </c>
      <c r="E12">
        <f>LN(mpf_monthly_price!E13/mpf_monthly_price!E12)</f>
        <v>-1.8395884510801032E-3</v>
      </c>
      <c r="F12">
        <f>LN(mpf_monthly_price!F13/mpf_monthly_price!F12)</f>
        <v>-1.7072838514577835E-2</v>
      </c>
      <c r="G12">
        <f>LN(mpf_monthly_price!G13/mpf_monthly_price!G12)</f>
        <v>-1.4784918072329749E-2</v>
      </c>
      <c r="H12">
        <f>LN(mpf_monthly_price!H13/mpf_monthly_price!H12)</f>
        <v>-1.4891825866522736E-2</v>
      </c>
      <c r="I12">
        <f>LN(mpf_monthly_price!I13/mpf_monthly_price!I12)</f>
        <v>-9.821869156616949E-3</v>
      </c>
      <c r="J12">
        <f>LN(mpf_monthly_price!J13/mpf_monthly_price!J12)</f>
        <v>8.9505482270600955E-5</v>
      </c>
      <c r="K12">
        <f>LN(mpf_monthly_price!K13/mpf_monthly_price!K12)</f>
        <v>-7.1884367513223493E-3</v>
      </c>
    </row>
    <row r="13" spans="1:11" x14ac:dyDescent="0.4">
      <c r="A13" s="6">
        <v>43191</v>
      </c>
      <c r="B13">
        <f>LN(mpf_monthly_price!B14/mpf_monthly_price!B13)</f>
        <v>2.5292639882340814E-2</v>
      </c>
      <c r="C13">
        <f>LN(mpf_monthly_price!C14/mpf_monthly_price!C13)</f>
        <v>2.324318236727526E-2</v>
      </c>
      <c r="D13">
        <f>LN(mpf_monthly_price!D14/mpf_monthly_price!D13)</f>
        <v>-1.4178105296534087E-2</v>
      </c>
      <c r="E13">
        <f>LN(mpf_monthly_price!E14/mpf_monthly_price!E13)</f>
        <v>3.4923296224445379E-3</v>
      </c>
      <c r="F13">
        <f>LN(mpf_monthly_price!F14/mpf_monthly_price!F13)</f>
        <v>1.0446767051536344E-2</v>
      </c>
      <c r="G13">
        <f>LN(mpf_monthly_price!G14/mpf_monthly_price!G13)</f>
        <v>9.1446457829589562E-3</v>
      </c>
      <c r="H13">
        <f>LN(mpf_monthly_price!H14/mpf_monthly_price!H13)</f>
        <v>8.1208827003567911E-3</v>
      </c>
      <c r="I13">
        <f>LN(mpf_monthly_price!I14/mpf_monthly_price!I13)</f>
        <v>-3.4656780012175315E-3</v>
      </c>
      <c r="J13">
        <f>LN(mpf_monthly_price!J14/mpf_monthly_price!J13)</f>
        <v>8.9497471756129916E-5</v>
      </c>
      <c r="K13">
        <f>LN(mpf_monthly_price!K14/mpf_monthly_price!K13)</f>
        <v>3.7228349818030224E-4</v>
      </c>
    </row>
    <row r="14" spans="1:11" x14ac:dyDescent="0.4">
      <c r="A14" s="6">
        <v>43221</v>
      </c>
      <c r="B14">
        <f>LN(mpf_monthly_price!B15/mpf_monthly_price!B14)</f>
        <v>-7.0594322780027077E-3</v>
      </c>
      <c r="C14">
        <f>LN(mpf_monthly_price!C15/mpf_monthly_price!C14)</f>
        <v>-6.2343087793531819E-3</v>
      </c>
      <c r="D14">
        <f>LN(mpf_monthly_price!D15/mpf_monthly_price!D14)</f>
        <v>-3.1575063380285795E-3</v>
      </c>
      <c r="E14">
        <f>LN(mpf_monthly_price!E15/mpf_monthly_price!E14)</f>
        <v>3.7544112595548659E-3</v>
      </c>
      <c r="F14">
        <f>LN(mpf_monthly_price!F15/mpf_monthly_price!F14)</f>
        <v>-1.1086263726976899E-3</v>
      </c>
      <c r="G14">
        <f>LN(mpf_monthly_price!G15/mpf_monthly_price!G14)</f>
        <v>3.4313898524125176E-2</v>
      </c>
      <c r="H14">
        <f>LN(mpf_monthly_price!H15/mpf_monthly_price!H14)</f>
        <v>-1.6189092090102765E-3</v>
      </c>
      <c r="I14">
        <f>LN(mpf_monthly_price!I15/mpf_monthly_price!I14)</f>
        <v>-5.3237904088559726E-3</v>
      </c>
      <c r="J14">
        <f>LN(mpf_monthly_price!J15/mpf_monthly_price!J14)</f>
        <v>8.948946267565248E-5</v>
      </c>
      <c r="K14">
        <f>LN(mpf_monthly_price!K15/mpf_monthly_price!K14)</f>
        <v>-5.4585033709035795E-3</v>
      </c>
    </row>
    <row r="15" spans="1:11" x14ac:dyDescent="0.4">
      <c r="A15" s="6">
        <v>43252</v>
      </c>
      <c r="B15">
        <f>LN(mpf_monthly_price!B16/mpf_monthly_price!B15)</f>
        <v>-5.607679337033241E-2</v>
      </c>
      <c r="C15">
        <f>LN(mpf_monthly_price!C16/mpf_monthly_price!C15)</f>
        <v>-3.3227010703035305E-2</v>
      </c>
      <c r="D15">
        <f>LN(mpf_monthly_price!D16/mpf_monthly_price!D15)</f>
        <v>-1.4333469432520667E-2</v>
      </c>
      <c r="E15">
        <f>LN(mpf_monthly_price!E16/mpf_monthly_price!E15)</f>
        <v>-7.5229712598894822E-3</v>
      </c>
      <c r="F15">
        <f>LN(mpf_monthly_price!F16/mpf_monthly_price!F15)</f>
        <v>-3.3210657995718595E-2</v>
      </c>
      <c r="G15">
        <f>LN(mpf_monthly_price!G16/mpf_monthly_price!G15)</f>
        <v>-1.9270744859537444E-2</v>
      </c>
      <c r="H15">
        <f>LN(mpf_monthly_price!H16/mpf_monthly_price!H15)</f>
        <v>-3.4337430061338395E-2</v>
      </c>
      <c r="I15">
        <f>LN(mpf_monthly_price!I16/mpf_monthly_price!I15)</f>
        <v>-1.4684096119731496E-2</v>
      </c>
      <c r="J15">
        <f>LN(mpf_monthly_price!J16/mpf_monthly_price!J15)</f>
        <v>8.0504499182185391E-4</v>
      </c>
      <c r="K15">
        <f>LN(mpf_monthly_price!K16/mpf_monthly_price!K15)</f>
        <v>-2.2041283913692946E-2</v>
      </c>
    </row>
    <row r="16" spans="1:11" x14ac:dyDescent="0.4">
      <c r="A16" s="6">
        <v>43282</v>
      </c>
      <c r="B16">
        <f>LN(mpf_monthly_price!B17/mpf_monthly_price!B16)</f>
        <v>-1.0745256388195613E-2</v>
      </c>
      <c r="C16">
        <f>LN(mpf_monthly_price!C17/mpf_monthly_price!C16)</f>
        <v>3.1328902183315931E-2</v>
      </c>
      <c r="D16">
        <f>LN(mpf_monthly_price!D17/mpf_monthly_price!D16)</f>
        <v>1.225894820882938E-3</v>
      </c>
      <c r="E16">
        <f>LN(mpf_monthly_price!E17/mpf_monthly_price!E16)</f>
        <v>1.4626826270876503E-2</v>
      </c>
      <c r="F16">
        <f>LN(mpf_monthly_price!F17/mpf_monthly_price!F16)</f>
        <v>8.7398690258827533E-3</v>
      </c>
      <c r="G16">
        <f>LN(mpf_monthly_price!G17/mpf_monthly_price!G16)</f>
        <v>3.3052368691051319E-2</v>
      </c>
      <c r="H16">
        <f>LN(mpf_monthly_price!H17/mpf_monthly_price!H16)</f>
        <v>9.4017548811536605E-3</v>
      </c>
      <c r="I16">
        <f>LN(mpf_monthly_price!I17/mpf_monthly_price!I16)</f>
        <v>4.5662595941769607E-2</v>
      </c>
      <c r="J16">
        <f>LN(mpf_monthly_price!J17/mpf_monthly_price!J16)</f>
        <v>4.469673341296862E-4</v>
      </c>
      <c r="K16">
        <f>LN(mpf_monthly_price!K17/mpf_monthly_price!K16)</f>
        <v>3.866260991327192E-3</v>
      </c>
    </row>
    <row r="17" spans="1:11" x14ac:dyDescent="0.4">
      <c r="A17" s="6">
        <v>43313</v>
      </c>
      <c r="B17">
        <f>LN(mpf_monthly_price!B18/mpf_monthly_price!B17)</f>
        <v>-1.1752682154233645E-2</v>
      </c>
      <c r="C17">
        <f>LN(mpf_monthly_price!C18/mpf_monthly_price!C17)</f>
        <v>-1.5069726800011913E-2</v>
      </c>
      <c r="D17">
        <f>LN(mpf_monthly_price!D18/mpf_monthly_price!D17)</f>
        <v>2.9172372827242672E-3</v>
      </c>
      <c r="E17">
        <f>LN(mpf_monthly_price!E18/mpf_monthly_price!E17)</f>
        <v>6.9636275068903075E-3</v>
      </c>
      <c r="F17">
        <f>LN(mpf_monthly_price!F18/mpf_monthly_price!F17)</f>
        <v>-6.567457783443845E-3</v>
      </c>
      <c r="G17">
        <f>LN(mpf_monthly_price!G18/mpf_monthly_price!G17)</f>
        <v>3.0974551614622831E-2</v>
      </c>
      <c r="H17">
        <f>LN(mpf_monthly_price!H18/mpf_monthly_price!H17)</f>
        <v>-5.6081659522399033E-3</v>
      </c>
      <c r="I17">
        <f>LN(mpf_monthly_price!I18/mpf_monthly_price!I17)</f>
        <v>1.1921096831150032E-2</v>
      </c>
      <c r="J17">
        <f>LN(mpf_monthly_price!J18/mpf_monthly_price!J17)</f>
        <v>1.1611809620565084E-3</v>
      </c>
      <c r="K17">
        <f>LN(mpf_monthly_price!K18/mpf_monthly_price!K17)</f>
        <v>-3.6749832554723652E-3</v>
      </c>
    </row>
    <row r="18" spans="1:11" x14ac:dyDescent="0.4">
      <c r="A18" s="6">
        <v>43344</v>
      </c>
      <c r="B18">
        <f>LN(mpf_monthly_price!B19/mpf_monthly_price!B18)</f>
        <v>2.1363725412295769E-3</v>
      </c>
      <c r="C18">
        <f>LN(mpf_monthly_price!C19/mpf_monthly_price!C18)</f>
        <v>-2.4972732253576543E-2</v>
      </c>
      <c r="D18">
        <f>LN(mpf_monthly_price!D19/mpf_monthly_price!D18)</f>
        <v>-6.5994394321347814E-3</v>
      </c>
      <c r="E18">
        <f>LN(mpf_monthly_price!E19/mpf_monthly_price!E18)</f>
        <v>-1.5332584739944225E-3</v>
      </c>
      <c r="F18">
        <f>LN(mpf_monthly_price!F19/mpf_monthly_price!F18)</f>
        <v>-1.5399501572406482E-3</v>
      </c>
      <c r="G18">
        <f>LN(mpf_monthly_price!G19/mpf_monthly_price!G18)</f>
        <v>4.8875952625359181E-3</v>
      </c>
      <c r="H18">
        <f>LN(mpf_monthly_price!H19/mpf_monthly_price!H18)</f>
        <v>-1.2257634697223293E-3</v>
      </c>
      <c r="I18">
        <f>LN(mpf_monthly_price!I19/mpf_monthly_price!I18)</f>
        <v>7.3486515301235808E-3</v>
      </c>
      <c r="J18">
        <f>LN(mpf_monthly_price!J19/mpf_monthly_price!J18)</f>
        <v>6.2469325131783086E-4</v>
      </c>
      <c r="K18">
        <f>LN(mpf_monthly_price!K19/mpf_monthly_price!K18)</f>
        <v>-3.8805232301521195E-3</v>
      </c>
    </row>
    <row r="19" spans="1:11" x14ac:dyDescent="0.4">
      <c r="A19" s="6">
        <v>43374</v>
      </c>
      <c r="B19">
        <f>LN(mpf_monthly_price!B20/mpf_monthly_price!B19)</f>
        <v>-8.2832772111465239E-2</v>
      </c>
      <c r="C19">
        <f>LN(mpf_monthly_price!C20/mpf_monthly_price!C19)</f>
        <v>-9.0847564060380595E-2</v>
      </c>
      <c r="D19">
        <f>LN(mpf_monthly_price!D20/mpf_monthly_price!D19)</f>
        <v>-4.1706221590813702E-3</v>
      </c>
      <c r="E19">
        <f>LN(mpf_monthly_price!E20/mpf_monthly_price!E19)</f>
        <v>-4.0430940625037576E-2</v>
      </c>
      <c r="F19">
        <f>LN(mpf_monthly_price!F20/mpf_monthly_price!F19)</f>
        <v>-7.8049122014497513E-2</v>
      </c>
      <c r="G19">
        <f>LN(mpf_monthly_price!G20/mpf_monthly_price!G19)</f>
        <v>-6.335822224419288E-2</v>
      </c>
      <c r="H19">
        <f>LN(mpf_monthly_price!H20/mpf_monthly_price!H19)</f>
        <v>-6.48916711463529E-2</v>
      </c>
      <c r="I19">
        <f>LN(mpf_monthly_price!I20/mpf_monthly_price!I19)</f>
        <v>-3.31999230103543E-2</v>
      </c>
      <c r="J19">
        <f>LN(mpf_monthly_price!J20/mpf_monthly_price!J19)</f>
        <v>1.2482169951605619E-3</v>
      </c>
      <c r="K19">
        <f>LN(mpf_monthly_price!K20/mpf_monthly_price!K19)</f>
        <v>-4.843502155674495E-2</v>
      </c>
    </row>
    <row r="20" spans="1:11" x14ac:dyDescent="0.4">
      <c r="A20" s="6">
        <v>43405</v>
      </c>
      <c r="B20">
        <f>LN(mpf_monthly_price!B21/mpf_monthly_price!B20)</f>
        <v>4.1254667518938699E-2</v>
      </c>
      <c r="C20">
        <f>LN(mpf_monthly_price!C21/mpf_monthly_price!C20)</f>
        <v>1.3455580584737427E-2</v>
      </c>
      <c r="D20">
        <f>LN(mpf_monthly_price!D21/mpf_monthly_price!D20)</f>
        <v>1.2366231124038318E-2</v>
      </c>
      <c r="E20">
        <f>LN(mpf_monthly_price!E21/mpf_monthly_price!E20)</f>
        <v>3.3777476287794369E-3</v>
      </c>
      <c r="F20">
        <f>LN(mpf_monthly_price!F21/mpf_monthly_price!F20)</f>
        <v>7.2792607995731933E-3</v>
      </c>
      <c r="G20">
        <f>LN(mpf_monthly_price!G21/mpf_monthly_price!G20)</f>
        <v>-6.6015440615763352E-3</v>
      </c>
      <c r="H20">
        <f>LN(mpf_monthly_price!H21/mpf_monthly_price!H20)</f>
        <v>6.2268548121475536E-3</v>
      </c>
      <c r="I20">
        <f>LN(mpf_monthly_price!I21/mpf_monthly_price!I20)</f>
        <v>-5.9719798927647698E-3</v>
      </c>
      <c r="J20">
        <f>LN(mpf_monthly_price!J21/mpf_monthly_price!J20)</f>
        <v>9.7965007612207966E-4</v>
      </c>
      <c r="K20">
        <f>LN(mpf_monthly_price!K21/mpf_monthly_price!K20)</f>
        <v>3.4201823904364882E-3</v>
      </c>
    </row>
    <row r="21" spans="1:11" x14ac:dyDescent="0.4">
      <c r="A21" s="6">
        <v>43435</v>
      </c>
      <c r="B21">
        <f>LN(mpf_monthly_price!B22/mpf_monthly_price!B21)</f>
        <v>-3.0366197681026004E-2</v>
      </c>
      <c r="C21">
        <f>LN(mpf_monthly_price!C22/mpf_monthly_price!C21)</f>
        <v>-2.1040835028368229E-2</v>
      </c>
      <c r="D21">
        <f>LN(mpf_monthly_price!D22/mpf_monthly_price!D21)</f>
        <v>1.3048931543622879E-2</v>
      </c>
      <c r="E21">
        <f>LN(mpf_monthly_price!E22/mpf_monthly_price!E21)</f>
        <v>-3.6728504688323275E-2</v>
      </c>
      <c r="F21">
        <f>LN(mpf_monthly_price!F22/mpf_monthly_price!F21)</f>
        <v>-4.702305357031767E-2</v>
      </c>
      <c r="G21">
        <f>LN(mpf_monthly_price!G22/mpf_monthly_price!G21)</f>
        <v>-9.577653978601619E-2</v>
      </c>
      <c r="H21">
        <f>LN(mpf_monthly_price!H22/mpf_monthly_price!H21)</f>
        <v>-3.3544861956283367E-2</v>
      </c>
      <c r="I21">
        <f>LN(mpf_monthly_price!I22/mpf_monthly_price!I21)</f>
        <v>-8.2278708198601253E-2</v>
      </c>
      <c r="J21">
        <f>LN(mpf_monthly_price!J22/mpf_monthly_price!J21)</f>
        <v>9.7869130103809946E-4</v>
      </c>
      <c r="K21">
        <f>LN(mpf_monthly_price!K22/mpf_monthly_price!K21)</f>
        <v>-2.0135078615462702E-2</v>
      </c>
    </row>
    <row r="22" spans="1:11" x14ac:dyDescent="0.4">
      <c r="A22" s="6">
        <v>43466</v>
      </c>
      <c r="B22">
        <f>LN(mpf_monthly_price!B23/mpf_monthly_price!B22)</f>
        <v>7.7501185808963841E-2</v>
      </c>
      <c r="C22">
        <f>LN(mpf_monthly_price!C23/mpf_monthly_price!C22)</f>
        <v>4.7509274140876891E-2</v>
      </c>
      <c r="D22">
        <f>LN(mpf_monthly_price!D23/mpf_monthly_price!D22)</f>
        <v>1.9622855932184182E-2</v>
      </c>
      <c r="E22">
        <f>LN(mpf_monthly_price!E23/mpf_monthly_price!E22)</f>
        <v>4.6701093045980836E-2</v>
      </c>
      <c r="F22">
        <f>LN(mpf_monthly_price!F23/mpf_monthly_price!F22)</f>
        <v>6.601282725227782E-2</v>
      </c>
      <c r="G22">
        <f>LN(mpf_monthly_price!G23/mpf_monthly_price!G22)</f>
        <v>7.5528477989889597E-2</v>
      </c>
      <c r="H22">
        <f>LN(mpf_monthly_price!H23/mpf_monthly_price!H22)</f>
        <v>5.8417699540023744E-2</v>
      </c>
      <c r="I22">
        <f>LN(mpf_monthly_price!I23/mpf_monthly_price!I22)</f>
        <v>8.9057709218591852E-2</v>
      </c>
      <c r="J22">
        <f>LN(mpf_monthly_price!J23/mpf_monthly_price!J22)</f>
        <v>1.4218433036095374E-3</v>
      </c>
      <c r="K22">
        <f>LN(mpf_monthly_price!K23/mpf_monthly_price!K22)</f>
        <v>4.5420248991433508E-2</v>
      </c>
    </row>
    <row r="23" spans="1:11" x14ac:dyDescent="0.4">
      <c r="A23" s="6">
        <v>43497</v>
      </c>
      <c r="B23">
        <f>LN(mpf_monthly_price!B24/mpf_monthly_price!B23)</f>
        <v>3.5215314262169117E-2</v>
      </c>
      <c r="C23">
        <f>LN(mpf_monthly_price!C24/mpf_monthly_price!C23)</f>
        <v>1.2626374822930036E-2</v>
      </c>
      <c r="D23">
        <f>LN(mpf_monthly_price!D24/mpf_monthly_price!D23)</f>
        <v>-3.9121188956679522E-3</v>
      </c>
      <c r="E23">
        <f>LN(mpf_monthly_price!E24/mpf_monthly_price!E23)</f>
        <v>1.7011122360078009E-2</v>
      </c>
      <c r="F23">
        <f>LN(mpf_monthly_price!F24/mpf_monthly_price!F23)</f>
        <v>2.7015355057577791E-2</v>
      </c>
      <c r="G23">
        <f>LN(mpf_monthly_price!G24/mpf_monthly_price!G23)</f>
        <v>3.6370820321792917E-2</v>
      </c>
      <c r="H23">
        <f>LN(mpf_monthly_price!H24/mpf_monthly_price!H23)</f>
        <v>2.178959125659025E-2</v>
      </c>
      <c r="I23">
        <f>LN(mpf_monthly_price!I24/mpf_monthly_price!I23)</f>
        <v>1.86809288442021E-2</v>
      </c>
      <c r="J23">
        <f>LN(mpf_monthly_price!J24/mpf_monthly_price!J23)</f>
        <v>6.2142129923766496E-4</v>
      </c>
      <c r="K23">
        <f>LN(mpf_monthly_price!K24/mpf_monthly_price!K23)</f>
        <v>1.4725086861466995E-2</v>
      </c>
    </row>
    <row r="24" spans="1:11" x14ac:dyDescent="0.4">
      <c r="A24" s="6">
        <v>43525</v>
      </c>
      <c r="B24">
        <f>LN(mpf_monthly_price!B25/mpf_monthly_price!B24)</f>
        <v>2.2231267031259931E-2</v>
      </c>
      <c r="C24">
        <f>LN(mpf_monthly_price!C25/mpf_monthly_price!C24)</f>
        <v>2.0510432982519554E-2</v>
      </c>
      <c r="D24">
        <f>LN(mpf_monthly_price!D25/mpf_monthly_price!D24)</f>
        <v>1.2681329364399696E-2</v>
      </c>
      <c r="E24">
        <f>LN(mpf_monthly_price!E25/mpf_monthly_price!E24)</f>
        <v>1.6547237723211591E-2</v>
      </c>
      <c r="F24">
        <f>LN(mpf_monthly_price!F25/mpf_monthly_price!F24)</f>
        <v>1.7069030247966861E-2</v>
      </c>
      <c r="G24">
        <f>LN(mpf_monthly_price!G25/mpf_monthly_price!G24)</f>
        <v>8.2839194418672917E-3</v>
      </c>
      <c r="H24">
        <f>LN(mpf_monthly_price!H25/mpf_monthly_price!H24)</f>
        <v>1.7340181652132115E-2</v>
      </c>
      <c r="I24">
        <f>LN(mpf_monthly_price!I25/mpf_monthly_price!I24)</f>
        <v>1.7366146512391517E-2</v>
      </c>
      <c r="J24">
        <f>LN(mpf_monthly_price!J25/mpf_monthly_price!J24)</f>
        <v>6.2103537461592696E-4</v>
      </c>
      <c r="K24">
        <f>LN(mpf_monthly_price!K25/mpf_monthly_price!K24)</f>
        <v>1.5509381771044039E-2</v>
      </c>
    </row>
    <row r="25" spans="1:11" x14ac:dyDescent="0.4">
      <c r="A25" s="6">
        <v>43556</v>
      </c>
      <c r="B25">
        <f>LN(mpf_monthly_price!B26/mpf_monthly_price!B25)</f>
        <v>2.001780027878763E-3</v>
      </c>
      <c r="C25">
        <f>LN(mpf_monthly_price!C26/mpf_monthly_price!C25)</f>
        <v>4.7002607577688064E-3</v>
      </c>
      <c r="D25">
        <f>LN(mpf_monthly_price!D26/mpf_monthly_price!D25)</f>
        <v>-9.5867605892104267E-3</v>
      </c>
      <c r="E25">
        <f>LN(mpf_monthly_price!E26/mpf_monthly_price!E25)</f>
        <v>1.2742431267420086E-2</v>
      </c>
      <c r="F25">
        <f>LN(mpf_monthly_price!F26/mpf_monthly_price!F25)</f>
        <v>7.656185126388884E-3</v>
      </c>
      <c r="G25">
        <f>LN(mpf_monthly_price!G26/mpf_monthly_price!G25)</f>
        <v>1.4564286399879417E-2</v>
      </c>
      <c r="H25">
        <f>LN(mpf_monthly_price!H26/mpf_monthly_price!H25)</f>
        <v>6.6324235831594419E-3</v>
      </c>
      <c r="I25">
        <f>LN(mpf_monthly_price!I26/mpf_monthly_price!I25)</f>
        <v>1.9028007317279116E-2</v>
      </c>
      <c r="J25">
        <f>LN(mpf_monthly_price!J26/mpf_monthly_price!J25)</f>
        <v>1.1523291617708963E-3</v>
      </c>
      <c r="K25">
        <f>LN(mpf_monthly_price!K26/mpf_monthly_price!K25)</f>
        <v>4.8804854153151039E-3</v>
      </c>
    </row>
    <row r="26" spans="1:11" x14ac:dyDescent="0.4">
      <c r="A26" s="6">
        <v>43586</v>
      </c>
      <c r="B26">
        <f>LN(mpf_monthly_price!B27/mpf_monthly_price!B26)</f>
        <v>-9.0035812466715825E-2</v>
      </c>
      <c r="C26">
        <f>LN(mpf_monthly_price!C27/mpf_monthly_price!C26)</f>
        <v>-4.9728450586203204E-2</v>
      </c>
      <c r="D26">
        <f>LN(mpf_monthly_price!D27/mpf_monthly_price!D26)</f>
        <v>3.5379000026657254E-3</v>
      </c>
      <c r="E26">
        <f>LN(mpf_monthly_price!E27/mpf_monthly_price!E26)</f>
        <v>-3.0749523264497147E-2</v>
      </c>
      <c r="F26">
        <f>LN(mpf_monthly_price!F27/mpf_monthly_price!F26)</f>
        <v>-6.2283277795775943E-2</v>
      </c>
      <c r="G26">
        <f>LN(mpf_monthly_price!G27/mpf_monthly_price!G26)</f>
        <v>-6.8555911880804607E-2</v>
      </c>
      <c r="H26">
        <f>LN(mpf_monthly_price!H27/mpf_monthly_price!H26)</f>
        <v>-4.8534040964508869E-2</v>
      </c>
      <c r="I26">
        <f>LN(mpf_monthly_price!I27/mpf_monthly_price!I26)</f>
        <v>-5.9927007687990426E-2</v>
      </c>
      <c r="J26">
        <f>LN(mpf_monthly_price!J27/mpf_monthly_price!J26)</f>
        <v>5.3139670013198728E-4</v>
      </c>
      <c r="K26">
        <f>LN(mpf_monthly_price!K27/mpf_monthly_price!K26)</f>
        <v>-3.2816608333291926E-2</v>
      </c>
    </row>
    <row r="27" spans="1:11" x14ac:dyDescent="0.4">
      <c r="A27" s="6">
        <v>43617</v>
      </c>
      <c r="B27">
        <f>LN(mpf_monthly_price!B28/mpf_monthly_price!B27)</f>
        <v>6.0495896837174851E-2</v>
      </c>
      <c r="C27">
        <f>LN(mpf_monthly_price!C28/mpf_monthly_price!C27)</f>
        <v>4.4685489345299909E-2</v>
      </c>
      <c r="D27">
        <f>LN(mpf_monthly_price!D28/mpf_monthly_price!D27)</f>
        <v>1.9992597407528363E-2</v>
      </c>
      <c r="E27">
        <f>LN(mpf_monthly_price!E28/mpf_monthly_price!E27)</f>
        <v>4.0003544268493743E-2</v>
      </c>
      <c r="F27">
        <f>LN(mpf_monthly_price!F28/mpf_monthly_price!F27)</f>
        <v>5.0397069202542596E-2</v>
      </c>
      <c r="G27">
        <f>LN(mpf_monthly_price!G28/mpf_monthly_price!G27)</f>
        <v>6.2123128866508413E-2</v>
      </c>
      <c r="H27">
        <f>LN(mpf_monthly_price!H28/mpf_monthly_price!H27)</f>
        <v>4.5333861671920585E-2</v>
      </c>
      <c r="I27">
        <f>LN(mpf_monthly_price!I28/mpf_monthly_price!I27)</f>
        <v>5.8064320582261165E-2</v>
      </c>
      <c r="J27">
        <f>LN(mpf_monthly_price!J28/mpf_monthly_price!J27)</f>
        <v>1.3272576385451099E-3</v>
      </c>
      <c r="K27">
        <f>LN(mpf_monthly_price!K28/mpf_monthly_price!K27)</f>
        <v>3.7061697487380155E-2</v>
      </c>
    </row>
    <row r="28" spans="1:11" x14ac:dyDescent="0.4">
      <c r="A28" s="6">
        <v>43647</v>
      </c>
      <c r="B28">
        <f>LN(mpf_monthly_price!B29/mpf_monthly_price!B28)</f>
        <v>-2.6553824060124506E-2</v>
      </c>
      <c r="C28">
        <f>LN(mpf_monthly_price!C29/mpf_monthly_price!C28)</f>
        <v>-1.689426428593524E-2</v>
      </c>
      <c r="D28">
        <f>LN(mpf_monthly_price!D29/mpf_monthly_price!D28)</f>
        <v>-1.5101046618333713E-3</v>
      </c>
      <c r="E28">
        <f>LN(mpf_monthly_price!E29/mpf_monthly_price!E28)</f>
        <v>2.278304525627101E-3</v>
      </c>
      <c r="F28">
        <f>LN(mpf_monthly_price!F29/mpf_monthly_price!F28)</f>
        <v>-1.1664988874074855E-2</v>
      </c>
      <c r="G28">
        <f>LN(mpf_monthly_price!G29/mpf_monthly_price!G28)</f>
        <v>4.6387079921744571E-4</v>
      </c>
      <c r="H28">
        <f>LN(mpf_monthly_price!H29/mpf_monthly_price!H28)</f>
        <v>-9.606648553677901E-3</v>
      </c>
      <c r="I28">
        <f>LN(mpf_monthly_price!I29/mpf_monthly_price!I28)</f>
        <v>-1.8182693176385086E-3</v>
      </c>
      <c r="J28">
        <f>LN(mpf_monthly_price!J29/mpf_monthly_price!J28)</f>
        <v>4.4202803177410284E-4</v>
      </c>
      <c r="K28">
        <f>LN(mpf_monthly_price!K29/mpf_monthly_price!K28)</f>
        <v>-6.5165268144001818E-3</v>
      </c>
    </row>
    <row r="29" spans="1:11" x14ac:dyDescent="0.4">
      <c r="A29" s="6">
        <v>43678</v>
      </c>
      <c r="B29">
        <f>LN(mpf_monthly_price!B30/mpf_monthly_price!B29)</f>
        <v>-6.3238935099793434E-2</v>
      </c>
      <c r="C29">
        <f>LN(mpf_monthly_price!C30/mpf_monthly_price!C29)</f>
        <v>-3.692781898589044E-2</v>
      </c>
      <c r="D29">
        <f>LN(mpf_monthly_price!D30/mpf_monthly_price!D29)</f>
        <v>1.1578192887496142E-2</v>
      </c>
      <c r="E29">
        <f>LN(mpf_monthly_price!E30/mpf_monthly_price!E29)</f>
        <v>-1.4014191660361767E-3</v>
      </c>
      <c r="F29">
        <f>LN(mpf_monthly_price!F30/mpf_monthly_price!F29)</f>
        <v>-2.8189372964625349E-2</v>
      </c>
      <c r="G29">
        <f>LN(mpf_monthly_price!G30/mpf_monthly_price!G29)</f>
        <v>-1.8209394867538926E-2</v>
      </c>
      <c r="H29">
        <f>LN(mpf_monthly_price!H30/mpf_monthly_price!H29)</f>
        <v>-2.0405420255057181E-2</v>
      </c>
      <c r="I29">
        <f>LN(mpf_monthly_price!I30/mpf_monthly_price!I29)</f>
        <v>-1.7245554567467479E-2</v>
      </c>
      <c r="J29">
        <f>LN(mpf_monthly_price!J30/mpf_monthly_price!J29)</f>
        <v>1.2366400303999987E-3</v>
      </c>
      <c r="K29">
        <f>LN(mpf_monthly_price!K30/mpf_monthly_price!K29)</f>
        <v>-9.7594262037759109E-3</v>
      </c>
    </row>
    <row r="30" spans="1:11" x14ac:dyDescent="0.4">
      <c r="A30" s="6">
        <v>43709</v>
      </c>
      <c r="B30">
        <f>LN(mpf_monthly_price!B31/mpf_monthly_price!B30)</f>
        <v>1.5341439363338238E-2</v>
      </c>
      <c r="C30">
        <f>LN(mpf_monthly_price!C31/mpf_monthly_price!C30)</f>
        <v>3.4397276623283603E-2</v>
      </c>
      <c r="D30">
        <f>LN(mpf_monthly_price!D31/mpf_monthly_price!D30)</f>
        <v>-2.199253140663084E-3</v>
      </c>
      <c r="E30">
        <f>LN(mpf_monthly_price!E31/mpf_monthly_price!E30)</f>
        <v>1.1330084598298188E-2</v>
      </c>
      <c r="F30">
        <f>LN(mpf_monthly_price!F31/mpf_monthly_price!F30)</f>
        <v>1.6059131012555974E-2</v>
      </c>
      <c r="G30">
        <f>LN(mpf_monthly_price!G31/mpf_monthly_price!G30)</f>
        <v>1.9936474637173882E-2</v>
      </c>
      <c r="H30">
        <f>LN(mpf_monthly_price!H31/mpf_monthly_price!H30)</f>
        <v>9.7473286758365807E-3</v>
      </c>
      <c r="I30">
        <f>LN(mpf_monthly_price!I31/mpf_monthly_price!I30)</f>
        <v>1.9493982811562102E-2</v>
      </c>
      <c r="J30">
        <f>LN(mpf_monthly_price!J31/mpf_monthly_price!J30)</f>
        <v>1.1469408818294169E-3</v>
      </c>
      <c r="K30">
        <f>LN(mpf_monthly_price!K31/mpf_monthly_price!K30)</f>
        <v>5.1058255172635146E-3</v>
      </c>
    </row>
    <row r="31" spans="1:11" x14ac:dyDescent="0.4">
      <c r="A31" s="6">
        <v>43739</v>
      </c>
      <c r="B31">
        <f>LN(mpf_monthly_price!B32/mpf_monthly_price!B31)</f>
        <v>4.0170895027011488E-2</v>
      </c>
      <c r="C31">
        <f>LN(mpf_monthly_price!C32/mpf_monthly_price!C31)</f>
        <v>4.4221913538844429E-2</v>
      </c>
      <c r="D31">
        <f>LN(mpf_monthly_price!D32/mpf_monthly_price!D31)</f>
        <v>4.2183031176996066E-3</v>
      </c>
      <c r="E31">
        <f>LN(mpf_monthly_price!E32/mpf_monthly_price!E31)</f>
        <v>1.7609869659629265E-2</v>
      </c>
      <c r="F31">
        <f>LN(mpf_monthly_price!F32/mpf_monthly_price!F31)</f>
        <v>3.4495199659871349E-2</v>
      </c>
      <c r="G31">
        <f>LN(mpf_monthly_price!G32/mpf_monthly_price!G31)</f>
        <v>2.580064594473325E-2</v>
      </c>
      <c r="H31">
        <f>LN(mpf_monthly_price!H32/mpf_monthly_price!H31)</f>
        <v>2.890374618234921E-2</v>
      </c>
      <c r="I31">
        <f>LN(mpf_monthly_price!I32/mpf_monthly_price!I31)</f>
        <v>3.6824911833980727E-2</v>
      </c>
      <c r="J31">
        <f>LN(mpf_monthly_price!J32/mpf_monthly_price!J31)</f>
        <v>1.1456269153410801E-3</v>
      </c>
      <c r="K31">
        <f>LN(mpf_monthly_price!K32/mpf_monthly_price!K31)</f>
        <v>2.2403045387441669E-2</v>
      </c>
    </row>
    <row r="32" spans="1:11" x14ac:dyDescent="0.4">
      <c r="A32" s="6">
        <v>43770</v>
      </c>
      <c r="B32">
        <f>LN(mpf_monthly_price!B33/mpf_monthly_price!B32)</f>
        <v>-2.9869111499185565E-2</v>
      </c>
      <c r="C32">
        <f>LN(mpf_monthly_price!C33/mpf_monthly_price!C32)</f>
        <v>-4.860073249941043E-3</v>
      </c>
      <c r="D32">
        <f>LN(mpf_monthly_price!D33/mpf_monthly_price!D32)</f>
        <v>-5.4520008420280474E-3</v>
      </c>
      <c r="E32">
        <f>LN(mpf_monthly_price!E33/mpf_monthly_price!E32)</f>
        <v>7.7187710937874623E-3</v>
      </c>
      <c r="F32">
        <f>LN(mpf_monthly_price!F33/mpf_monthly_price!F32)</f>
        <v>-9.500060089863995E-4</v>
      </c>
      <c r="G32">
        <f>LN(mpf_monthly_price!G33/mpf_monthly_price!G32)</f>
        <v>2.3350203530682883E-2</v>
      </c>
      <c r="H32">
        <f>LN(mpf_monthly_price!H33/mpf_monthly_price!H32)</f>
        <v>-2.0292326046290354E-3</v>
      </c>
      <c r="I32">
        <f>LN(mpf_monthly_price!I33/mpf_monthly_price!I32)</f>
        <v>5.7406757117171364E-3</v>
      </c>
      <c r="J32">
        <f>LN(mpf_monthly_price!J33/mpf_monthly_price!J32)</f>
        <v>6.1633283923290738E-4</v>
      </c>
      <c r="K32">
        <f>LN(mpf_monthly_price!K33/mpf_monthly_price!K32)</f>
        <v>-4.4312874246825954E-3</v>
      </c>
    </row>
    <row r="33" spans="1:11" x14ac:dyDescent="0.4">
      <c r="A33" s="6">
        <v>43800</v>
      </c>
      <c r="B33">
        <f>LN(mpf_monthly_price!B34/mpf_monthly_price!B33)</f>
        <v>7.1673511571516135E-2</v>
      </c>
      <c r="C33">
        <f>LN(mpf_monthly_price!C34/mpf_monthly_price!C33)</f>
        <v>4.5083376511434119E-2</v>
      </c>
      <c r="D33">
        <f>LN(mpf_monthly_price!D34/mpf_monthly_price!D33)</f>
        <v>3.4329508649914866E-3</v>
      </c>
      <c r="E33">
        <f>LN(mpf_monthly_price!E34/mpf_monthly_price!E33)</f>
        <v>1.4844907155136661E-2</v>
      </c>
      <c r="F33">
        <f>LN(mpf_monthly_price!F34/mpf_monthly_price!F33)</f>
        <v>3.7046311972081324E-2</v>
      </c>
      <c r="G33">
        <f>LN(mpf_monthly_price!G34/mpf_monthly_price!G33)</f>
        <v>2.0543235138928272E-2</v>
      </c>
      <c r="H33">
        <f>LN(mpf_monthly_price!H34/mpf_monthly_price!H33)</f>
        <v>3.5751792442225462E-2</v>
      </c>
      <c r="I33">
        <f>LN(mpf_monthly_price!I34/mpf_monthly_price!I33)</f>
        <v>3.4078605500506377E-2</v>
      </c>
      <c r="J33">
        <f>LN(mpf_monthly_price!J34/mpf_monthly_price!J33)</f>
        <v>1.1436112968405336E-3</v>
      </c>
      <c r="K33">
        <f>LN(mpf_monthly_price!K34/mpf_monthly_price!K33)</f>
        <v>2.2694108234929969E-2</v>
      </c>
    </row>
    <row r="34" spans="1:11" x14ac:dyDescent="0.4">
      <c r="A34" s="6">
        <v>43831</v>
      </c>
      <c r="B34">
        <f>LN(mpf_monthly_price!B35/mpf_monthly_price!B34)</f>
        <v>-7.534054905078548E-2</v>
      </c>
      <c r="C34">
        <f>LN(mpf_monthly_price!C35/mpf_monthly_price!C34)</f>
        <v>-4.1394263582643434E-2</v>
      </c>
      <c r="D34">
        <f>LN(mpf_monthly_price!D35/mpf_monthly_price!D34)</f>
        <v>1.7559267022650125E-3</v>
      </c>
      <c r="E34">
        <f>LN(mpf_monthly_price!E35/mpf_monthly_price!E34)</f>
        <v>-6.6622254296325048E-4</v>
      </c>
      <c r="F34">
        <f>LN(mpf_monthly_price!F35/mpf_monthly_price!F34)</f>
        <v>-3.2462954151968752E-2</v>
      </c>
      <c r="G34">
        <f>LN(mpf_monthly_price!G35/mpf_monthly_price!G34)</f>
        <v>-4.9188490715963776E-3</v>
      </c>
      <c r="H34">
        <f>LN(mpf_monthly_price!H35/mpf_monthly_price!H34)</f>
        <v>-3.1970862433254692E-2</v>
      </c>
      <c r="I34">
        <f>LN(mpf_monthly_price!I35/mpf_monthly_price!I34)</f>
        <v>-1.777229184108221E-2</v>
      </c>
      <c r="J34">
        <f>LN(mpf_monthly_price!J35/mpf_monthly_price!J34)</f>
        <v>1.1423049438601394E-3</v>
      </c>
      <c r="K34">
        <f>LN(mpf_monthly_price!K35/mpf_monthly_price!K34)</f>
        <v>-1.4639123465175865E-2</v>
      </c>
    </row>
    <row r="35" spans="1:11" x14ac:dyDescent="0.4">
      <c r="A35" s="6">
        <v>43862</v>
      </c>
      <c r="B35">
        <f>LN(mpf_monthly_price!B36/mpf_monthly_price!B35)</f>
        <v>-1.2246647495548353E-4</v>
      </c>
      <c r="C35">
        <f>LN(mpf_monthly_price!C36/mpf_monthly_price!C35)</f>
        <v>-7.7222184947499703E-2</v>
      </c>
      <c r="D35">
        <f>LN(mpf_monthly_price!D36/mpf_monthly_price!D35)</f>
        <v>1.9279648422213375E-3</v>
      </c>
      <c r="E35">
        <f>LN(mpf_monthly_price!E36/mpf_monthly_price!E35)</f>
        <v>-4.1068470522204213E-2</v>
      </c>
      <c r="F35">
        <f>LN(mpf_monthly_price!F36/mpf_monthly_price!F35)</f>
        <v>-5.1112802640408628E-2</v>
      </c>
      <c r="G35">
        <f>LN(mpf_monthly_price!G36/mpf_monthly_price!G35)</f>
        <v>-8.5613752722991848E-2</v>
      </c>
      <c r="H35">
        <f>LN(mpf_monthly_price!H36/mpf_monthly_price!H35)</f>
        <v>-4.5083413264145437E-2</v>
      </c>
      <c r="I35">
        <f>LN(mpf_monthly_price!I36/mpf_monthly_price!I35)</f>
        <v>-9.0819467207827492E-2</v>
      </c>
      <c r="J35">
        <f>LN(mpf_monthly_price!J36/mpf_monthly_price!J35)</f>
        <v>6.145472297357775E-4</v>
      </c>
      <c r="K35">
        <f>LN(mpf_monthly_price!K36/mpf_monthly_price!K35)</f>
        <v>-2.6407586305620553E-2</v>
      </c>
    </row>
    <row r="36" spans="1:11" x14ac:dyDescent="0.4">
      <c r="A36" s="6">
        <v>43891</v>
      </c>
      <c r="B36">
        <f>LN(mpf_monthly_price!B37/mpf_monthly_price!B36)</f>
        <v>-0.12092636633898136</v>
      </c>
      <c r="C36">
        <f>LN(mpf_monthly_price!C37/mpf_monthly_price!C36)</f>
        <v>-0.21771126665748686</v>
      </c>
      <c r="D36">
        <f>LN(mpf_monthly_price!D37/mpf_monthly_price!D36)</f>
        <v>-2.7245772826511232E-2</v>
      </c>
      <c r="E36">
        <f>LN(mpf_monthly_price!E37/mpf_monthly_price!E36)</f>
        <v>-0.10583319435605289</v>
      </c>
      <c r="F36">
        <f>LN(mpf_monthly_price!F37/mpf_monthly_price!F36)</f>
        <v>-0.14853783971680531</v>
      </c>
      <c r="G36">
        <f>LN(mpf_monthly_price!G37/mpf_monthly_price!G36)</f>
        <v>-0.18778553322600758</v>
      </c>
      <c r="H36">
        <f>LN(mpf_monthly_price!H37/mpf_monthly_price!H36)</f>
        <v>-0.10849315880645802</v>
      </c>
      <c r="I36">
        <f>LN(mpf_monthly_price!I37/mpf_monthly_price!I36)</f>
        <v>-0.22983866514728535</v>
      </c>
      <c r="J36">
        <f>LN(mpf_monthly_price!J37/mpf_monthly_price!J36)</f>
        <v>1.1403009875569337E-3</v>
      </c>
      <c r="K36">
        <f>LN(mpf_monthly_price!K37/mpf_monthly_price!K36)</f>
        <v>-9.5610196236046358E-2</v>
      </c>
    </row>
    <row r="37" spans="1:11" x14ac:dyDescent="0.4">
      <c r="A37" s="6">
        <v>43922</v>
      </c>
      <c r="B37">
        <f>LN(mpf_monthly_price!B38/mpf_monthly_price!B37)</f>
        <v>6.3522974545823188E-2</v>
      </c>
      <c r="C37">
        <f>LN(mpf_monthly_price!C38/mpf_monthly_price!C37)</f>
        <v>0.11772059068599325</v>
      </c>
      <c r="D37">
        <f>LN(mpf_monthly_price!D38/mpf_monthly_price!D37)</f>
        <v>2.4528022501614989E-2</v>
      </c>
      <c r="E37">
        <f>LN(mpf_monthly_price!E38/mpf_monthly_price!E37)</f>
        <v>8.9733450335598014E-2</v>
      </c>
      <c r="F37">
        <f>LN(mpf_monthly_price!F38/mpf_monthly_price!F37)</f>
        <v>9.637727574303448E-2</v>
      </c>
      <c r="G37">
        <f>LN(mpf_monthly_price!G38/mpf_monthly_price!G37)</f>
        <v>0.17919697349527886</v>
      </c>
      <c r="H37">
        <f>LN(mpf_monthly_price!H38/mpf_monthly_price!H37)</f>
        <v>5.484224735296464E-2</v>
      </c>
      <c r="I37">
        <f>LN(mpf_monthly_price!I38/mpf_monthly_price!I37)</f>
        <v>0.16886245950378559</v>
      </c>
      <c r="J37">
        <f>LN(mpf_monthly_price!J38/mpf_monthly_price!J37)</f>
        <v>5.2585452570218856E-4</v>
      </c>
      <c r="K37">
        <f>LN(mpf_monthly_price!K38/mpf_monthly_price!K37)</f>
        <v>6.0233148531027868E-2</v>
      </c>
    </row>
    <row r="38" spans="1:11" x14ac:dyDescent="0.4">
      <c r="A38" s="6">
        <v>43952</v>
      </c>
      <c r="B38">
        <f>LN(mpf_monthly_price!B39/mpf_monthly_price!B38)</f>
        <v>-2.848408324709659E-2</v>
      </c>
      <c r="C38">
        <f>LN(mpf_monthly_price!C39/mpf_monthly_price!C38)</f>
        <v>6.7416301715510857E-2</v>
      </c>
      <c r="D38">
        <f>LN(mpf_monthly_price!D39/mpf_monthly_price!D38)</f>
        <v>1.3688691882913667E-2</v>
      </c>
      <c r="E38">
        <f>LN(mpf_monthly_price!E39/mpf_monthly_price!E38)</f>
        <v>2.6891060379466668E-2</v>
      </c>
      <c r="F38">
        <f>LN(mpf_monthly_price!F39/mpf_monthly_price!F38)</f>
        <v>3.7953999046770527E-2</v>
      </c>
      <c r="G38">
        <f>LN(mpf_monthly_price!G39/mpf_monthly_price!G38)</f>
        <v>3.7934556506959545E-2</v>
      </c>
      <c r="H38">
        <f>LN(mpf_monthly_price!H39/mpf_monthly_price!H38)</f>
        <v>2.8858167977666591E-2</v>
      </c>
      <c r="I38">
        <f>LN(mpf_monthly_price!I39/mpf_monthly_price!I38)</f>
        <v>4.2653562111848377E-2</v>
      </c>
      <c r="J38">
        <f>LN(mpf_monthly_price!J39/mpf_monthly_price!J38)</f>
        <v>8.7615543053431088E-5</v>
      </c>
      <c r="K38">
        <f>LN(mpf_monthly_price!K39/mpf_monthly_price!K38)</f>
        <v>2.4942836349460547E-2</v>
      </c>
    </row>
    <row r="39" spans="1:11" x14ac:dyDescent="0.4">
      <c r="A39" s="6">
        <v>43983</v>
      </c>
      <c r="B39">
        <f>LN(mpf_monthly_price!B40/mpf_monthly_price!B39)</f>
        <v>2.9845112654511095E-2</v>
      </c>
      <c r="C39">
        <f>LN(mpf_monthly_price!C40/mpf_monthly_price!C39)</f>
        <v>4.3320155781929152E-2</v>
      </c>
      <c r="D39">
        <f>LN(mpf_monthly_price!D40/mpf_monthly_price!D39)</f>
        <v>1.11944680606571E-2</v>
      </c>
      <c r="E39">
        <f>LN(mpf_monthly_price!E40/mpf_monthly_price!E39)</f>
        <v>1.4745632615175227E-2</v>
      </c>
      <c r="F39">
        <f>LN(mpf_monthly_price!F40/mpf_monthly_price!F39)</f>
        <v>3.343713659531132E-2</v>
      </c>
      <c r="G39">
        <f>LN(mpf_monthly_price!G40/mpf_monthly_price!G39)</f>
        <v>1.7703237706907998E-2</v>
      </c>
      <c r="H39">
        <f>LN(mpf_monthly_price!H40/mpf_monthly_price!H39)</f>
        <v>2.6850357370506804E-2</v>
      </c>
      <c r="I39">
        <f>LN(mpf_monthly_price!I40/mpf_monthly_price!I39)</f>
        <v>1.5209608281364601E-2</v>
      </c>
      <c r="J39">
        <f>LN(mpf_monthly_price!J40/mpf_monthly_price!J39)</f>
        <v>4.3796260499462202E-4</v>
      </c>
      <c r="K39">
        <f>LN(mpf_monthly_price!K40/mpf_monthly_price!K39)</f>
        <v>2.250279296274477E-2</v>
      </c>
    </row>
    <row r="40" spans="1:11" x14ac:dyDescent="0.4">
      <c r="A40" s="6">
        <v>44013</v>
      </c>
      <c r="B40">
        <f>LN(mpf_monthly_price!B41/mpf_monthly_price!B40)</f>
        <v>1.9624820165645457E-2</v>
      </c>
      <c r="C40">
        <f>LN(mpf_monthly_price!C41/mpf_monthly_price!C40)</f>
        <v>9.1436376865970073E-2</v>
      </c>
      <c r="D40">
        <f>LN(mpf_monthly_price!D41/mpf_monthly_price!D40)</f>
        <v>1.9419732607692065E-2</v>
      </c>
      <c r="E40">
        <f>LN(mpf_monthly_price!E41/mpf_monthly_price!E40)</f>
        <v>3.2383068511997765E-2</v>
      </c>
      <c r="F40">
        <f>LN(mpf_monthly_price!F41/mpf_monthly_price!F40)</f>
        <v>4.3561310266702749E-2</v>
      </c>
      <c r="G40">
        <f>LN(mpf_monthly_price!G41/mpf_monthly_price!G40)</f>
        <v>4.9002944457019831E-2</v>
      </c>
      <c r="H40">
        <f>LN(mpf_monthly_price!H41/mpf_monthly_price!H40)</f>
        <v>3.9464444483515437E-2</v>
      </c>
      <c r="I40">
        <f>LN(mpf_monthly_price!I41/mpf_monthly_price!I40)</f>
        <v>5.9698434235117191E-2</v>
      </c>
      <c r="J40">
        <f>LN(mpf_monthly_price!J41/mpf_monthly_price!J40)</f>
        <v>8.7569508353299344E-5</v>
      </c>
      <c r="K40">
        <f>LN(mpf_monthly_price!K41/mpf_monthly_price!K40)</f>
        <v>3.576429953943952E-2</v>
      </c>
    </row>
    <row r="41" spans="1:11" x14ac:dyDescent="0.4">
      <c r="A41" s="6">
        <v>44044</v>
      </c>
      <c r="B41">
        <f>LN(mpf_monthly_price!B42/mpf_monthly_price!B41)</f>
        <v>1.7688435249162852E-2</v>
      </c>
      <c r="C41">
        <f>LN(mpf_monthly_price!C42/mpf_monthly_price!C41)</f>
        <v>2.6421190544701805E-2</v>
      </c>
      <c r="D41">
        <f>LN(mpf_monthly_price!D42/mpf_monthly_price!D41)</f>
        <v>-5.880623515542952E-4</v>
      </c>
      <c r="E41">
        <f>LN(mpf_monthly_price!E42/mpf_monthly_price!E41)</f>
        <v>3.5644788890431059E-2</v>
      </c>
      <c r="F41">
        <f>LN(mpf_monthly_price!F42/mpf_monthly_price!F41)</f>
        <v>5.5990990236950873E-2</v>
      </c>
      <c r="G41">
        <f>LN(mpf_monthly_price!G42/mpf_monthly_price!G41)</f>
        <v>7.4489914908771063E-2</v>
      </c>
      <c r="H41">
        <f>LN(mpf_monthly_price!H42/mpf_monthly_price!H41)</f>
        <v>4.0499202431787382E-2</v>
      </c>
      <c r="I41">
        <f>LN(mpf_monthly_price!I42/mpf_monthly_price!I41)</f>
        <v>6.2266021621837586E-2</v>
      </c>
      <c r="J41">
        <f>LN(mpf_monthly_price!J42/mpf_monthly_price!J41)</f>
        <v>8.7561840605749326E-5</v>
      </c>
      <c r="K41">
        <f>LN(mpf_monthly_price!K42/mpf_monthly_price!K41)</f>
        <v>3.0090567987258857E-2</v>
      </c>
    </row>
    <row r="42" spans="1:11" x14ac:dyDescent="0.4">
      <c r="A42" s="6">
        <v>44075</v>
      </c>
      <c r="B42">
        <f>LN(mpf_monthly_price!B43/mpf_monthly_price!B42)</f>
        <v>-6.362797306196244E-2</v>
      </c>
      <c r="C42">
        <f>LN(mpf_monthly_price!C43/mpf_monthly_price!C42)</f>
        <v>-1.5865717418180821E-2</v>
      </c>
      <c r="D42">
        <f>LN(mpf_monthly_price!D43/mpf_monthly_price!D42)</f>
        <v>1.6805310517653226E-4</v>
      </c>
      <c r="E42">
        <f>LN(mpf_monthly_price!E43/mpf_monthly_price!E42)</f>
        <v>-2.0927281298930664E-2</v>
      </c>
      <c r="F42">
        <f>LN(mpf_monthly_price!F43/mpf_monthly_price!F42)</f>
        <v>-3.2805787778685334E-2</v>
      </c>
      <c r="G42">
        <f>LN(mpf_monthly_price!G43/mpf_monthly_price!G42)</f>
        <v>-5.1375305138633982E-2</v>
      </c>
      <c r="H42">
        <f>LN(mpf_monthly_price!H43/mpf_monthly_price!H42)</f>
        <v>-2.6383372766781918E-2</v>
      </c>
      <c r="I42">
        <f>LN(mpf_monthly_price!I43/mpf_monthly_price!I42)</f>
        <v>-5.4464003686579783E-2</v>
      </c>
      <c r="J42">
        <f>LN(mpf_monthly_price!J43/mpf_monthly_price!J42)</f>
        <v>8.755417420117075E-5</v>
      </c>
      <c r="K42">
        <f>LN(mpf_monthly_price!K43/mpf_monthly_price!K42)</f>
        <v>-2.0513768046093658E-2</v>
      </c>
    </row>
    <row r="43" spans="1:11" x14ac:dyDescent="0.4">
      <c r="A43" s="6">
        <v>44105</v>
      </c>
      <c r="B43">
        <f>LN(mpf_monthly_price!B44/mpf_monthly_price!B43)</f>
        <v>2.6703243197596281E-2</v>
      </c>
      <c r="C43">
        <f>LN(mpf_monthly_price!C44/mpf_monthly_price!C43)</f>
        <v>1.673980861770135E-2</v>
      </c>
      <c r="D43">
        <f>LN(mpf_monthly_price!D44/mpf_monthly_price!D43)</f>
        <v>3.2714033285872247E-3</v>
      </c>
      <c r="E43">
        <f>LN(mpf_monthly_price!E44/mpf_monthly_price!E43)</f>
        <v>-1.5618962272500514E-2</v>
      </c>
      <c r="F43">
        <f>LN(mpf_monthly_price!F44/mpf_monthly_price!F43)</f>
        <v>-2.5158204929266654E-3</v>
      </c>
      <c r="G43">
        <f>LN(mpf_monthly_price!G44/mpf_monthly_price!G43)</f>
        <v>-2.6830123362639003E-2</v>
      </c>
      <c r="H43">
        <f>LN(mpf_monthly_price!H44/mpf_monthly_price!H43)</f>
        <v>-4.121480888383878E-3</v>
      </c>
      <c r="I43">
        <f>LN(mpf_monthly_price!I44/mpf_monthly_price!I43)</f>
        <v>-2.2644242395900599E-2</v>
      </c>
      <c r="J43">
        <f>LN(mpf_monthly_price!J44/mpf_monthly_price!J43)</f>
        <v>8.7546509138897537E-5</v>
      </c>
      <c r="K43">
        <f>LN(mpf_monthly_price!K44/mpf_monthly_price!K43)</f>
        <v>-3.2422237615201575E-3</v>
      </c>
    </row>
    <row r="44" spans="1:11" x14ac:dyDescent="0.4">
      <c r="A44" s="6">
        <v>44136</v>
      </c>
      <c r="B44">
        <f>LN(mpf_monthly_price!B45/mpf_monthly_price!B44)</f>
        <v>9.2327619076836134E-2</v>
      </c>
      <c r="C44">
        <f>LN(mpf_monthly_price!C45/mpf_monthly_price!C44)</f>
        <v>0.1482556575776382</v>
      </c>
      <c r="D44">
        <f>LN(mpf_monthly_price!D45/mpf_monthly_price!D44)</f>
        <v>1.6610298010590673E-2</v>
      </c>
      <c r="E44">
        <f>LN(mpf_monthly_price!E45/mpf_monthly_price!E44)</f>
        <v>7.5991906036069992E-2</v>
      </c>
      <c r="F44">
        <f>LN(mpf_monthly_price!F45/mpf_monthly_price!F44)</f>
        <v>0.10521547250723474</v>
      </c>
      <c r="G44">
        <f>LN(mpf_monthly_price!G45/mpf_monthly_price!G44)</f>
        <v>0.1104024446127479</v>
      </c>
      <c r="H44">
        <f>LN(mpf_monthly_price!H45/mpf_monthly_price!H44)</f>
        <v>8.9254990871368886E-2</v>
      </c>
      <c r="I44">
        <f>LN(mpf_monthly_price!I45/mpf_monthly_price!I44)</f>
        <v>0.13638422568417449</v>
      </c>
      <c r="J44">
        <f>LN(mpf_monthly_price!J45/mpf_monthly_price!J44)</f>
        <v>8.7538845418485707E-5</v>
      </c>
      <c r="K44">
        <f>LN(mpf_monthly_price!K45/mpf_monthly_price!K44)</f>
        <v>6.8081356097295959E-2</v>
      </c>
    </row>
    <row r="45" spans="1:11" x14ac:dyDescent="0.4">
      <c r="A45" s="6">
        <v>44166</v>
      </c>
      <c r="B45">
        <f>LN(mpf_monthly_price!B46/mpf_monthly_price!B45)</f>
        <v>2.0913198660411702E-2</v>
      </c>
      <c r="C45">
        <f>LN(mpf_monthly_price!C46/mpf_monthly_price!C45)</f>
        <v>8.848839368496636E-2</v>
      </c>
      <c r="D45">
        <f>LN(mpf_monthly_price!D46/mpf_monthly_price!D45)</f>
        <v>1.2767175628471975E-2</v>
      </c>
      <c r="E45">
        <f>LN(mpf_monthly_price!E46/mpf_monthly_price!E45)</f>
        <v>2.1871526829273187E-2</v>
      </c>
      <c r="F45">
        <f>LN(mpf_monthly_price!F46/mpf_monthly_price!F45)</f>
        <v>4.1223178292531616E-2</v>
      </c>
      <c r="G45">
        <f>LN(mpf_monthly_price!G46/mpf_monthly_price!G45)</f>
        <v>2.3202414221024866E-2</v>
      </c>
      <c r="H45">
        <f>LN(mpf_monthly_price!H46/mpf_monthly_price!H45)</f>
        <v>3.669420260288897E-2</v>
      </c>
      <c r="I45">
        <f>LN(mpf_monthly_price!I46/mpf_monthly_price!I45)</f>
        <v>3.0615258228763816E-2</v>
      </c>
      <c r="J45">
        <f>LN(mpf_monthly_price!J46/mpf_monthly_price!J45)</f>
        <v>8.7531183039935259E-5</v>
      </c>
      <c r="K45">
        <f>LN(mpf_monthly_price!K46/mpf_monthly_price!K45)</f>
        <v>2.7265726269915941E-2</v>
      </c>
    </row>
    <row r="46" spans="1:11" x14ac:dyDescent="0.4">
      <c r="A46" s="6">
        <v>44197</v>
      </c>
      <c r="B46">
        <f>LN(mpf_monthly_price!B47/mpf_monthly_price!B46)</f>
        <v>5.909318104421743E-2</v>
      </c>
      <c r="C46">
        <f>LN(mpf_monthly_price!C47/mpf_monthly_price!C46)</f>
        <v>4.1922122561804824E-2</v>
      </c>
      <c r="D46">
        <f>LN(mpf_monthly_price!D47/mpf_monthly_price!D46)</f>
        <v>-7.9193784510993136E-3</v>
      </c>
      <c r="E46">
        <f>LN(mpf_monthly_price!E47/mpf_monthly_price!E46)</f>
        <v>2.0794660296882882E-3</v>
      </c>
      <c r="F46">
        <f>LN(mpf_monthly_price!F47/mpf_monthly_price!F46)</f>
        <v>3.2052570315731811E-2</v>
      </c>
      <c r="G46">
        <f>LN(mpf_monthly_price!G47/mpf_monthly_price!G46)</f>
        <v>1.0062677647134451E-2</v>
      </c>
      <c r="H46">
        <f>LN(mpf_monthly_price!H47/mpf_monthly_price!H46)</f>
        <v>2.6243261184161402E-2</v>
      </c>
      <c r="I46">
        <f>LN(mpf_monthly_price!I47/mpf_monthly_price!I46)</f>
        <v>-3.6102570401800073E-3</v>
      </c>
      <c r="J46">
        <f>LN(mpf_monthly_price!J47/mpf_monthly_price!J46)</f>
        <v>8.7523522002358136E-5</v>
      </c>
      <c r="K46">
        <f>LN(mpf_monthly_price!K47/mpf_monthly_price!K46)</f>
        <v>1.3965740719037199E-2</v>
      </c>
    </row>
    <row r="47" spans="1:11" x14ac:dyDescent="0.4">
      <c r="A47" s="6">
        <v>44228</v>
      </c>
      <c r="B47">
        <f>LN(mpf_monthly_price!B48/mpf_monthly_price!B47)</f>
        <v>1.3423746904452355E-2</v>
      </c>
      <c r="C47">
        <f>LN(mpf_monthly_price!C48/mpf_monthly_price!C47)</f>
        <v>1.2514536935675115E-2</v>
      </c>
      <c r="D47">
        <f>LN(mpf_monthly_price!D48/mpf_monthly_price!D47)</f>
        <v>-1.6196024161090169E-2</v>
      </c>
      <c r="E47">
        <f>LN(mpf_monthly_price!E48/mpf_monthly_price!E47)</f>
        <v>9.965756269626912E-3</v>
      </c>
      <c r="F47">
        <f>LN(mpf_monthly_price!F48/mpf_monthly_price!F47)</f>
        <v>1.703111757668371E-2</v>
      </c>
      <c r="G47">
        <f>LN(mpf_monthly_price!G48/mpf_monthly_price!G47)</f>
        <v>2.414280351924513E-2</v>
      </c>
      <c r="H47">
        <f>LN(mpf_monthly_price!H48/mpf_monthly_price!H47)</f>
        <v>1.3443554960525178E-2</v>
      </c>
      <c r="I47">
        <f>LN(mpf_monthly_price!I48/mpf_monthly_price!I47)</f>
        <v>2.3668804051189311E-2</v>
      </c>
      <c r="J47">
        <f>LN(mpf_monthly_price!J48/mpf_monthly_price!J47)</f>
        <v>8.751586230575438E-5</v>
      </c>
      <c r="K47">
        <f>LN(mpf_monthly_price!K48/mpf_monthly_price!K47)</f>
        <v>3.6324050110071527E-3</v>
      </c>
    </row>
    <row r="48" spans="1:11" x14ac:dyDescent="0.4">
      <c r="A48" s="6">
        <v>44256</v>
      </c>
      <c r="B48">
        <f>LN(mpf_monthly_price!B49/mpf_monthly_price!B48)</f>
        <v>-1.6644010037181096E-2</v>
      </c>
      <c r="C48">
        <f>LN(mpf_monthly_price!C49/mpf_monthly_price!C48)</f>
        <v>1.1127787902548874E-2</v>
      </c>
      <c r="D48">
        <f>LN(mpf_monthly_price!D49/mpf_monthly_price!D48)</f>
        <v>-1.7309901997237122E-2</v>
      </c>
      <c r="E48">
        <f>LN(mpf_monthly_price!E49/mpf_monthly_price!E48)</f>
        <v>1.1611478909434959E-2</v>
      </c>
      <c r="F48">
        <f>LN(mpf_monthly_price!F49/mpf_monthly_price!F48)</f>
        <v>1.4428206505229311E-3</v>
      </c>
      <c r="G48">
        <f>LN(mpf_monthly_price!G49/mpf_monthly_price!G48)</f>
        <v>4.1245970359983751E-2</v>
      </c>
      <c r="H48">
        <f>LN(mpf_monthly_price!H49/mpf_monthly_price!H48)</f>
        <v>9.665171618812125E-4</v>
      </c>
      <c r="I48">
        <f>LN(mpf_monthly_price!I49/mpf_monthly_price!I48)</f>
        <v>2.9391133371925563E-2</v>
      </c>
      <c r="J48">
        <f>LN(mpf_monthly_price!J49/mpf_monthly_price!J48)</f>
        <v>8.7508203949901973E-5</v>
      </c>
      <c r="K48">
        <f>LN(mpf_monthly_price!K49/mpf_monthly_price!K48)</f>
        <v>-2.0971132060612916E-3</v>
      </c>
    </row>
    <row r="49" spans="1:11" x14ac:dyDescent="0.4">
      <c r="A49" s="6">
        <v>44287</v>
      </c>
      <c r="B49">
        <f>LN(mpf_monthly_price!B50/mpf_monthly_price!B49)</f>
        <v>-1.3816860325142699E-2</v>
      </c>
      <c r="C49">
        <f>LN(mpf_monthly_price!C50/mpf_monthly_price!C49)</f>
        <v>2.0108773118356859E-2</v>
      </c>
      <c r="D49">
        <f>LN(mpf_monthly_price!D50/mpf_monthly_price!D49)</f>
        <v>1.0119836743903703E-2</v>
      </c>
      <c r="E49">
        <f>LN(mpf_monthly_price!E50/mpf_monthly_price!E49)</f>
        <v>1.7061206413720994E-2</v>
      </c>
      <c r="F49">
        <f>LN(mpf_monthly_price!F50/mpf_monthly_price!F49)</f>
        <v>1.0197010568735791E-2</v>
      </c>
      <c r="G49">
        <f>LN(mpf_monthly_price!G50/mpf_monthly_price!G49)</f>
        <v>3.731753010278633E-2</v>
      </c>
      <c r="H49">
        <f>LN(mpf_monthly_price!H50/mpf_monthly_price!H49)</f>
        <v>1.0433922225159008E-2</v>
      </c>
      <c r="I49">
        <f>LN(mpf_monthly_price!I50/mpf_monthly_price!I49)</f>
        <v>3.8722230582518231E-2</v>
      </c>
      <c r="J49">
        <f>LN(mpf_monthly_price!J50/mpf_monthly_price!J49)</f>
        <v>8.7500546934356907E-5</v>
      </c>
      <c r="K49">
        <f>LN(mpf_monthly_price!K50/mpf_monthly_price!K49)</f>
        <v>7.9217093995167225E-3</v>
      </c>
    </row>
    <row r="50" spans="1:11" x14ac:dyDescent="0.4">
      <c r="A50" s="6">
        <v>44317</v>
      </c>
      <c r="B50">
        <f>LN(mpf_monthly_price!B51/mpf_monthly_price!B50)</f>
        <v>3.0245781906367366E-2</v>
      </c>
      <c r="C50">
        <f>LN(mpf_monthly_price!C51/mpf_monthly_price!C50)</f>
        <v>1.4225153466360333E-2</v>
      </c>
      <c r="D50">
        <f>LN(mpf_monthly_price!D51/mpf_monthly_price!D50)</f>
        <v>3.9358590355494045E-3</v>
      </c>
      <c r="E50">
        <f>LN(mpf_monthly_price!E51/mpf_monthly_price!E50)</f>
        <v>1.0367202134301243E-2</v>
      </c>
      <c r="F50">
        <f>LN(mpf_monthly_price!F51/mpf_monthly_price!F50)</f>
        <v>2.5061818408649267E-2</v>
      </c>
      <c r="G50">
        <f>LN(mpf_monthly_price!G51/mpf_monthly_price!G50)</f>
        <v>3.1801390590603835E-3</v>
      </c>
      <c r="H50">
        <f>LN(mpf_monthly_price!H51/mpf_monthly_price!H50)</f>
        <v>1.7822566639854685E-2</v>
      </c>
      <c r="I50">
        <f>LN(mpf_monthly_price!I51/mpf_monthly_price!I50)</f>
        <v>1.8884930793674457E-2</v>
      </c>
      <c r="J50">
        <f>LN(mpf_monthly_price!J51/mpf_monthly_price!J50)</f>
        <v>8.7492891258231126E-5</v>
      </c>
      <c r="K50">
        <f>LN(mpf_monthly_price!K51/mpf_monthly_price!K50)</f>
        <v>1.4395031454687617E-2</v>
      </c>
    </row>
    <row r="51" spans="1:11" x14ac:dyDescent="0.4">
      <c r="A51" s="6">
        <v>44348</v>
      </c>
      <c r="B51">
        <f>LN(mpf_monthly_price!B52/mpf_monthly_price!B51)</f>
        <v>-1.9549903116389745E-2</v>
      </c>
      <c r="C51">
        <f>LN(mpf_monthly_price!C52/mpf_monthly_price!C51)</f>
        <v>-1.140978776406178E-2</v>
      </c>
      <c r="D51">
        <f>LN(mpf_monthly_price!D52/mpf_monthly_price!D51)</f>
        <v>-1.1177995951838054E-2</v>
      </c>
      <c r="E51">
        <f>LN(mpf_monthly_price!E52/mpf_monthly_price!E51)</f>
        <v>7.7405213726294431E-3</v>
      </c>
      <c r="F51">
        <f>LN(mpf_monthly_price!F52/mpf_monthly_price!F51)</f>
        <v>-8.1724870409773196E-3</v>
      </c>
      <c r="G51">
        <f>LN(mpf_monthly_price!G52/mpf_monthly_price!G51)</f>
        <v>2.0517724096599251E-2</v>
      </c>
      <c r="H51">
        <f>LN(mpf_monthly_price!H52/mpf_monthly_price!H51)</f>
        <v>-7.0008812619431846E-3</v>
      </c>
      <c r="I51">
        <f>LN(mpf_monthly_price!I52/mpf_monthly_price!I51)</f>
        <v>2.0898248938335987E-2</v>
      </c>
      <c r="J51">
        <f>LN(mpf_monthly_price!J52/mpf_monthly_price!J51)</f>
        <v>8.7485236922190708E-5</v>
      </c>
      <c r="K51">
        <f>LN(mpf_monthly_price!K52/mpf_monthly_price!K51)</f>
        <v>-5.7411121204798505E-3</v>
      </c>
    </row>
    <row r="52" spans="1:11" x14ac:dyDescent="0.4">
      <c r="A52" s="6">
        <v>44378</v>
      </c>
      <c r="B52">
        <f>LN(mpf_monthly_price!B53/mpf_monthly_price!B52)</f>
        <v>-9.9679458955487146E-2</v>
      </c>
      <c r="C52">
        <f>LN(mpf_monthly_price!C53/mpf_monthly_price!C52)</f>
        <v>-2.265999618209559E-2</v>
      </c>
      <c r="D52">
        <f>LN(mpf_monthly_price!D53/mpf_monthly_price!D52)</f>
        <v>2.4479816386400372E-3</v>
      </c>
      <c r="E52">
        <f>LN(mpf_monthly_price!E53/mpf_monthly_price!E52)</f>
        <v>9.9739274949506383E-3</v>
      </c>
      <c r="F52">
        <f>LN(mpf_monthly_price!F53/mpf_monthly_price!F52)</f>
        <v>-2.8278087671134086E-2</v>
      </c>
      <c r="G52">
        <f>LN(mpf_monthly_price!G53/mpf_monthly_price!G52)</f>
        <v>2.0105197030256514E-2</v>
      </c>
      <c r="H52">
        <f>LN(mpf_monthly_price!H53/mpf_monthly_price!H52)</f>
        <v>-2.153166005478907E-2</v>
      </c>
      <c r="I52">
        <f>LN(mpf_monthly_price!I53/mpf_monthly_price!I52)</f>
        <v>2.4019534030106007E-2</v>
      </c>
      <c r="J52">
        <f>LN(mpf_monthly_price!J53/mpf_monthly_price!J52)</f>
        <v>8.747758392490355E-5</v>
      </c>
      <c r="K52">
        <f>LN(mpf_monthly_price!K53/mpf_monthly_price!K52)</f>
        <v>-1.1622232785221811E-2</v>
      </c>
    </row>
    <row r="53" spans="1:11" x14ac:dyDescent="0.4">
      <c r="A53" s="6">
        <v>44409</v>
      </c>
      <c r="B53">
        <f>LN(mpf_monthly_price!B54/mpf_monthly_price!B53)</f>
        <v>2.3601330208622632E-3</v>
      </c>
      <c r="C53">
        <f>LN(mpf_monthly_price!C54/mpf_monthly_price!C53)</f>
        <v>2.39787659039143E-2</v>
      </c>
      <c r="D53">
        <f>LN(mpf_monthly_price!D54/mpf_monthly_price!D53)</f>
        <v>2.4420036555518089E-3</v>
      </c>
      <c r="E53">
        <f>LN(mpf_monthly_price!E54/mpf_monthly_price!E53)</f>
        <v>1.5084488936337796E-2</v>
      </c>
      <c r="F53">
        <f>LN(mpf_monthly_price!F54/mpf_monthly_price!F53)</f>
        <v>2.1206377068994336E-2</v>
      </c>
      <c r="G53">
        <f>LN(mpf_monthly_price!G54/mpf_monthly_price!G53)</f>
        <v>3.250325775728316E-2</v>
      </c>
      <c r="H53">
        <f>LN(mpf_monthly_price!H54/mpf_monthly_price!H53)</f>
        <v>1.5659917800747127E-2</v>
      </c>
      <c r="I53">
        <f>LN(mpf_monthly_price!I54/mpf_monthly_price!I53)</f>
        <v>2.9719416140935595E-2</v>
      </c>
      <c r="J53">
        <f>LN(mpf_monthly_price!J54/mpf_monthly_price!J53)</f>
        <v>8.7469932266591709E-5</v>
      </c>
      <c r="K53">
        <f>LN(mpf_monthly_price!K54/mpf_monthly_price!K53)</f>
        <v>1.0788022158259473E-2</v>
      </c>
    </row>
    <row r="54" spans="1:11" x14ac:dyDescent="0.4">
      <c r="A54" s="6">
        <v>44440</v>
      </c>
      <c r="B54">
        <f>LN(mpf_monthly_price!B55/mpf_monthly_price!B54)</f>
        <v>-5.4147817683779034E-2</v>
      </c>
      <c r="C54">
        <f>LN(mpf_monthly_price!C55/mpf_monthly_price!C54)</f>
        <v>-3.6320956353203593E-2</v>
      </c>
      <c r="D54">
        <f>LN(mpf_monthly_price!D55/mpf_monthly_price!D54)</f>
        <v>-1.9619296751536196E-2</v>
      </c>
      <c r="E54">
        <f>LN(mpf_monthly_price!E55/mpf_monthly_price!E54)</f>
        <v>-3.1457650673319106E-2</v>
      </c>
      <c r="F54">
        <f>LN(mpf_monthly_price!F55/mpf_monthly_price!F54)</f>
        <v>-4.1174079024172333E-2</v>
      </c>
      <c r="G54">
        <f>LN(mpf_monthly_price!G55/mpf_monthly_price!G54)</f>
        <v>-5.0636362236957992E-2</v>
      </c>
      <c r="H54">
        <f>LN(mpf_monthly_price!H55/mpf_monthly_price!H54)</f>
        <v>-3.1989840893124462E-2</v>
      </c>
      <c r="I54">
        <f>LN(mpf_monthly_price!I55/mpf_monthly_price!I54)</f>
        <v>-4.8923729015363154E-2</v>
      </c>
      <c r="J54">
        <f>LN(mpf_monthly_price!J55/mpf_monthly_price!J54)</f>
        <v>8.7462281946811164E-5</v>
      </c>
      <c r="K54">
        <f>LN(mpf_monthly_price!K55/mpf_monthly_price!K54)</f>
        <v>-2.9767463679183891E-2</v>
      </c>
    </row>
    <row r="55" spans="1:11" x14ac:dyDescent="0.4">
      <c r="A55" s="6">
        <v>44470</v>
      </c>
      <c r="B55">
        <f>LN(mpf_monthly_price!B56/mpf_monthly_price!B55)</f>
        <v>2.3583916689224781E-2</v>
      </c>
      <c r="C55">
        <f>LN(mpf_monthly_price!C56/mpf_monthly_price!C55)</f>
        <v>1.4804163028472744E-2</v>
      </c>
      <c r="D55">
        <f>LN(mpf_monthly_price!D56/mpf_monthly_price!D55)</f>
        <v>-4.5562081827377936E-3</v>
      </c>
      <c r="E55">
        <f>LN(mpf_monthly_price!E56/mpf_monthly_price!E55)</f>
        <v>3.0568548949393579E-2</v>
      </c>
      <c r="F55">
        <f>LN(mpf_monthly_price!F56/mpf_monthly_price!F55)</f>
        <v>2.7533075039942272E-2</v>
      </c>
      <c r="G55">
        <f>LN(mpf_monthly_price!G56/mpf_monthly_price!G55)</f>
        <v>6.3521212810105518E-2</v>
      </c>
      <c r="H55">
        <f>LN(mpf_monthly_price!H56/mpf_monthly_price!H55)</f>
        <v>1.485635494951471E-2</v>
      </c>
      <c r="I55">
        <f>LN(mpf_monthly_price!I56/mpf_monthly_price!I55)</f>
        <v>6.8136965331809088E-2</v>
      </c>
      <c r="J55">
        <f>LN(mpf_monthly_price!J56/mpf_monthly_price!J55)</f>
        <v>8.7454632964895876E-5</v>
      </c>
      <c r="K55">
        <f>LN(mpf_monthly_price!K56/mpf_monthly_price!K55)</f>
        <v>1.2045886916873656E-2</v>
      </c>
    </row>
    <row r="56" spans="1:11" x14ac:dyDescent="0.4">
      <c r="A56" s="6">
        <v>44501</v>
      </c>
      <c r="B56">
        <f>LN(mpf_monthly_price!B57/mpf_monthly_price!B56)</f>
        <v>-5.8515729059134422E-2</v>
      </c>
      <c r="C56">
        <f>LN(mpf_monthly_price!C57/mpf_monthly_price!C56)</f>
        <v>-2.6638974362870063E-2</v>
      </c>
      <c r="D56">
        <f>LN(mpf_monthly_price!D57/mpf_monthly_price!D56)</f>
        <v>-7.5243598240472788E-3</v>
      </c>
      <c r="E56">
        <f>LN(mpf_monthly_price!E57/mpf_monthly_price!E56)</f>
        <v>-1.3501617238699462E-2</v>
      </c>
      <c r="F56">
        <f>LN(mpf_monthly_price!F57/mpf_monthly_price!F56)</f>
        <v>-3.1607053760802438E-2</v>
      </c>
      <c r="G56">
        <f>LN(mpf_monthly_price!G57/mpf_monthly_price!G56)</f>
        <v>-1.6637626911255105E-2</v>
      </c>
      <c r="H56">
        <f>LN(mpf_monthly_price!H57/mpf_monthly_price!H56)</f>
        <v>-1.888691765399942E-2</v>
      </c>
      <c r="I56">
        <f>LN(mpf_monthly_price!I57/mpf_monthly_price!I56)</f>
        <v>-2.0616557740235193E-2</v>
      </c>
      <c r="J56">
        <f>LN(mpf_monthly_price!J57/mpf_monthly_price!J56)</f>
        <v>8.7446985320845859E-5</v>
      </c>
      <c r="K56">
        <f>LN(mpf_monthly_price!K57/mpf_monthly_price!K56)</f>
        <v>-1.655964098997106E-2</v>
      </c>
    </row>
    <row r="57" spans="1:11" x14ac:dyDescent="0.4">
      <c r="A57" s="6">
        <v>44531</v>
      </c>
      <c r="B57">
        <f>LN(mpf_monthly_price!B58/mpf_monthly_price!B57)</f>
        <v>-1.3035566337454979E-2</v>
      </c>
      <c r="C57">
        <f>LN(mpf_monthly_price!C58/mpf_monthly_price!C57)</f>
        <v>1.9028341562586756E-2</v>
      </c>
      <c r="D57">
        <f>LN(mpf_monthly_price!D58/mpf_monthly_price!D57)</f>
        <v>6.4036217438951234E-3</v>
      </c>
      <c r="E57">
        <f>LN(mpf_monthly_price!E58/mpf_monthly_price!E57)</f>
        <v>2.2492890944293888E-2</v>
      </c>
      <c r="F57">
        <f>LN(mpf_monthly_price!F58/mpf_monthly_price!F57)</f>
        <v>1.1124011908905058E-2</v>
      </c>
      <c r="G57">
        <f>LN(mpf_monthly_price!G58/mpf_monthly_price!G57)</f>
        <v>5.4918366771628167E-2</v>
      </c>
      <c r="H57">
        <f>LN(mpf_monthly_price!H58/mpf_monthly_price!H57)</f>
        <v>7.2526813482434067E-3</v>
      </c>
      <c r="I57">
        <f>LN(mpf_monthly_price!I58/mpf_monthly_price!I57)</f>
        <v>5.4746266762508412E-2</v>
      </c>
      <c r="J57">
        <f>LN(mpf_monthly_price!J58/mpf_monthly_price!J57)</f>
        <v>8.7439339014439121E-5</v>
      </c>
      <c r="K57">
        <f>LN(mpf_monthly_price!K58/mpf_monthly_price!K57)</f>
        <v>4.9640109317714643E-3</v>
      </c>
    </row>
    <row r="58" spans="1:11" x14ac:dyDescent="0.4">
      <c r="A58" s="6">
        <v>44562</v>
      </c>
      <c r="B58">
        <f>LN(mpf_monthly_price!B59/mpf_monthly_price!B58)</f>
        <v>1.8439203868159598E-2</v>
      </c>
      <c r="C58">
        <f>LN(mpf_monthly_price!C59/mpf_monthly_price!C58)</f>
        <v>-4.1311269211034375E-2</v>
      </c>
      <c r="D58">
        <f>LN(mpf_monthly_price!D59/mpf_monthly_price!D58)</f>
        <v>-1.9423159925819739E-2</v>
      </c>
      <c r="E58">
        <f>LN(mpf_monthly_price!E59/mpf_monthly_price!E58)</f>
        <v>-3.5827818182594909E-2</v>
      </c>
      <c r="F58">
        <f>LN(mpf_monthly_price!F59/mpf_monthly_price!F58)</f>
        <v>-2.8765042712805937E-2</v>
      </c>
      <c r="G58">
        <f>LN(mpf_monthly_price!G59/mpf_monthly_price!G58)</f>
        <v>-4.4124602191325919E-2</v>
      </c>
      <c r="H58">
        <f>LN(mpf_monthly_price!H59/mpf_monthly_price!H58)</f>
        <v>-2.3969064446642718E-2</v>
      </c>
      <c r="I58">
        <f>LN(mpf_monthly_price!I59/mpf_monthly_price!I58)</f>
        <v>-5.4746266762508419E-2</v>
      </c>
      <c r="J58">
        <f>LN(mpf_monthly_price!J59/mpf_monthly_price!J58)</f>
        <v>8.7431694044787608E-5</v>
      </c>
      <c r="K58">
        <f>LN(mpf_monthly_price!K59/mpf_monthly_price!K58)</f>
        <v>-2.4482903037332984E-2</v>
      </c>
    </row>
    <row r="59" spans="1:11" x14ac:dyDescent="0.4">
      <c r="A59" s="6">
        <v>44593</v>
      </c>
      <c r="B59">
        <f>LN(mpf_monthly_price!B60/mpf_monthly_price!B59)</f>
        <v>-4.7164908326441268E-2</v>
      </c>
      <c r="C59">
        <f>LN(mpf_monthly_price!C60/mpf_monthly_price!C59)</f>
        <v>-2.523932516542135E-3</v>
      </c>
      <c r="D59">
        <f>LN(mpf_monthly_price!D60/mpf_monthly_price!D59)</f>
        <v>5.000668402131871E-3</v>
      </c>
      <c r="E59">
        <f>LN(mpf_monthly_price!E60/mpf_monthly_price!E59)</f>
        <v>-2.1669705159060262E-2</v>
      </c>
      <c r="F59">
        <f>LN(mpf_monthly_price!F60/mpf_monthly_price!F59)</f>
        <v>-3.783973950447269E-2</v>
      </c>
      <c r="G59">
        <f>LN(mpf_monthly_price!G60/mpf_monthly_price!G59)</f>
        <v>-3.7318834404925637E-2</v>
      </c>
      <c r="H59">
        <f>LN(mpf_monthly_price!H60/mpf_monthly_price!H59)</f>
        <v>-2.4264119334374414E-2</v>
      </c>
      <c r="I59">
        <f>LN(mpf_monthly_price!I60/mpf_monthly_price!I59)</f>
        <v>-4.4090112653125818E-2</v>
      </c>
      <c r="J59">
        <f>LN(mpf_monthly_price!J60/mpf_monthly_price!J59)</f>
        <v>8.7424050411891331E-5</v>
      </c>
      <c r="K59">
        <f>LN(mpf_monthly_price!K60/mpf_monthly_price!K59)</f>
        <v>-2.3464597775314153E-2</v>
      </c>
    </row>
    <row r="60" spans="1:11" x14ac:dyDescent="0.4">
      <c r="A60" s="6">
        <v>44621</v>
      </c>
      <c r="B60">
        <f>LN(mpf_monthly_price!B61/mpf_monthly_price!B60)</f>
        <v>-3.135096870103446E-2</v>
      </c>
      <c r="C60">
        <f>LN(mpf_monthly_price!C61/mpf_monthly_price!C60)</f>
        <v>1.6141216179385059E-2</v>
      </c>
      <c r="D60">
        <f>LN(mpf_monthly_price!D61/mpf_monthly_price!D60)</f>
        <v>-1.9618868911686335E-2</v>
      </c>
      <c r="E60">
        <f>LN(mpf_monthly_price!E61/mpf_monthly_price!E60)</f>
        <v>9.4360554313467158E-3</v>
      </c>
      <c r="F60">
        <f>LN(mpf_monthly_price!F61/mpf_monthly_price!F60)</f>
        <v>-3.1308516300981295E-3</v>
      </c>
      <c r="G60">
        <f>LN(mpf_monthly_price!G61/mpf_monthly_price!G60)</f>
        <v>5.1226019025079235E-2</v>
      </c>
      <c r="H60">
        <f>LN(mpf_monthly_price!H61/mpf_monthly_price!H60)</f>
        <v>-2.4065332489246943E-2</v>
      </c>
      <c r="I60">
        <f>LN(mpf_monthly_price!I61/mpf_monthly_price!I60)</f>
        <v>5.4765838037547011E-2</v>
      </c>
      <c r="J60">
        <f>LN(mpf_monthly_price!J61/mpf_monthly_price!J60)</f>
        <v>8.7416408115528315E-5</v>
      </c>
      <c r="K60">
        <f>LN(mpf_monthly_price!K61/mpf_monthly_price!K60)</f>
        <v>-1.8196498954862785E-2</v>
      </c>
    </row>
    <row r="61" spans="1:11" x14ac:dyDescent="0.4">
      <c r="A61" s="6">
        <v>44652</v>
      </c>
      <c r="B61">
        <f>LN(mpf_monthly_price!B62/mpf_monthly_price!B61)</f>
        <v>-4.3960727187037495E-2</v>
      </c>
      <c r="C61">
        <f>LN(mpf_monthly_price!C62/mpf_monthly_price!C61)</f>
        <v>-6.7486416824246748E-2</v>
      </c>
      <c r="D61">
        <f>LN(mpf_monthly_price!D62/mpf_monthly_price!D61)</f>
        <v>-3.6443671322521048E-2</v>
      </c>
      <c r="E61">
        <f>LN(mpf_monthly_price!E62/mpf_monthly_price!E61)</f>
        <v>-5.9962265626861327E-2</v>
      </c>
      <c r="F61">
        <f>LN(mpf_monthly_price!F62/mpf_monthly_price!F61)</f>
        <v>-5.8099182591565705E-2</v>
      </c>
      <c r="G61">
        <f>LN(mpf_monthly_price!G62/mpf_monthly_price!G61)</f>
        <v>-8.6955801365084406E-2</v>
      </c>
      <c r="H61">
        <f>LN(mpf_monthly_price!H62/mpf_monthly_price!H61)</f>
        <v>-4.7152654320242134E-2</v>
      </c>
      <c r="I61">
        <f>LN(mpf_monthly_price!I62/mpf_monthly_price!I61)</f>
        <v>-9.4288504664329531E-2</v>
      </c>
      <c r="J61">
        <f>LN(mpf_monthly_price!J62/mpf_monthly_price!J61)</f>
        <v>8.7408767154810476E-5</v>
      </c>
      <c r="K61">
        <f>LN(mpf_monthly_price!K62/mpf_monthly_price!K61)</f>
        <v>-4.8278752465316342E-2</v>
      </c>
    </row>
    <row r="62" spans="1:11" x14ac:dyDescent="0.4">
      <c r="A62" s="6">
        <v>44682</v>
      </c>
      <c r="B62">
        <f>LN(mpf_monthly_price!B63/mpf_monthly_price!B62)</f>
        <v>1.3062434356216497E-2</v>
      </c>
      <c r="C62">
        <f>LN(mpf_monthly_price!C63/mpf_monthly_price!C62)</f>
        <v>-9.4126818484989861E-4</v>
      </c>
      <c r="D62">
        <f>LN(mpf_monthly_price!D63/mpf_monthly_price!D62)</f>
        <v>2.6805950330612669E-3</v>
      </c>
      <c r="E62">
        <f>LN(mpf_monthly_price!E63/mpf_monthly_price!E62)</f>
        <v>-7.8877921286110673E-3</v>
      </c>
      <c r="F62">
        <f>LN(mpf_monthly_price!F63/mpf_monthly_price!F62)</f>
        <v>4.6850309134467598E-3</v>
      </c>
      <c r="G62">
        <f>LN(mpf_monthly_price!G63/mpf_monthly_price!G62)</f>
        <v>-4.6486980792228086E-3</v>
      </c>
      <c r="H62">
        <f>LN(mpf_monthly_price!H63/mpf_monthly_price!H62)</f>
        <v>-1.5773703254768701E-3</v>
      </c>
      <c r="I62">
        <f>LN(mpf_monthly_price!I63/mpf_monthly_price!I62)</f>
        <v>-6.3452915107981489E-3</v>
      </c>
      <c r="J62">
        <f>LN(mpf_monthly_price!J63/mpf_monthly_price!J62)</f>
        <v>8.7401127530181903E-5</v>
      </c>
      <c r="K62">
        <f>LN(mpf_monthly_price!K63/mpf_monthly_price!K62)</f>
        <v>-1.4234224227643664E-3</v>
      </c>
    </row>
    <row r="63" spans="1:11" x14ac:dyDescent="0.4">
      <c r="A63" s="6">
        <v>44713</v>
      </c>
      <c r="B63">
        <f>LN(mpf_monthly_price!B64/mpf_monthly_price!B63)</f>
        <v>3.4092163319697583E-2</v>
      </c>
      <c r="C63">
        <f>LN(mpf_monthly_price!C64/mpf_monthly_price!C63)</f>
        <v>-0.12196859732925334</v>
      </c>
      <c r="D63">
        <f>LN(mpf_monthly_price!D64/mpf_monthly_price!D63)</f>
        <v>-2.6471171041354814E-2</v>
      </c>
      <c r="E63">
        <f>LN(mpf_monthly_price!E64/mpf_monthly_price!E63)</f>
        <v>-5.1481668499091915E-2</v>
      </c>
      <c r="F63">
        <f>LN(mpf_monthly_price!F64/mpf_monthly_price!F63)</f>
        <v>-4.6549122009276474E-2</v>
      </c>
      <c r="G63">
        <f>LN(mpf_monthly_price!G64/mpf_monthly_price!G63)</f>
        <v>-8.6967080691685641E-2</v>
      </c>
      <c r="H63">
        <f>LN(mpf_monthly_price!H64/mpf_monthly_price!H63)</f>
        <v>-2.9476717629100684E-2</v>
      </c>
      <c r="I63">
        <f>LN(mpf_monthly_price!I64/mpf_monthly_price!I63)</f>
        <v>-7.9896385838399545E-2</v>
      </c>
      <c r="J63">
        <f>LN(mpf_monthly_price!J64/mpf_monthly_price!J63)</f>
        <v>8.7393489240754512E-5</v>
      </c>
      <c r="K63">
        <f>LN(mpf_monthly_price!K64/mpf_monthly_price!K63)</f>
        <v>-3.1601966977172033E-2</v>
      </c>
    </row>
    <row r="64" spans="1:11" x14ac:dyDescent="0.4">
      <c r="A64" s="6">
        <v>44743</v>
      </c>
      <c r="B64">
        <f>LN(mpf_monthly_price!B65/mpf_monthly_price!B64)</f>
        <v>-7.5329719404044287E-2</v>
      </c>
      <c r="C64">
        <f>LN(mpf_monthly_price!C65/mpf_monthly_price!C64)</f>
        <v>5.3288807437400817E-2</v>
      </c>
      <c r="D64">
        <f>LN(mpf_monthly_price!D65/mpf_monthly_price!D64)</f>
        <v>2.3698013412772279E-2</v>
      </c>
      <c r="E64">
        <f>LN(mpf_monthly_price!E65/mpf_monthly_price!E64)</f>
        <v>5.0491305412012112E-2</v>
      </c>
      <c r="F64">
        <f>LN(mpf_monthly_price!F65/mpf_monthly_price!F64)</f>
        <v>7.3557338341187703E-3</v>
      </c>
      <c r="G64">
        <f>LN(mpf_monthly_price!G65/mpf_monthly_price!G64)</f>
        <v>7.9631187663639136E-2</v>
      </c>
      <c r="H64">
        <f>LN(mpf_monthly_price!H65/mpf_monthly_price!H64)</f>
        <v>1.5007139618181084E-2</v>
      </c>
      <c r="I64">
        <f>LN(mpf_monthly_price!I65/mpf_monthly_price!I64)</f>
        <v>8.4531684390996939E-2</v>
      </c>
      <c r="J64">
        <f>LN(mpf_monthly_price!J65/mpf_monthly_price!J64)</f>
        <v>8.7385852286084309E-5</v>
      </c>
      <c r="K64">
        <f>LN(mpf_monthly_price!K65/mpf_monthly_price!K64)</f>
        <v>1.2161356578455278E-2</v>
      </c>
    </row>
    <row r="65" spans="1:11" x14ac:dyDescent="0.4">
      <c r="A65" s="6">
        <v>44774</v>
      </c>
      <c r="B65">
        <f>LN(mpf_monthly_price!B66/mpf_monthly_price!B65)</f>
        <v>-2.4518804346266309E-2</v>
      </c>
      <c r="C65">
        <f>LN(mpf_monthly_price!C66/mpf_monthly_price!C65)</f>
        <v>-3.2019132205522292E-2</v>
      </c>
      <c r="D65">
        <f>LN(mpf_monthly_price!D66/mpf_monthly_price!D65)</f>
        <v>-3.3413300800772643E-2</v>
      </c>
      <c r="E65">
        <f>LN(mpf_monthly_price!E66/mpf_monthly_price!E65)</f>
        <v>-4.4815603697557486E-2</v>
      </c>
      <c r="F65">
        <f>LN(mpf_monthly_price!F66/mpf_monthly_price!F65)</f>
        <v>-4.0325121770978876E-2</v>
      </c>
      <c r="G65">
        <f>LN(mpf_monthly_price!G66/mpf_monthly_price!G65)</f>
        <v>-3.483715790877074E-2</v>
      </c>
      <c r="H65">
        <f>LN(mpf_monthly_price!H66/mpf_monthly_price!H65)</f>
        <v>-4.3091308876507875E-2</v>
      </c>
      <c r="I65">
        <f>LN(mpf_monthly_price!I66/mpf_monthly_price!I65)</f>
        <v>-3.6904556935450861E-2</v>
      </c>
      <c r="J65">
        <f>LN(mpf_monthly_price!J66/mpf_monthly_price!J65)</f>
        <v>8.7378216666171294E-5</v>
      </c>
      <c r="K65">
        <f>LN(mpf_monthly_price!K66/mpf_monthly_price!K65)</f>
        <v>-4.3766260903682429E-2</v>
      </c>
    </row>
    <row r="66" spans="1:11" x14ac:dyDescent="0.4">
      <c r="A66" s="6">
        <v>44805</v>
      </c>
      <c r="B66">
        <f>LN(mpf_monthly_price!B67/mpf_monthly_price!B66)</f>
        <v>-0.12140127196488092</v>
      </c>
      <c r="C66">
        <f>LN(mpf_monthly_price!C67/mpf_monthly_price!C66)</f>
        <v>-9.6521183917731804E-2</v>
      </c>
      <c r="D66">
        <f>LN(mpf_monthly_price!D67/mpf_monthly_price!D66)</f>
        <v>-4.6128128602705223E-2</v>
      </c>
      <c r="E66">
        <f>LN(mpf_monthly_price!E67/mpf_monthly_price!E66)</f>
        <v>-6.6490737682242895E-2</v>
      </c>
      <c r="F66">
        <f>LN(mpf_monthly_price!F67/mpf_monthly_price!F66)</f>
        <v>-9.0688184121489268E-2</v>
      </c>
      <c r="G66">
        <f>LN(mpf_monthly_price!G67/mpf_monthly_price!G66)</f>
        <v>-9.6960206168980323E-2</v>
      </c>
      <c r="H66">
        <f>LN(mpf_monthly_price!H67/mpf_monthly_price!H66)</f>
        <v>-5.7056778660974902E-2</v>
      </c>
      <c r="I66">
        <f>LN(mpf_monthly_price!I67/mpf_monthly_price!I66)</f>
        <v>-0.1020202150266442</v>
      </c>
      <c r="J66">
        <f>LN(mpf_monthly_price!J67/mpf_monthly_price!J66)</f>
        <v>4.3677659571871751E-4</v>
      </c>
      <c r="K66">
        <f>LN(mpf_monthly_price!K67/mpf_monthly_price!K66)</f>
        <v>-6.4858363438462727E-2</v>
      </c>
    </row>
    <row r="67" spans="1:11" x14ac:dyDescent="0.4">
      <c r="A67" s="6">
        <v>44835</v>
      </c>
      <c r="B67">
        <f>LN(mpf_monthly_price!B68/mpf_monthly_price!B67)</f>
        <v>-0.10574369695147767</v>
      </c>
      <c r="C67">
        <f>LN(mpf_monthly_price!C68/mpf_monthly_price!C67)</f>
        <v>3.2032939842697936E-2</v>
      </c>
      <c r="D67">
        <f>LN(mpf_monthly_price!D68/mpf_monthly_price!D67)</f>
        <v>-1.4042128686509016E-3</v>
      </c>
      <c r="E67">
        <f>LN(mpf_monthly_price!E68/mpf_monthly_price!E67)</f>
        <v>3.3674343495209438E-2</v>
      </c>
      <c r="F67">
        <f>LN(mpf_monthly_price!F68/mpf_monthly_price!F67)</f>
        <v>1.746130210911754E-3</v>
      </c>
      <c r="G67">
        <f>LN(mpf_monthly_price!G68/mpf_monthly_price!G67)</f>
        <v>7.6809360691530465E-2</v>
      </c>
      <c r="H67">
        <f>LN(mpf_monthly_price!H68/mpf_monthly_price!H67)</f>
        <v>-4.3763745997988882E-3</v>
      </c>
      <c r="I67">
        <f>LN(mpf_monthly_price!I68/mpf_monthly_price!I67)</f>
        <v>7.2651442712551625E-2</v>
      </c>
      <c r="J67">
        <f>LN(mpf_monthly_price!J68/mpf_monthly_price!J67)</f>
        <v>1.134727132623802E-3</v>
      </c>
      <c r="K67">
        <f>LN(mpf_monthly_price!K68/mpf_monthly_price!K67)</f>
        <v>-4.1869533087605581E-3</v>
      </c>
    </row>
    <row r="68" spans="1:11" x14ac:dyDescent="0.4">
      <c r="A68" s="6">
        <v>44866</v>
      </c>
      <c r="B68">
        <f>LN(mpf_monthly_price!B69/mpf_monthly_price!B68)</f>
        <v>0.18932332359254389</v>
      </c>
      <c r="C68">
        <f>LN(mpf_monthly_price!C69/mpf_monthly_price!C68)</f>
        <v>0.11094132852903171</v>
      </c>
      <c r="D68">
        <f>LN(mpf_monthly_price!D69/mpf_monthly_price!D68)</f>
        <v>5.8573763372166653E-2</v>
      </c>
      <c r="E68">
        <f>LN(mpf_monthly_price!E69/mpf_monthly_price!E68)</f>
        <v>5.3720330277290729E-2</v>
      </c>
      <c r="F68">
        <f>LN(mpf_monthly_price!F69/mpf_monthly_price!F68)</f>
        <v>0.11195546083517031</v>
      </c>
      <c r="G68">
        <f>LN(mpf_monthly_price!G69/mpf_monthly_price!G68)</f>
        <v>4.7134197058642593E-2</v>
      </c>
      <c r="H68">
        <f>LN(mpf_monthly_price!H69/mpf_monthly_price!H68)</f>
        <v>7.0477465154762678E-2</v>
      </c>
      <c r="I68">
        <f>LN(mpf_monthly_price!I69/mpf_monthly_price!I68)</f>
        <v>5.0898290116173854E-2</v>
      </c>
      <c r="J68">
        <f>LN(mpf_monthly_price!J69/mpf_monthly_price!J68)</f>
        <v>1.7432236611796912E-3</v>
      </c>
      <c r="K68">
        <f>LN(mpf_monthly_price!K69/mpf_monthly_price!K68)</f>
        <v>8.0288773148363371E-2</v>
      </c>
    </row>
    <row r="69" spans="1:11" x14ac:dyDescent="0.4">
      <c r="A69" s="6">
        <v>44896</v>
      </c>
      <c r="B69">
        <f>LN(mpf_monthly_price!B70/mpf_monthly_price!B69)</f>
        <v>5.0967958882444285E-2</v>
      </c>
      <c r="C69">
        <f>LN(mpf_monthly_price!C70/mpf_monthly_price!C69)</f>
        <v>-4.9942735972574738E-2</v>
      </c>
      <c r="D69">
        <f>LN(mpf_monthly_price!D70/mpf_monthly_price!D69)</f>
        <v>2.835808687449193E-3</v>
      </c>
      <c r="E69">
        <f>LN(mpf_monthly_price!E70/mpf_monthly_price!E69)</f>
        <v>-3.6165276468069406E-2</v>
      </c>
      <c r="F69">
        <f>LN(mpf_monthly_price!F70/mpf_monthly_price!F69)</f>
        <v>-4.2318826381225706E-3</v>
      </c>
      <c r="G69">
        <f>LN(mpf_monthly_price!G70/mpf_monthly_price!G69)</f>
        <v>-5.8150180439384989E-2</v>
      </c>
      <c r="H69">
        <f>LN(mpf_monthly_price!H70/mpf_monthly_price!H69)</f>
        <v>-9.2115406354248627E-3</v>
      </c>
      <c r="I69">
        <f>LN(mpf_monthly_price!I70/mpf_monthly_price!I69)</f>
        <v>-5.8945837259071536E-2</v>
      </c>
      <c r="J69">
        <f>LN(mpf_monthly_price!J70/mpf_monthly_price!J69)</f>
        <v>2.5222887910144394E-3</v>
      </c>
      <c r="K69">
        <f>LN(mpf_monthly_price!K70/mpf_monthly_price!K69)</f>
        <v>-9.1409203602294178E-3</v>
      </c>
    </row>
    <row r="70" spans="1:11" x14ac:dyDescent="0.4">
      <c r="A70" s="6">
        <v>44927</v>
      </c>
      <c r="B70">
        <f>LN(mpf_monthly_price!B71/mpf_monthly_price!B70)</f>
        <v>0.10586270793075662</v>
      </c>
      <c r="C70">
        <f>LN(mpf_monthly_price!C71/mpf_monthly_price!C70)</f>
        <v>8.8907612690978743E-2</v>
      </c>
      <c r="D70">
        <f>LN(mpf_monthly_price!D71/mpf_monthly_price!D70)</f>
        <v>4.2233118484310321E-2</v>
      </c>
      <c r="E70">
        <f>LN(mpf_monthly_price!E71/mpf_monthly_price!E70)</f>
        <v>5.8780372181874874E-2</v>
      </c>
      <c r="F70">
        <f>LN(mpf_monthly_price!F71/mpf_monthly_price!F70)</f>
        <v>8.6680204764310001E-2</v>
      </c>
      <c r="G70">
        <f>LN(mpf_monthly_price!G71/mpf_monthly_price!G70)</f>
        <v>7.6805666257505789E-2</v>
      </c>
      <c r="H70">
        <f>LN(mpf_monthly_price!H71/mpf_monthly_price!H70)</f>
        <v>5.3562431627701135E-2</v>
      </c>
      <c r="I70">
        <f>LN(mpf_monthly_price!I71/mpf_monthly_price!I70)</f>
        <v>7.4830541844516082E-2</v>
      </c>
      <c r="J70">
        <f>LN(mpf_monthly_price!J71/mpf_monthly_price!J70)</f>
        <v>2.6892230477083977E-3</v>
      </c>
      <c r="K70">
        <f>LN(mpf_monthly_price!K71/mpf_monthly_price!K70)</f>
        <v>6.1242174403428301E-2</v>
      </c>
    </row>
    <row r="71" spans="1:11" x14ac:dyDescent="0.4">
      <c r="A71" s="6">
        <v>44958</v>
      </c>
      <c r="B71">
        <f>LN(mpf_monthly_price!B72/mpf_monthly_price!B71)</f>
        <v>-6.6315095414989811E-2</v>
      </c>
      <c r="C71">
        <f>LN(mpf_monthly_price!C72/mpf_monthly_price!C71)</f>
        <v>-3.9547857136485925E-2</v>
      </c>
      <c r="D71">
        <f>LN(mpf_monthly_price!D72/mpf_monthly_price!D71)</f>
        <v>-3.9970247445165356E-2</v>
      </c>
      <c r="E71">
        <f>LN(mpf_monthly_price!E72/mpf_monthly_price!E71)</f>
        <v>-3.328856072112292E-2</v>
      </c>
      <c r="F71">
        <f>LN(mpf_monthly_price!F72/mpf_monthly_price!F71)</f>
        <v>-4.0721277899519133E-2</v>
      </c>
      <c r="G71">
        <f>LN(mpf_monthly_price!G72/mpf_monthly_price!G71)</f>
        <v>-3.3953878930343837E-2</v>
      </c>
      <c r="H71">
        <f>LN(mpf_monthly_price!H72/mpf_monthly_price!H71)</f>
        <v>-3.7031301888817335E-2</v>
      </c>
      <c r="I71">
        <f>LN(mpf_monthly_price!I72/mpf_monthly_price!I71)</f>
        <v>-4.0517229494003819E-2</v>
      </c>
      <c r="J71">
        <f>LN(mpf_monthly_price!J72/mpf_monthly_price!J71)</f>
        <v>1.9905671032513523E-3</v>
      </c>
      <c r="K71">
        <f>LN(mpf_monthly_price!K72/mpf_monthly_price!K71)</f>
        <v>-3.8926719802763271E-2</v>
      </c>
    </row>
    <row r="72" spans="1:11" x14ac:dyDescent="0.4">
      <c r="A72" s="6">
        <v>44986</v>
      </c>
      <c r="B72">
        <f>LN(mpf_monthly_price!B73/mpf_monthly_price!B72)</f>
        <v>-8.9539473011978708E-3</v>
      </c>
      <c r="C72">
        <f>LN(mpf_monthly_price!C73/mpf_monthly_price!C72)</f>
        <v>1.8421484120256286E-2</v>
      </c>
      <c r="D72">
        <f>LN(mpf_monthly_price!D73/mpf_monthly_price!D72)</f>
        <v>2.5845075245676741E-2</v>
      </c>
      <c r="E72">
        <f>LN(mpf_monthly_price!E73/mpf_monthly_price!E72)</f>
        <v>2.9695147320426003E-2</v>
      </c>
      <c r="F72">
        <f>LN(mpf_monthly_price!F73/mpf_monthly_price!F72)</f>
        <v>1.3518861995947434E-2</v>
      </c>
      <c r="G72">
        <f>LN(mpf_monthly_price!G73/mpf_monthly_price!G72)</f>
        <v>3.0792589897196802E-2</v>
      </c>
      <c r="H72">
        <f>LN(mpf_monthly_price!H73/mpf_monthly_price!H72)</f>
        <v>1.620833916800048E-2</v>
      </c>
      <c r="I72">
        <f>LN(mpf_monthly_price!I73/mpf_monthly_price!I72)</f>
        <v>3.8185206865946092E-2</v>
      </c>
      <c r="J72">
        <f>LN(mpf_monthly_price!J73/mpf_monthly_price!J72)</f>
        <v>1.9003201710774797E-3</v>
      </c>
      <c r="K72">
        <f>LN(mpf_monthly_price!K73/mpf_monthly_price!K72)</f>
        <v>1.6862048739848812E-2</v>
      </c>
    </row>
    <row r="73" spans="1:11" x14ac:dyDescent="0.4">
      <c r="A73" s="6">
        <v>45017</v>
      </c>
      <c r="B73">
        <f>LN(mpf_monthly_price!B74/mpf_monthly_price!B73)</f>
        <v>-2.3892827571896466E-2</v>
      </c>
      <c r="C73">
        <f>LN(mpf_monthly_price!C74/mpf_monthly_price!C73)</f>
        <v>-1.2805393493728512E-3</v>
      </c>
      <c r="D73">
        <f>LN(mpf_monthly_price!D74/mpf_monthly_price!D73)</f>
        <v>-1.2857013434229363E-3</v>
      </c>
      <c r="E73">
        <f>LN(mpf_monthly_price!E74/mpf_monthly_price!E73)</f>
        <v>8.9214820259387335E-3</v>
      </c>
      <c r="F73">
        <f>LN(mpf_monthly_price!F74/mpf_monthly_price!F73)</f>
        <v>-6.1025339691976694E-3</v>
      </c>
      <c r="G73">
        <f>LN(mpf_monthly_price!G74/mpf_monthly_price!G73)</f>
        <v>7.9449731077801487E-3</v>
      </c>
      <c r="H73">
        <f>LN(mpf_monthly_price!H74/mpf_monthly_price!H73)</f>
        <v>-4.4338777083546554E-3</v>
      </c>
      <c r="I73">
        <f>LN(mpf_monthly_price!I74/mpf_monthly_price!I73)</f>
        <v>1.4810257488748485E-2</v>
      </c>
      <c r="J73">
        <f>LN(mpf_monthly_price!J74/mpf_monthly_price!J73)</f>
        <v>1.9828447377651902E-3</v>
      </c>
      <c r="K73">
        <f>LN(mpf_monthly_price!K74/mpf_monthly_price!K73)</f>
        <v>-4.7550759307477585E-3</v>
      </c>
    </row>
    <row r="74" spans="1:11" x14ac:dyDescent="0.4">
      <c r="A74" s="6">
        <v>45047</v>
      </c>
      <c r="B74">
        <f>LN(mpf_monthly_price!B75/mpf_monthly_price!B74)</f>
        <v>-8.2284157484525694E-2</v>
      </c>
      <c r="C74">
        <f>LN(mpf_monthly_price!C75/mpf_monthly_price!C74)</f>
        <v>1.0532415480140592E-2</v>
      </c>
      <c r="D74">
        <f>LN(mpf_monthly_price!D75/mpf_monthly_price!D74)</f>
        <v>-1.3786940564346204E-2</v>
      </c>
      <c r="E74">
        <f>LN(mpf_monthly_price!E75/mpf_monthly_price!E74)</f>
        <v>-4.1839473761462161E-3</v>
      </c>
      <c r="F74">
        <f>LN(mpf_monthly_price!F75/mpf_monthly_price!F74)</f>
        <v>-2.9404154487712084E-2</v>
      </c>
      <c r="G74">
        <f>LN(mpf_monthly_price!G75/mpf_monthly_price!G74)</f>
        <v>8.6012981036159581E-3</v>
      </c>
      <c r="H74">
        <f>LN(mpf_monthly_price!H75/mpf_monthly_price!H74)</f>
        <v>-2.2524585659893941E-2</v>
      </c>
      <c r="I74">
        <f>LN(mpf_monthly_price!I75/mpf_monthly_price!I74)</f>
        <v>1.1152133310051517E-2</v>
      </c>
      <c r="J74">
        <f>LN(mpf_monthly_price!J75/mpf_monthly_price!J74)</f>
        <v>2.4086033149702283E-3</v>
      </c>
      <c r="K74">
        <f>LN(mpf_monthly_price!K75/mpf_monthly_price!K74)</f>
        <v>-2.3250754973633308E-2</v>
      </c>
    </row>
    <row r="75" spans="1:11" x14ac:dyDescent="0.4">
      <c r="A75" s="6">
        <v>45078</v>
      </c>
      <c r="B75">
        <f>LN(mpf_monthly_price!B76/mpf_monthly_price!B75)</f>
        <v>4.2667265455909105E-2</v>
      </c>
      <c r="C75">
        <f>LN(mpf_monthly_price!C76/mpf_monthly_price!C75)</f>
        <v>3.0526939591905361E-2</v>
      </c>
      <c r="D75">
        <f>LN(mpf_monthly_price!D76/mpf_monthly_price!D75)</f>
        <v>-6.3557555760733611E-3</v>
      </c>
      <c r="E75">
        <f>LN(mpf_monthly_price!E76/mpf_monthly_price!E75)</f>
        <v>2.4398800676230369E-2</v>
      </c>
      <c r="F75">
        <f>LN(mpf_monthly_price!F76/mpf_monthly_price!F75)</f>
        <v>3.395750147008058E-2</v>
      </c>
      <c r="G75">
        <f>LN(mpf_monthly_price!G76/mpf_monthly_price!G75)</f>
        <v>5.2868683342897835E-2</v>
      </c>
      <c r="H75">
        <f>LN(mpf_monthly_price!H76/mpf_monthly_price!H75)</f>
        <v>1.5673009101292754E-2</v>
      </c>
      <c r="I75">
        <f>LN(mpf_monthly_price!I76/mpf_monthly_price!I75)</f>
        <v>5.174284320270648E-2</v>
      </c>
      <c r="J75">
        <f>LN(mpf_monthly_price!J76/mpf_monthly_price!J75)</f>
        <v>1.974164840124902E-3</v>
      </c>
      <c r="K75">
        <f>LN(mpf_monthly_price!K76/mpf_monthly_price!K75)</f>
        <v>1.6859444307316583E-2</v>
      </c>
    </row>
    <row r="76" spans="1:11" x14ac:dyDescent="0.4">
      <c r="A76" s="6">
        <v>45108</v>
      </c>
      <c r="B76">
        <f>LN(mpf_monthly_price!B77/mpf_monthly_price!B76)</f>
        <v>6.3584668073473141E-2</v>
      </c>
      <c r="C76">
        <f>LN(mpf_monthly_price!C77/mpf_monthly_price!C76)</f>
        <v>2.6979910181985065E-2</v>
      </c>
      <c r="D76">
        <f>LN(mpf_monthly_price!D77/mpf_monthly_price!D76)</f>
        <v>6.3557555760733577E-3</v>
      </c>
      <c r="E76">
        <f>LN(mpf_monthly_price!E77/mpf_monthly_price!E76)</f>
        <v>1.1906223103518906E-2</v>
      </c>
      <c r="F76">
        <f>LN(mpf_monthly_price!F77/mpf_monthly_price!F76)</f>
        <v>3.2004434495376814E-2</v>
      </c>
      <c r="G76">
        <f>LN(mpf_monthly_price!G77/mpf_monthly_price!G76)</f>
        <v>2.6542666082999596E-2</v>
      </c>
      <c r="H76">
        <f>LN(mpf_monthly_price!H77/mpf_monthly_price!H76)</f>
        <v>1.7577996610334851E-2</v>
      </c>
      <c r="I76">
        <f>LN(mpf_monthly_price!I77/mpf_monthly_price!I76)</f>
        <v>2.4604521624454735E-2</v>
      </c>
      <c r="J76">
        <f>LN(mpf_monthly_price!J77/mpf_monthly_price!J76)</f>
        <v>3.0821942208698275E-3</v>
      </c>
      <c r="K76">
        <f>LN(mpf_monthly_price!K77/mpf_monthly_price!K76)</f>
        <v>1.704693757454195E-2</v>
      </c>
    </row>
    <row r="77" spans="1:11" x14ac:dyDescent="0.4">
      <c r="A77" s="6">
        <v>45139</v>
      </c>
      <c r="B77">
        <f>LN(mpf_monthly_price!B78/mpf_monthly_price!B77)</f>
        <v>-8.1473944500010234E-2</v>
      </c>
      <c r="C77">
        <f>LN(mpf_monthly_price!C78/mpf_monthly_price!C77)</f>
        <v>-4.63250221665562E-2</v>
      </c>
      <c r="D77">
        <f>LN(mpf_monthly_price!D78/mpf_monthly_price!D77)</f>
        <v>-7.3876990045799234E-3</v>
      </c>
      <c r="E77">
        <f>LN(mpf_monthly_price!E78/mpf_monthly_price!E77)</f>
        <v>-9.6026738775823114E-3</v>
      </c>
      <c r="F77">
        <f>LN(mpf_monthly_price!F78/mpf_monthly_price!F77)</f>
        <v>-3.7644974452847535E-2</v>
      </c>
      <c r="G77">
        <f>LN(mpf_monthly_price!G78/mpf_monthly_price!G77)</f>
        <v>-1.0482363711206965E-2</v>
      </c>
      <c r="H77">
        <f>LN(mpf_monthly_price!H78/mpf_monthly_price!H77)</f>
        <v>-2.1130980751926088E-2</v>
      </c>
      <c r="I77">
        <f>LN(mpf_monthly_price!I78/mpf_monthly_price!I77)</f>
        <v>-1.0461246792258856E-2</v>
      </c>
      <c r="J77">
        <f>LN(mpf_monthly_price!J78/mpf_monthly_price!J77)</f>
        <v>2.5612581234615815E-3</v>
      </c>
      <c r="K77">
        <f>LN(mpf_monthly_price!K78/mpf_monthly_price!K77)</f>
        <v>-2.2667070485308874E-2</v>
      </c>
    </row>
    <row r="78" spans="1:11" x14ac:dyDescent="0.4">
      <c r="A78" s="6">
        <v>45170</v>
      </c>
      <c r="B78">
        <f>LN(mpf_monthly_price!B79/mpf_monthly_price!B78)</f>
        <v>-2.7197984369040033E-2</v>
      </c>
      <c r="C78">
        <f>LN(mpf_monthly_price!C79/mpf_monthly_price!C78)</f>
        <v>-2.4787479663112903E-2</v>
      </c>
      <c r="D78">
        <f>LN(mpf_monthly_price!D79/mpf_monthly_price!D78)</f>
        <v>-1.8759432172886659E-2</v>
      </c>
      <c r="E78">
        <f>LN(mpf_monthly_price!E79/mpf_monthly_price!E78)</f>
        <v>-3.3893873513526122E-2</v>
      </c>
      <c r="F78">
        <f>LN(mpf_monthly_price!F79/mpf_monthly_price!F78)</f>
        <v>-3.3252842602690916E-2</v>
      </c>
      <c r="G78">
        <f>LN(mpf_monthly_price!G79/mpf_monthly_price!G78)</f>
        <v>-4.7861227734773054E-2</v>
      </c>
      <c r="H78">
        <f>LN(mpf_monthly_price!H79/mpf_monthly_price!H78)</f>
        <v>-2.7929968521690222E-2</v>
      </c>
      <c r="I78">
        <f>LN(mpf_monthly_price!I79/mpf_monthly_price!I78)</f>
        <v>-5.2013430456049239E-2</v>
      </c>
      <c r="J78">
        <f>LN(mpf_monthly_price!J79/mpf_monthly_price!J78)</f>
        <v>3.1498770350301981E-3</v>
      </c>
      <c r="K78">
        <f>LN(mpf_monthly_price!K79/mpf_monthly_price!K78)</f>
        <v>-3.0798525340884925E-2</v>
      </c>
    </row>
    <row r="79" spans="1:11" x14ac:dyDescent="0.4">
      <c r="A79" s="6">
        <v>45200</v>
      </c>
      <c r="B79">
        <f>LN(mpf_monthly_price!B80/mpf_monthly_price!B79)</f>
        <v>-3.9538250403904213E-2</v>
      </c>
      <c r="C79">
        <f>LN(mpf_monthly_price!C80/mpf_monthly_price!C79)</f>
        <v>-3.1123699316812251E-2</v>
      </c>
      <c r="D79">
        <f>LN(mpf_monthly_price!D80/mpf_monthly_price!D79)</f>
        <v>-8.4518367120019096E-3</v>
      </c>
      <c r="E79">
        <f>LN(mpf_monthly_price!E80/mpf_monthly_price!E79)</f>
        <v>-1.3527821958840927E-2</v>
      </c>
      <c r="F79">
        <f>LN(mpf_monthly_price!F80/mpf_monthly_price!F79)</f>
        <v>-2.8439737508425534E-2</v>
      </c>
      <c r="G79">
        <f>LN(mpf_monthly_price!G80/mpf_monthly_price!G79)</f>
        <v>-1.4709622502566091E-2</v>
      </c>
      <c r="H79">
        <f>LN(mpf_monthly_price!H80/mpf_monthly_price!H79)</f>
        <v>-1.8011338867664317E-2</v>
      </c>
      <c r="I79">
        <f>LN(mpf_monthly_price!I80/mpf_monthly_price!I79)</f>
        <v>-1.2380892175390477E-2</v>
      </c>
      <c r="J79">
        <f>LN(mpf_monthly_price!J80/mpf_monthly_price!J79)</f>
        <v>3.0552514642858187E-3</v>
      </c>
      <c r="K79">
        <f>LN(mpf_monthly_price!K80/mpf_monthly_price!K79)</f>
        <v>-2.0150436765128534E-2</v>
      </c>
    </row>
    <row r="80" spans="1:11" x14ac:dyDescent="0.4">
      <c r="A80" s="6">
        <v>45231</v>
      </c>
      <c r="B80">
        <f>LN(mpf_monthly_price!B81/mpf_monthly_price!B80)</f>
        <v>-1.3035484876604364E-2</v>
      </c>
      <c r="C80">
        <f>LN(mpf_monthly_price!C81/mpf_monthly_price!C80)</f>
        <v>4.8625654818200033E-2</v>
      </c>
      <c r="D80">
        <f>LN(mpf_monthly_price!D81/mpf_monthly_price!D80)</f>
        <v>3.4039788005373113E-2</v>
      </c>
      <c r="E80">
        <f>LN(mpf_monthly_price!E81/mpf_monthly_price!E80)</f>
        <v>5.9007258407097647E-2</v>
      </c>
      <c r="F80">
        <f>LN(mpf_monthly_price!F81/mpf_monthly_price!F80)</f>
        <v>4.8736903759993642E-2</v>
      </c>
      <c r="G80">
        <f>LN(mpf_monthly_price!G81/mpf_monthly_price!G80)</f>
        <v>7.3910289713974481E-2</v>
      </c>
      <c r="H80">
        <f>LN(mpf_monthly_price!H81/mpf_monthly_price!H80)</f>
        <v>4.4077782596842266E-2</v>
      </c>
      <c r="I80">
        <f>LN(mpf_monthly_price!I81/mpf_monthly_price!I80)</f>
        <v>7.9881613543703905E-2</v>
      </c>
      <c r="J80">
        <f>LN(mpf_monthly_price!J81/mpf_monthly_price!J80)</f>
        <v>3.1304226249215484E-3</v>
      </c>
      <c r="K80">
        <f>LN(mpf_monthly_price!K81/mpf_monthly_price!K80)</f>
        <v>4.5056870618556767E-2</v>
      </c>
    </row>
    <row r="81" spans="1:11" x14ac:dyDescent="0.4">
      <c r="A81" s="6">
        <v>45261</v>
      </c>
      <c r="B81">
        <f>LN(mpf_monthly_price!B82/mpf_monthly_price!B81)</f>
        <v>1.2339893160878466E-2</v>
      </c>
      <c r="C81">
        <f>LN(mpf_monthly_price!C82/mpf_monthly_price!C81)</f>
        <v>4.6751136777388055E-2</v>
      </c>
      <c r="D81">
        <f>LN(mpf_monthly_price!D82/mpf_monthly_price!D81)</f>
        <v>2.6403263224997562E-2</v>
      </c>
      <c r="E81">
        <f>LN(mpf_monthly_price!E82/mpf_monthly_price!E81)</f>
        <v>3.3972471146651709E-2</v>
      </c>
      <c r="F81">
        <f>LN(mpf_monthly_price!F82/mpf_monthly_price!F81)</f>
        <v>2.8141286624573669E-2</v>
      </c>
      <c r="G81">
        <f>LN(mpf_monthly_price!G82/mpf_monthly_price!G81)</f>
        <v>3.6042871249935347E-2</v>
      </c>
      <c r="H81">
        <f>LN(mpf_monthly_price!H82/mpf_monthly_price!H81)</f>
        <v>2.8927972103601363E-2</v>
      </c>
      <c r="I81">
        <f>LN(mpf_monthly_price!I82/mpf_monthly_price!I81)</f>
        <v>3.7621386850071672E-2</v>
      </c>
      <c r="J81">
        <f>LN(mpf_monthly_price!J82/mpf_monthly_price!J81)</f>
        <v>2.5310061600420626E-3</v>
      </c>
      <c r="K81">
        <f>LN(mpf_monthly_price!K82/mpf_monthly_price!K81)</f>
        <v>2.9352609075137742E-2</v>
      </c>
    </row>
    <row r="82" spans="1:11" x14ac:dyDescent="0.4">
      <c r="A82" s="6">
        <v>45292</v>
      </c>
      <c r="B82">
        <f>LN(mpf_monthly_price!B83/mpf_monthly_price!B82)</f>
        <v>-8.8142746502415492E-2</v>
      </c>
      <c r="C82">
        <f>LN(mpf_monthly_price!C83/mpf_monthly_price!C82)</f>
        <v>-2.7950681807653498E-2</v>
      </c>
      <c r="D82">
        <f>LN(mpf_monthly_price!D83/mpf_monthly_price!D82)</f>
        <v>-5.0061543590345621E-3</v>
      </c>
      <c r="E82">
        <f>LN(mpf_monthly_price!E83/mpf_monthly_price!E82)</f>
        <v>7.7705957546313556E-3</v>
      </c>
      <c r="F82">
        <f>LN(mpf_monthly_price!F83/mpf_monthly_price!F82)</f>
        <v>-2.1551235682525552E-2</v>
      </c>
      <c r="G82">
        <f>LN(mpf_monthly_price!G83/mpf_monthly_price!G82)</f>
        <v>3.0893629144394971E-2</v>
      </c>
      <c r="H82">
        <f>LN(mpf_monthly_price!H83/mpf_monthly_price!H82)</f>
        <v>-1.406206082777209E-2</v>
      </c>
      <c r="I82">
        <f>LN(mpf_monthly_price!I83/mpf_monthly_price!I82)</f>
        <v>2.8374228053046509E-2</v>
      </c>
      <c r="J82">
        <f>LN(mpf_monthly_price!J83/mpf_monthly_price!J82)</f>
        <v>3.6166404701885148E-3</v>
      </c>
      <c r="K82">
        <f>LN(mpf_monthly_price!K83/mpf_monthly_price!K82)</f>
        <v>-1.5705405808784476E-2</v>
      </c>
    </row>
    <row r="83" spans="1:11" x14ac:dyDescent="0.4">
      <c r="A83" s="6">
        <v>45323</v>
      </c>
      <c r="B83">
        <f>LN(mpf_monthly_price!B84/mpf_monthly_price!B83)</f>
        <v>5.9377749319523492E-2</v>
      </c>
      <c r="C83">
        <f>LN(mpf_monthly_price!C84/mpf_monthly_price!C83)</f>
        <v>3.993178171106055E-2</v>
      </c>
      <c r="D83">
        <f>LN(mpf_monthly_price!D84/mpf_monthly_price!D83)</f>
        <v>-4.9396368276627706E-3</v>
      </c>
      <c r="E83">
        <f>LN(mpf_monthly_price!E84/mpf_monthly_price!E83)</f>
        <v>2.1510696786925586E-2</v>
      </c>
      <c r="F83">
        <f>LN(mpf_monthly_price!F84/mpf_monthly_price!F83)</f>
        <v>4.1108043226375707E-2</v>
      </c>
      <c r="G83">
        <f>LN(mpf_monthly_price!G84/mpf_monthly_price!G83)</f>
        <v>4.5498558482833053E-2</v>
      </c>
      <c r="H83">
        <f>LN(mpf_monthly_price!H84/mpf_monthly_price!H83)</f>
        <v>1.8051321723159933E-2</v>
      </c>
      <c r="I83">
        <f>LN(mpf_monthly_price!I84/mpf_monthly_price!I83)</f>
        <v>4.6596699811150673E-2</v>
      </c>
      <c r="J83">
        <f>LN(mpf_monthly_price!J84/mpf_monthly_price!J83)</f>
        <v>3.1015574550994655E-3</v>
      </c>
      <c r="K83">
        <f>LN(mpf_monthly_price!K84/mpf_monthly_price!K83)</f>
        <v>1.7197247577311791E-2</v>
      </c>
    </row>
    <row r="84" spans="1:11" x14ac:dyDescent="0.4">
      <c r="A84" s="6">
        <v>45352</v>
      </c>
      <c r="B84">
        <f>LN(mpf_monthly_price!B85/mpf_monthly_price!B84)</f>
        <v>1.341861810685013E-3</v>
      </c>
      <c r="C84">
        <f>LN(mpf_monthly_price!C85/mpf_monthly_price!C84)</f>
        <v>1.8014587859375833E-2</v>
      </c>
      <c r="D84">
        <f>LN(mpf_monthly_price!D85/mpf_monthly_price!D84)</f>
        <v>3.8440464688278778E-3</v>
      </c>
      <c r="E84">
        <f>LN(mpf_monthly_price!E85/mpf_monthly_price!E84)</f>
        <v>1.4834328834475847E-2</v>
      </c>
      <c r="F84">
        <f>LN(mpf_monthly_price!F85/mpf_monthly_price!F84)</f>
        <v>1.3980405063866486E-2</v>
      </c>
      <c r="G84">
        <f>LN(mpf_monthly_price!G85/mpf_monthly_price!G84)</f>
        <v>2.3577018294202681E-2</v>
      </c>
      <c r="H84">
        <f>LN(mpf_monthly_price!H85/mpf_monthly_price!H84)</f>
        <v>9.614950716618869E-3</v>
      </c>
      <c r="I84">
        <f>LN(mpf_monthly_price!I85/mpf_monthly_price!I84)</f>
        <v>2.0689194145867822E-2</v>
      </c>
      <c r="J84">
        <f>LN(mpf_monthly_price!J85/mpf_monthly_price!J84)</f>
        <v>2.5077334884072715E-3</v>
      </c>
      <c r="K84">
        <f>LN(mpf_monthly_price!K85/mpf_monthly_price!K84)</f>
        <v>9.643097441470818E-3</v>
      </c>
    </row>
    <row r="85" spans="1:11" x14ac:dyDescent="0.4">
      <c r="A85" s="6">
        <v>45383</v>
      </c>
      <c r="B85">
        <f>LN(mpf_monthly_price!B86/mpf_monthly_price!B85)</f>
        <v>7.099337227915016E-2</v>
      </c>
      <c r="C85">
        <f>LN(mpf_monthly_price!C86/mpf_monthly_price!C85)</f>
        <v>-2.3729921608960465E-3</v>
      </c>
      <c r="D85">
        <f>LN(mpf_monthly_price!D86/mpf_monthly_price!D85)</f>
        <v>-1.5929621864078293E-2</v>
      </c>
      <c r="E85">
        <f>LN(mpf_monthly_price!E86/mpf_monthly_price!E85)</f>
        <v>-2.7378240498223745E-2</v>
      </c>
      <c r="F85">
        <f>LN(mpf_monthly_price!F86/mpf_monthly_price!F85)</f>
        <v>-1.4861154647197456E-3</v>
      </c>
      <c r="G85">
        <f>LN(mpf_monthly_price!G86/mpf_monthly_price!G85)</f>
        <v>-4.3406318540012187E-2</v>
      </c>
      <c r="H85">
        <f>LN(mpf_monthly_price!H86/mpf_monthly_price!H85)</f>
        <v>-1.0570922960010717E-2</v>
      </c>
      <c r="I85">
        <f>LN(mpf_monthly_price!I86/mpf_monthly_price!I85)</f>
        <v>-4.1935111056284551E-2</v>
      </c>
      <c r="J85">
        <f>LN(mpf_monthly_price!J86/mpf_monthly_price!J85)</f>
        <v>2.9177628969674295E-3</v>
      </c>
      <c r="K85">
        <f>LN(mpf_monthly_price!K86/mpf_monthly_price!K85)</f>
        <v>-1.0901692177009254E-2</v>
      </c>
    </row>
    <row r="86" spans="1:11" x14ac:dyDescent="0.4">
      <c r="A86" s="6">
        <v>45413</v>
      </c>
      <c r="B86">
        <f>LN(mpf_monthly_price!B87/mpf_monthly_price!B86)</f>
        <v>2.4268044084742035E-2</v>
      </c>
      <c r="C86">
        <f>LN(mpf_monthly_price!C87/mpf_monthly_price!C86)</f>
        <v>1.482325316562118E-2</v>
      </c>
      <c r="D86">
        <f>LN(mpf_monthly_price!D87/mpf_monthly_price!D86)</f>
        <v>1.2268960688263861E-2</v>
      </c>
      <c r="E86">
        <f>LN(mpf_monthly_price!E87/mpf_monthly_price!E86)</f>
        <v>2.5952239509625837E-2</v>
      </c>
      <c r="F86">
        <f>LN(mpf_monthly_price!F87/mpf_monthly_price!F86)</f>
        <v>2.5946220459638229E-2</v>
      </c>
      <c r="G86">
        <f>LN(mpf_monthly_price!G87/mpf_monthly_price!G86)</f>
        <v>4.4852554962457804E-2</v>
      </c>
      <c r="H86">
        <f>LN(mpf_monthly_price!H87/mpf_monthly_price!H86)</f>
        <v>1.9521284978876723E-2</v>
      </c>
      <c r="I86">
        <f>LN(mpf_monthly_price!I87/mpf_monthly_price!I86)</f>
        <v>4.7255185385535053E-2</v>
      </c>
      <c r="J86">
        <f>LN(mpf_monthly_price!J87/mpf_monthly_price!J86)</f>
        <v>2.4111423030180844E-3</v>
      </c>
      <c r="K86">
        <f>LN(mpf_monthly_price!K87/mpf_monthly_price!K86)</f>
        <v>1.898922821780492E-2</v>
      </c>
    </row>
    <row r="87" spans="1:11" x14ac:dyDescent="0.4">
      <c r="A87" s="6">
        <v>45444</v>
      </c>
      <c r="B87">
        <f>LN(mpf_monthly_price!B88/mpf_monthly_price!B87)</f>
        <v>-1.0704028335828883E-2</v>
      </c>
      <c r="C87">
        <f>LN(mpf_monthly_price!C88/mpf_monthly_price!C87)</f>
        <v>3.6886492599538447E-2</v>
      </c>
      <c r="D87">
        <f>LN(mpf_monthly_price!D88/mpf_monthly_price!D87)</f>
        <v>7.5809834689243225E-3</v>
      </c>
      <c r="E87">
        <f>LN(mpf_monthly_price!E88/mpf_monthly_price!E87)</f>
        <v>1.3365031879075229E-2</v>
      </c>
      <c r="F87">
        <f>LN(mpf_monthly_price!F88/mpf_monthly_price!F87)</f>
        <v>4.9417679107788262E-3</v>
      </c>
      <c r="G87">
        <f>LN(mpf_monthly_price!G88/mpf_monthly_price!G87)</f>
        <v>3.1929330890349925E-2</v>
      </c>
      <c r="H87">
        <f>LN(mpf_monthly_price!H88/mpf_monthly_price!H87)</f>
        <v>4.9898746915491236E-3</v>
      </c>
      <c r="I87">
        <f>LN(mpf_monthly_price!I88/mpf_monthly_price!I87)</f>
        <v>3.2057985810466878E-2</v>
      </c>
      <c r="J87">
        <f>LN(mpf_monthly_price!J88/mpf_monthly_price!J87)</f>
        <v>2.4881824232915926E-3</v>
      </c>
      <c r="K87">
        <f>LN(mpf_monthly_price!K88/mpf_monthly_price!K87)</f>
        <v>3.4722257107490571E-3</v>
      </c>
    </row>
    <row r="88" spans="1:11" x14ac:dyDescent="0.4">
      <c r="A88" s="6">
        <v>45474</v>
      </c>
      <c r="B88">
        <f>LN(mpf_monthly_price!B89/mpf_monthly_price!B88)</f>
        <v>-1.5397655202496524E-2</v>
      </c>
      <c r="C88">
        <f>LN(mpf_monthly_price!C89/mpf_monthly_price!C88)</f>
        <v>-4.3752180319294757E-3</v>
      </c>
      <c r="D88">
        <f>LN(mpf_monthly_price!D89/mpf_monthly_price!D88)</f>
        <v>1.9731258623428383E-2</v>
      </c>
      <c r="E88">
        <f>LN(mpf_monthly_price!E89/mpf_monthly_price!E88)</f>
        <v>1.0073803460661392E-2</v>
      </c>
      <c r="F88">
        <f>LN(mpf_monthly_price!F89/mpf_monthly_price!F88)</f>
        <v>-1.2079727661766125E-3</v>
      </c>
      <c r="G88">
        <f>LN(mpf_monthly_price!G89/mpf_monthly_price!G88)</f>
        <v>-2.2655356468785121E-3</v>
      </c>
      <c r="H88">
        <f>LN(mpf_monthly_price!H89/mpf_monthly_price!H88)</f>
        <v>1.0829313752662242E-2</v>
      </c>
      <c r="I88">
        <f>LN(mpf_monthly_price!I89/mpf_monthly_price!I88)</f>
        <v>-2.4894901106910961E-3</v>
      </c>
      <c r="J88">
        <f>LN(mpf_monthly_price!J89/mpf_monthly_price!J88)</f>
        <v>2.895076260055445E-3</v>
      </c>
      <c r="K88">
        <f>LN(mpf_monthly_price!K89/mpf_monthly_price!K88)</f>
        <v>1.0299780248190225E-2</v>
      </c>
    </row>
    <row r="89" spans="1:11" x14ac:dyDescent="0.4">
      <c r="A89" s="6">
        <v>45505</v>
      </c>
      <c r="B89">
        <f>LN(mpf_monthly_price!B90/mpf_monthly_price!B89)</f>
        <v>4.5977614453346298E-2</v>
      </c>
      <c r="C89">
        <f>LN(mpf_monthly_price!C90/mpf_monthly_price!C89)</f>
        <v>2.0102057774727629E-2</v>
      </c>
      <c r="D89">
        <f>LN(mpf_monthly_price!D90/mpf_monthly_price!D89)</f>
        <v>1.0560509912405706E-2</v>
      </c>
      <c r="E89">
        <f>LN(mpf_monthly_price!E90/mpf_monthly_price!E89)</f>
        <v>2.4263485371858066E-2</v>
      </c>
      <c r="F89">
        <f>LN(mpf_monthly_price!F90/mpf_monthly_price!F89)</f>
        <v>2.7224731598428725E-2</v>
      </c>
      <c r="G89">
        <f>LN(mpf_monthly_price!G90/mpf_monthly_price!G89)</f>
        <v>3.1962041000730988E-2</v>
      </c>
      <c r="H89">
        <f>LN(mpf_monthly_price!H90/mpf_monthly_price!H89)</f>
        <v>1.8799456205604928E-2</v>
      </c>
      <c r="I89">
        <f>LN(mpf_monthly_price!I90/mpf_monthly_price!I89)</f>
        <v>3.4140627239005301E-2</v>
      </c>
      <c r="J89">
        <f>LN(mpf_monthly_price!J90/mpf_monthly_price!J89)</f>
        <v>2.3924443206279743E-3</v>
      </c>
      <c r="K89">
        <f>LN(mpf_monthly_price!K90/mpf_monthly_price!K89)</f>
        <v>1.9755715362704578E-2</v>
      </c>
    </row>
    <row r="90" spans="1:11" x14ac:dyDescent="0.4">
      <c r="A90" s="6">
        <v>45536</v>
      </c>
      <c r="B90">
        <f>LN(mpf_monthly_price!B91/mpf_monthly_price!B90)</f>
        <v>0.15416206189481105</v>
      </c>
      <c r="C90">
        <f>LN(mpf_monthly_price!C91/mpf_monthly_price!C90)</f>
        <v>3.8448322098587964E-2</v>
      </c>
      <c r="D90">
        <f>LN(mpf_monthly_price!D91/mpf_monthly_price!D90)</f>
        <v>9.7510325921723665E-3</v>
      </c>
      <c r="E90">
        <f>LN(mpf_monthly_price!E91/mpf_monthly_price!E90)</f>
        <v>1.3449798939145108E-2</v>
      </c>
      <c r="F90">
        <f>LN(mpf_monthly_price!F91/mpf_monthly_price!F90)</f>
        <v>5.6931489955599261E-2</v>
      </c>
      <c r="G90">
        <f>LN(mpf_monthly_price!G91/mpf_monthly_price!G90)</f>
        <v>1.3876461009673866E-2</v>
      </c>
      <c r="H90">
        <f>LN(mpf_monthly_price!H91/mpf_monthly_price!H90)</f>
        <v>3.5065284269282522E-2</v>
      </c>
      <c r="I90">
        <f>LN(mpf_monthly_price!I91/mpf_monthly_price!I90)</f>
        <v>1.6484983694341281E-2</v>
      </c>
      <c r="J90">
        <f>LN(mpf_monthly_price!J91/mpf_monthly_price!J90)</f>
        <v>2.3045277688869947E-3</v>
      </c>
      <c r="K90">
        <f>LN(mpf_monthly_price!K91/mpf_monthly_price!K90)</f>
        <v>3.8249979832844977E-2</v>
      </c>
    </row>
    <row r="91" spans="1:11" x14ac:dyDescent="0.4">
      <c r="A91" s="6">
        <v>45566</v>
      </c>
      <c r="B91">
        <f>LN(mpf_monthly_price!B92/mpf_monthly_price!B91)</f>
        <v>-2.7345859585759677E-2</v>
      </c>
      <c r="C91">
        <f>LN(mpf_monthly_price!C92/mpf_monthly_price!C91)</f>
        <v>-4.1249970259406805E-2</v>
      </c>
      <c r="D91">
        <f>LN(mpf_monthly_price!D92/mpf_monthly_price!D91)</f>
        <v>-1.603841217086947E-2</v>
      </c>
      <c r="E91">
        <f>LN(mpf_monthly_price!E92/mpf_monthly_price!E91)</f>
        <v>-1.8385835459776526E-2</v>
      </c>
      <c r="F91">
        <f>LN(mpf_monthly_price!F92/mpf_monthly_price!F91)</f>
        <v>-3.4158084618419356E-2</v>
      </c>
      <c r="G91">
        <f>LN(mpf_monthly_price!G92/mpf_monthly_price!G91)</f>
        <v>-1.0279330514073644E-3</v>
      </c>
      <c r="H91">
        <f>LN(mpf_monthly_price!H92/mpf_monthly_price!H91)</f>
        <v>-2.9994355868191602E-2</v>
      </c>
      <c r="I91">
        <f>LN(mpf_monthly_price!I92/mpf_monthly_price!I91)</f>
        <v>-5.1472351628711914E-3</v>
      </c>
      <c r="J91">
        <f>LN(mpf_monthly_price!J92/mpf_monthly_price!J91)</f>
        <v>2.4632576705060911E-3</v>
      </c>
      <c r="K91">
        <f>LN(mpf_monthly_price!K92/mpf_monthly_price!K91)</f>
        <v>-3.1897110714433935E-2</v>
      </c>
    </row>
    <row r="92" spans="1:11" x14ac:dyDescent="0.4">
      <c r="A92" s="6">
        <v>45597</v>
      </c>
      <c r="B92">
        <f>LN(mpf_monthly_price!B93/mpf_monthly_price!B92)</f>
        <v>-4.9934839273439301E-2</v>
      </c>
      <c r="C92">
        <f>LN(mpf_monthly_price!C93/mpf_monthly_price!C92)</f>
        <v>-1.2075860013401885E-2</v>
      </c>
      <c r="D92">
        <f>LN(mpf_monthly_price!D93/mpf_monthly_price!D92)</f>
        <v>8.3156884005355022E-3</v>
      </c>
      <c r="E92">
        <f>LN(mpf_monthly_price!E93/mpf_monthly_price!E92)</f>
        <v>2.5202233886107036E-2</v>
      </c>
      <c r="F92">
        <f>LN(mpf_monthly_price!F93/mpf_monthly_price!F92)</f>
        <v>-5.5726508547628015E-3</v>
      </c>
      <c r="G92">
        <f>LN(mpf_monthly_price!G93/mpf_monthly_price!G92)</f>
        <v>4.8931753924531959E-2</v>
      </c>
      <c r="H92">
        <f>LN(mpf_monthly_price!H93/mpf_monthly_price!H92)</f>
        <v>1.5512801169322219E-3</v>
      </c>
      <c r="I92">
        <f>LN(mpf_monthly_price!I93/mpf_monthly_price!I92)</f>
        <v>5.2404170506868158E-2</v>
      </c>
      <c r="J92">
        <f>LN(mpf_monthly_price!J93/mpf_monthly_price!J92)</f>
        <v>2.129926257824849E-3</v>
      </c>
      <c r="K92">
        <f>LN(mpf_monthly_price!K93/mpf_monthly_price!K92)</f>
        <v>1.0109668780440314E-3</v>
      </c>
    </row>
    <row r="93" spans="1:11" x14ac:dyDescent="0.4">
      <c r="A93" s="6">
        <v>45627</v>
      </c>
      <c r="B93">
        <f>LN(mpf_monthly_price!B94/mpf_monthly_price!B93)</f>
        <v>3.2732701998150718E-2</v>
      </c>
      <c r="C93">
        <f>LN(mpf_monthly_price!C94/mpf_monthly_price!C93)</f>
        <v>-1.0328633613492358E-2</v>
      </c>
      <c r="D93">
        <f>LN(mpf_monthly_price!D94/mpf_monthly_price!D93)</f>
        <v>-1.1251502973042641E-2</v>
      </c>
      <c r="E93">
        <f>LN(mpf_monthly_price!E94/mpf_monthly_price!E93)</f>
        <v>-1.9489045587484398E-2</v>
      </c>
      <c r="F93">
        <f>LN(mpf_monthly_price!F94/mpf_monthly_price!F93)</f>
        <v>-9.0007866304275454E-3</v>
      </c>
      <c r="G93">
        <f>LN(mpf_monthly_price!G94/mpf_monthly_price!G93)</f>
        <v>-3.0391169001238186E-2</v>
      </c>
      <c r="H93">
        <f>LN(mpf_monthly_price!H94/mpf_monthly_price!H93)</f>
        <v>-1.3491269316625755E-2</v>
      </c>
      <c r="I93">
        <f>LN(mpf_monthly_price!I94/mpf_monthly_price!I93)</f>
        <v>-2.7161126478579187E-2</v>
      </c>
      <c r="J93">
        <f>LN(mpf_monthly_price!J94/mpf_monthly_price!J93)</f>
        <v>2.5336125685842155E-3</v>
      </c>
      <c r="K93">
        <f>LN(mpf_monthly_price!K94/mpf_monthly_price!K93)</f>
        <v>-1.3980054265633967E-2</v>
      </c>
    </row>
    <row r="94" spans="1:11" x14ac:dyDescent="0.4">
      <c r="A94" s="6">
        <v>45658</v>
      </c>
      <c r="B94">
        <f>LN(mpf_monthly_price!B95/mpf_monthly_price!B94)</f>
        <v>8.6026622746584354E-3</v>
      </c>
      <c r="C94">
        <f>LN(mpf_monthly_price!C95/mpf_monthly_price!C94)</f>
        <v>1.8288903665618396E-2</v>
      </c>
      <c r="D94">
        <f>LN(mpf_monthly_price!D95/mpf_monthly_price!D94)</f>
        <v>6.4828609446318354E-3</v>
      </c>
      <c r="E94">
        <f>LN(mpf_monthly_price!E95/mpf_monthly_price!E94)</f>
        <v>2.0694591242832957E-2</v>
      </c>
      <c r="F94">
        <f>LN(mpf_monthly_price!F95/mpf_monthly_price!F94)</f>
        <v>1.8175896151221217E-2</v>
      </c>
      <c r="G94">
        <f>LN(mpf_monthly_price!G95/mpf_monthly_price!G94)</f>
        <v>3.1476379393831994E-2</v>
      </c>
      <c r="H94">
        <f>LN(mpf_monthly_price!H95/mpf_monthly_price!H94)</f>
        <v>1.2240424833619217E-2</v>
      </c>
      <c r="I94">
        <f>LN(mpf_monthly_price!I95/mpf_monthly_price!I94)</f>
        <v>3.297043768808524E-2</v>
      </c>
      <c r="J94">
        <f>LN(mpf_monthly_price!J95/mpf_monthly_price!J94)</f>
        <v>2.2014766932710399E-3</v>
      </c>
      <c r="K94">
        <f>LN(mpf_monthly_price!K95/mpf_monthly_price!K94)</f>
        <v>1.2177182374802262E-2</v>
      </c>
    </row>
    <row r="95" spans="1:11" x14ac:dyDescent="0.4">
      <c r="A95" s="6">
        <v>45689</v>
      </c>
      <c r="B95">
        <f>LN(mpf_monthly_price!B96/mpf_monthly_price!B95)</f>
        <v>0.12394645585913239</v>
      </c>
      <c r="C95">
        <f>LN(mpf_monthly_price!C96/mpf_monthly_price!C95)</f>
        <v>8.9917483310310211E-3</v>
      </c>
      <c r="D95">
        <f>LN(mpf_monthly_price!D96/mpf_monthly_price!D95)</f>
        <v>1.5633552201817117E-2</v>
      </c>
      <c r="E95">
        <f>LN(mpf_monthly_price!E96/mpf_monthly_price!E95)</f>
        <v>6.3409530473622618E-5</v>
      </c>
      <c r="F95">
        <f>LN(mpf_monthly_price!F96/mpf_monthly_price!F95)</f>
        <v>3.0555625952388296E-2</v>
      </c>
      <c r="G95">
        <f>LN(mpf_monthly_price!G96/mpf_monthly_price!G95)</f>
        <v>-2.4499632339413956E-2</v>
      </c>
      <c r="H95">
        <f>LN(mpf_monthly_price!H96/mpf_monthly_price!H95)</f>
        <v>2.4040332702537383E-2</v>
      </c>
      <c r="I95">
        <f>LN(mpf_monthly_price!I96/mpf_monthly_price!I95)</f>
        <v>-1.9514044152525039E-2</v>
      </c>
      <c r="J95">
        <f>LN(mpf_monthly_price!J96/mpf_monthly_price!J95)</f>
        <v>2.2779053129938671E-3</v>
      </c>
      <c r="K95">
        <f>LN(mpf_monthly_price!K96/mpf_monthly_price!K95)</f>
        <v>2.413317982555711E-2</v>
      </c>
    </row>
    <row r="96" spans="1:11" x14ac:dyDescent="0.4">
      <c r="A96" s="6">
        <v>45717</v>
      </c>
      <c r="B96">
        <f>LN(mpf_monthly_price!B97/mpf_monthly_price!B96)</f>
        <v>1.4158209676502737E-2</v>
      </c>
      <c r="C96">
        <f>LN(mpf_monthly_price!C97/mpf_monthly_price!C96)</f>
        <v>4.5373692226622223E-3</v>
      </c>
      <c r="D96">
        <f>LN(mpf_monthly_price!D97/mpf_monthly_price!D96)</f>
        <v>7.8400631220862209E-4</v>
      </c>
      <c r="E96">
        <f>LN(mpf_monthly_price!E97/mpf_monthly_price!E96)</f>
        <v>-2.1405585305716346E-2</v>
      </c>
      <c r="F96">
        <f>LN(mpf_monthly_price!F97/mpf_monthly_price!F96)</f>
        <v>-4.5785076114546663E-3</v>
      </c>
      <c r="G96">
        <f>LN(mpf_monthly_price!G97/mpf_monthly_price!G96)</f>
        <v>-5.3517664956580627E-2</v>
      </c>
      <c r="H96">
        <f>LN(mpf_monthly_price!H97/mpf_monthly_price!H96)</f>
        <v>-1.516300517964075E-3</v>
      </c>
      <c r="I96">
        <f>LN(mpf_monthly_price!I97/mpf_monthly_price!I96)</f>
        <v>-5.5431651747393368E-2</v>
      </c>
      <c r="J96">
        <f>LN(mpf_monthly_price!J97/mpf_monthly_price!J96)</f>
        <v>2.3538016630213431E-3</v>
      </c>
      <c r="K96">
        <f>LN(mpf_monthly_price!K97/mpf_monthly_price!K96)</f>
        <v>-1.8060637031403677E-3</v>
      </c>
    </row>
    <row r="97" spans="1:11" x14ac:dyDescent="0.4">
      <c r="A97" s="6">
        <v>45748</v>
      </c>
      <c r="B97">
        <f>LN(mpf_monthly_price!B98/mpf_monthly_price!B97)</f>
        <v>-4.521719854920845E-2</v>
      </c>
      <c r="C97">
        <f>LN(mpf_monthly_price!C98/mpf_monthly_price!C97)</f>
        <v>6.0559501790027597E-3</v>
      </c>
      <c r="D97">
        <f>LN(mpf_monthly_price!D98/mpf_monthly_price!D97)</f>
        <v>-2.1793148145063728E-3</v>
      </c>
      <c r="E97">
        <f>LN(mpf_monthly_price!E98/mpf_monthly_price!E97)</f>
        <v>4.653275377611457E-3</v>
      </c>
      <c r="F97">
        <f>LN(mpf_monthly_price!F98/mpf_monthly_price!F97)</f>
        <v>-3.4165768108599687E-3</v>
      </c>
      <c r="G97">
        <f>LN(mpf_monthly_price!G98/mpf_monthly_price!G97)</f>
        <v>-1.5198142596874398E-2</v>
      </c>
      <c r="H97">
        <f>LN(mpf_monthly_price!H98/mpf_monthly_price!H97)</f>
        <v>2.1026388519713914E-3</v>
      </c>
      <c r="I97">
        <f>LN(mpf_monthly_price!I98/mpf_monthly_price!I97)</f>
        <v>-1.2510656282875895E-2</v>
      </c>
      <c r="J97">
        <f>LN(mpf_monthly_price!J98/mpf_monthly_price!J97)</f>
        <v>2.1865012557617364E-3</v>
      </c>
      <c r="K97">
        <f>LN(mpf_monthly_price!K98/mpf_monthly_price!K97)</f>
        <v>1.5912270855611337E-3</v>
      </c>
    </row>
    <row r="98" spans="1:11" x14ac:dyDescent="0.4">
      <c r="A98" s="6">
        <v>45778</v>
      </c>
      <c r="B98">
        <f>LN(mpf_monthly_price!B99/mpf_monthly_price!B98)</f>
        <v>5.5705840108533002E-2</v>
      </c>
      <c r="C98">
        <f>LN(mpf_monthly_price!C99/mpf_monthly_price!C98)</f>
        <v>7.0876438072494649E-2</v>
      </c>
      <c r="D98">
        <f>LN(mpf_monthly_price!D99/mpf_monthly_price!D98)</f>
        <v>7.6502155254075371E-3</v>
      </c>
      <c r="E98">
        <f>LN(mpf_monthly_price!E99/mpf_monthly_price!E98)</f>
        <v>3.8330014690085373E-2</v>
      </c>
      <c r="F98">
        <f>LN(mpf_monthly_price!F99/mpf_monthly_price!F98)</f>
        <v>5.5286431258771175E-2</v>
      </c>
      <c r="G98">
        <f>LN(mpf_monthly_price!G99/mpf_monthly_price!G98)</f>
        <v>6.4478698169764981E-2</v>
      </c>
      <c r="H98">
        <f>LN(mpf_monthly_price!H99/mpf_monthly_price!H98)</f>
        <v>3.1493744460609895E-2</v>
      </c>
      <c r="I98">
        <f>LN(mpf_monthly_price!I99/mpf_monthly_price!I98)</f>
        <v>6.4652621663664339E-2</v>
      </c>
      <c r="J98">
        <f>LN(mpf_monthly_price!J99/mpf_monthly_price!J98)</f>
        <v>2.020284334981374E-3</v>
      </c>
      <c r="K98">
        <f>LN(mpf_monthly_price!K99/mpf_monthly_price!K98)</f>
        <v>3.1387400189333038E-2</v>
      </c>
    </row>
    <row r="99" spans="1:11" x14ac:dyDescent="0.4">
      <c r="A99" s="6">
        <v>45809</v>
      </c>
      <c r="B99">
        <f>LN(mpf_monthly_price!B100/mpf_monthly_price!B99)</f>
        <v>3.90118270435654E-2</v>
      </c>
      <c r="C99">
        <f>LN(mpf_monthly_price!C100/mpf_monthly_price!C99)</f>
        <v>6.3199476338345759E-2</v>
      </c>
      <c r="D99">
        <f>LN(mpf_monthly_price!D100/mpf_monthly_price!D99)</f>
        <v>1.1965881162526585E-2</v>
      </c>
      <c r="E99">
        <f>LN(mpf_monthly_price!E100/mpf_monthly_price!E99)</f>
        <v>2.8325999901933227E-2</v>
      </c>
      <c r="F99">
        <f>LN(mpf_monthly_price!F100/mpf_monthly_price!F99)</f>
        <v>3.5683994210877583E-2</v>
      </c>
      <c r="G99">
        <f>LN(mpf_monthly_price!G100/mpf_monthly_price!G99)</f>
        <v>4.550274281355942E-2</v>
      </c>
      <c r="H99">
        <f>LN(mpf_monthly_price!H100/mpf_monthly_price!H99)</f>
        <v>2.694473203853285E-2</v>
      </c>
      <c r="I99">
        <f>LN(mpf_monthly_price!I100/mpf_monthly_price!I99)</f>
        <v>4.8195190040554739E-2</v>
      </c>
      <c r="J99">
        <f>LN(mpf_monthly_price!J100/mpf_monthly_price!J99)</f>
        <v>1.2908432611295013E-3</v>
      </c>
      <c r="K99">
        <f>LN(mpf_monthly_price!K100/mpf_monthly_price!K99)</f>
        <v>2.6384369309912167E-2</v>
      </c>
    </row>
    <row r="100" spans="1:11" x14ac:dyDescent="0.4">
      <c r="A100" s="6">
        <v>45839</v>
      </c>
      <c r="B100">
        <f>LN(mpf_monthly_price!B101/mpf_monthly_price!B100)</f>
        <v>1.7797375654016137E-2</v>
      </c>
      <c r="C100">
        <f>LN(mpf_monthly_price!C101/mpf_monthly_price!C100)</f>
        <v>-3.0681374546458824E-3</v>
      </c>
      <c r="D100">
        <f>LN(mpf_monthly_price!D101/mpf_monthly_price!D100)</f>
        <v>7.0774117632799527E-3</v>
      </c>
      <c r="E100">
        <f>LN(mpf_monthly_price!E101/mpf_monthly_price!E100)</f>
        <v>-1.2071464527203945E-3</v>
      </c>
      <c r="F100">
        <f>LN(mpf_monthly_price!F101/mpf_monthly_price!F100)</f>
        <v>2.9500219953135002E-3</v>
      </c>
      <c r="G100">
        <f>LN(mpf_monthly_price!G101/mpf_monthly_price!G100)</f>
        <v>2.6524937491283498E-3</v>
      </c>
      <c r="H100">
        <f>LN(mpf_monthly_price!H101/mpf_monthly_price!H100)</f>
        <v>1.2432371809687826E-3</v>
      </c>
      <c r="I100">
        <f>LN(mpf_monthly_price!I101/mpf_monthly_price!I100)</f>
        <v>4.468846996057328E-3</v>
      </c>
      <c r="J100">
        <f>LN(mpf_monthly_price!J101/mpf_monthly_price!J100)</f>
        <v>1.1281226015124484E-3</v>
      </c>
      <c r="K100">
        <f>LN(mpf_monthly_price!K101/mpf_monthly_price!K100)</f>
        <v>7.2980866035233681E-4</v>
      </c>
    </row>
    <row r="101" spans="1:11" x14ac:dyDescent="0.4">
      <c r="A101" s="6">
        <v>45870</v>
      </c>
      <c r="B101">
        <f>LN(mpf_monthly_price!B102/mpf_monthly_price!B101)</f>
        <v>4.5306074832568759E-2</v>
      </c>
      <c r="C101">
        <f>LN(mpf_monthly_price!C102/mpf_monthly_price!C101)</f>
        <v>2.6453242878231146E-2</v>
      </c>
      <c r="D101">
        <f>LN(mpf_monthly_price!D102/mpf_monthly_price!D101)</f>
        <v>4.0702167613533222E-3</v>
      </c>
      <c r="E101">
        <f>LN(mpf_monthly_price!E102/mpf_monthly_price!E101)</f>
        <v>1.6947020757303165E-2</v>
      </c>
      <c r="F101">
        <f>LN(mpf_monthly_price!F102/mpf_monthly_price!F101)</f>
        <v>3.8941793789675376E-2</v>
      </c>
      <c r="G101">
        <f>LN(mpf_monthly_price!G102/mpf_monthly_price!G101)</f>
        <v>3.0484028318441516E-2</v>
      </c>
      <c r="H101">
        <f>LN(mpf_monthly_price!H102/mpf_monthly_price!H101)</f>
        <v>2.0586417226497761E-2</v>
      </c>
      <c r="I101">
        <f>LN(mpf_monthly_price!I102/mpf_monthly_price!I101)</f>
        <v>3.0241328858236619E-2</v>
      </c>
      <c r="J101">
        <f>LN(mpf_monthly_price!J102/mpf_monthly_price!J101)</f>
        <v>1.1268513748732402E-3</v>
      </c>
      <c r="K101">
        <f>LN(mpf_monthly_price!K102/mpf_monthly_price!K101)</f>
        <v>2.109478285388049E-2</v>
      </c>
    </row>
    <row r="102" spans="1:11" x14ac:dyDescent="0.4">
      <c r="A102" s="6">
        <v>45901</v>
      </c>
      <c r="B102">
        <f>LN(mpf_monthly_price!B103/mpf_monthly_price!B102)</f>
        <v>6.5722327902384026E-2</v>
      </c>
      <c r="C102">
        <f>LN(mpf_monthly_price!C103/mpf_monthly_price!C102)</f>
        <v>7.2058652078443822E-2</v>
      </c>
      <c r="D102">
        <f>LN(mpf_monthly_price!D103/mpf_monthly_price!D102)</f>
        <v>9.5170634529462266E-3</v>
      </c>
      <c r="E102">
        <f>LN(mpf_monthly_price!E103/mpf_monthly_price!E102)</f>
        <v>2.5906969944438606E-2</v>
      </c>
      <c r="F102">
        <f>LN(mpf_monthly_price!F103/mpf_monthly_price!F102)</f>
        <v>4.3707660257983637E-2</v>
      </c>
      <c r="G102">
        <f>LN(mpf_monthly_price!G103/mpf_monthly_price!G102)</f>
        <v>3.1956053350131138E-2</v>
      </c>
      <c r="H102">
        <f>LN(mpf_monthly_price!H103/mpf_monthly_price!H102)</f>
        <v>2.8617816098398387E-2</v>
      </c>
      <c r="I102">
        <f>LN(mpf_monthly_price!I103/mpf_monthly_price!I102)</f>
        <v>3.6066152118869307E-2</v>
      </c>
      <c r="J102">
        <f>LN(mpf_monthly_price!J103/mpf_monthly_price!J102)</f>
        <v>1.5272701011381502E-3</v>
      </c>
      <c r="K102">
        <f>LN(mpf_monthly_price!K103/mpf_monthly_price!K102)</f>
        <v>2.8750537936370113E-2</v>
      </c>
    </row>
    <row r="103" spans="1:11" x14ac:dyDescent="0.4">
      <c r="A103" s="6">
        <v>45931</v>
      </c>
      <c r="B103">
        <f>LN(mpf_monthly_price!B104/mpf_monthly_price!B103)</f>
        <v>-4.2954459895766142E-2</v>
      </c>
      <c r="C103">
        <f>LN(mpf_monthly_price!C104/mpf_monthly_price!C103)</f>
        <v>3.3788351390295568E-2</v>
      </c>
      <c r="D103">
        <f>LN(mpf_monthly_price!D104/mpf_monthly_price!D103)</f>
        <v>3.1801851222967321E-3</v>
      </c>
      <c r="E103">
        <f>LN(mpf_monthly_price!E104/mpf_monthly_price!E103)</f>
        <v>1.1391217410691006E-2</v>
      </c>
      <c r="F103">
        <f>LN(mpf_monthly_price!F104/mpf_monthly_price!F103)</f>
        <v>2.0319385947593408E-3</v>
      </c>
      <c r="G103">
        <f>LN(mpf_monthly_price!G104/mpf_monthly_price!G103)</f>
        <v>1.6384091611208306E-2</v>
      </c>
      <c r="H103">
        <f>LN(mpf_monthly_price!H104/mpf_monthly_price!H103)</f>
        <v>-4.380873108715197E-5</v>
      </c>
      <c r="I103">
        <f>LN(mpf_monthly_price!I104/mpf_monthly_price!I103)</f>
        <v>1.9226610271071243E-2</v>
      </c>
      <c r="J103">
        <f>LN(mpf_monthly_price!J104/mpf_monthly_price!J103)</f>
        <v>1.8456852328554471E-3</v>
      </c>
      <c r="K103">
        <f>LN(mpf_monthly_price!K104/mpf_monthly_price!K103)</f>
        <v>3.8558676671147106E-5</v>
      </c>
    </row>
    <row r="104" spans="1:11" x14ac:dyDescent="0.4">
      <c r="A104" s="6">
        <v>45962</v>
      </c>
      <c r="B104">
        <f>LN(mpf_monthly_price!B105/mpf_monthly_price!B104)</f>
        <v>-3.6687389409931579E-3</v>
      </c>
      <c r="C104">
        <f>LN(mpf_monthly_price!C105/mpf_monthly_price!C104)</f>
        <v>-3.6190945533182965E-2</v>
      </c>
      <c r="D104">
        <f>LN(mpf_monthly_price!D105/mpf_monthly_price!D104)</f>
        <v>2.503547998779864E-3</v>
      </c>
      <c r="E104">
        <f>LN(mpf_monthly_price!E105/mpf_monthly_price!E104)</f>
        <v>-2.0615021903094533E-3</v>
      </c>
      <c r="F104">
        <f>LN(mpf_monthly_price!F105/mpf_monthly_price!F104)</f>
        <v>-7.3396262673169404E-3</v>
      </c>
      <c r="G104">
        <f>LN(mpf_monthly_price!G105/mpf_monthly_price!G104)</f>
        <v>-7.2163366837728928E-3</v>
      </c>
      <c r="H104">
        <f>LN(mpf_monthly_price!H105/mpf_monthly_price!H104)</f>
        <v>-4.3465921395329154E-3</v>
      </c>
      <c r="I104">
        <f>LN(mpf_monthly_price!I105/mpf_monthly_price!I104)</f>
        <v>-4.3251505423945085E-3</v>
      </c>
      <c r="J104">
        <f>LN(mpf_monthly_price!J105/mpf_monthly_price!J104)</f>
        <v>1.5221312772600408E-3</v>
      </c>
      <c r="K104">
        <f>LN(mpf_monthly_price!K105/mpf_monthly_price!K104)</f>
        <v>-3.7471312652540959E-3</v>
      </c>
    </row>
    <row r="105" spans="1:11" x14ac:dyDescent="0.4">
      <c r="A105" s="6">
        <v>45992</v>
      </c>
      <c r="B105">
        <f>LN(mpf_monthly_price!B106/mpf_monthly_price!B105)</f>
        <v>1.2461889801456403E-2</v>
      </c>
      <c r="C105">
        <f>LN(mpf_monthly_price!C106/mpf_monthly_price!C105)</f>
        <v>4.7615910674743828E-2</v>
      </c>
      <c r="D105">
        <f>LN(mpf_monthly_price!D106/mpf_monthly_price!D105)</f>
        <v>6.6655559875004563E-4</v>
      </c>
      <c r="E105">
        <f>LN(mpf_monthly_price!E106/mpf_monthly_price!E105)</f>
        <v>1.0435472341003187E-2</v>
      </c>
      <c r="F105">
        <f>LN(mpf_monthly_price!F106/mpf_monthly_price!F105)</f>
        <v>2.3832237906514987E-2</v>
      </c>
      <c r="G105">
        <f>LN(mpf_monthly_price!G106/mpf_monthly_price!G105)</f>
        <v>1.125536203897182E-3</v>
      </c>
      <c r="H105">
        <f>LN(mpf_monthly_price!H106/mpf_monthly_price!H105)</f>
        <v>1.3591381512439356E-2</v>
      </c>
      <c r="I105">
        <f>LN(mpf_monthly_price!I106/mpf_monthly_price!I105)</f>
        <v>5.4146327014989396E-3</v>
      </c>
      <c r="J105">
        <f>LN(mpf_monthly_price!J106/mpf_monthly_price!J105)</f>
        <v>1.9193863858034481E-3</v>
      </c>
      <c r="K105">
        <f>LN(mpf_monthly_price!K106/mpf_monthly_price!K105)</f>
        <v>1.2729227581081672E-2</v>
      </c>
    </row>
    <row r="106" spans="1:11" x14ac:dyDescent="0.4">
      <c r="A106" s="6">
        <v>46023</v>
      </c>
      <c r="B106">
        <f>LN(mpf_monthly_price!B107/mpf_monthly_price!B106)</f>
        <v>1.4204934881472977E-2</v>
      </c>
      <c r="C106">
        <f>LN(mpf_monthly_price!C107/mpf_monthly_price!C106)</f>
        <v>4.0040124512413199E-2</v>
      </c>
      <c r="D106">
        <f>LN(mpf_monthly_price!D107/mpf_monthly_price!D106)</f>
        <v>2.2463506263740154E-3</v>
      </c>
      <c r="E106">
        <f>LN(mpf_monthly_price!E107/mpf_monthly_price!E106)</f>
        <v>1.5814832804861692E-2</v>
      </c>
      <c r="F106">
        <f>LN(mpf_monthly_price!F107/mpf_monthly_price!F106)</f>
        <v>2.6348890212971297E-2</v>
      </c>
      <c r="G106">
        <f>LN(mpf_monthly_price!G107/mpf_monthly_price!G106)</f>
        <v>2.0901066976295176E-2</v>
      </c>
      <c r="H106">
        <f>LN(mpf_monthly_price!H107/mpf_monthly_price!H106)</f>
        <v>2.0748612629091917E-2</v>
      </c>
      <c r="I106">
        <f>LN(mpf_monthly_price!I107/mpf_monthly_price!I106)</f>
        <v>1.8712708932154164E-2</v>
      </c>
      <c r="J106">
        <f>LN(mpf_monthly_price!J107/mpf_monthly_price!J106)</f>
        <v>1.8359614017651033E-3</v>
      </c>
      <c r="K106">
        <f>LN(mpf_monthly_price!K107/mpf_monthly_price!K106)</f>
        <v>1.6711580870406757E-2</v>
      </c>
    </row>
    <row r="107" spans="1:11" x14ac:dyDescent="0.4">
      <c r="A107" s="6">
        <v>46054</v>
      </c>
      <c r="B107">
        <f>LN(mpf_monthly_price!B108/mpf_monthly_price!B107)</f>
        <v>-2.5478406219808875E-2</v>
      </c>
      <c r="C107">
        <f>LN(mpf_monthly_price!C108/mpf_monthly_price!C107)</f>
        <v>8.840152241702455E-2</v>
      </c>
      <c r="D107">
        <f>LN(mpf_monthly_price!D108/mpf_monthly_price!D107)</f>
        <v>1.0827894359092727E-2</v>
      </c>
      <c r="E107">
        <f>LN(mpf_monthly_price!E108/mpf_monthly_price!E107)</f>
        <v>1.049805514433926E-2</v>
      </c>
      <c r="F107">
        <f>LN(mpf_monthly_price!F108/mpf_monthly_price!F107)</f>
        <v>2.6182598002634252E-2</v>
      </c>
      <c r="G107">
        <f>LN(mpf_monthly_price!G108/mpf_monthly_price!G107)</f>
        <v>-1.3750587191054335E-2</v>
      </c>
      <c r="H107">
        <f>LN(mpf_monthly_price!H108/mpf_monthly_price!H107)</f>
        <v>2.190866174865588E-2</v>
      </c>
      <c r="I107">
        <f>LN(mpf_monthly_price!I108/mpf_monthly_price!I107)</f>
        <v>-1.319462824824892E-2</v>
      </c>
      <c r="J107">
        <f>LN(mpf_monthly_price!J108/mpf_monthly_price!J107)</f>
        <v>1.514125483516895E-3</v>
      </c>
      <c r="K107">
        <f>LN(mpf_monthly_price!K108/mpf_monthly_price!K107)</f>
        <v>1.8468020604226382E-2</v>
      </c>
    </row>
    <row r="108" spans="1:11" x14ac:dyDescent="0.4">
      <c r="A108" s="6">
        <v>46082</v>
      </c>
      <c r="B108">
        <f>LN(mpf_monthly_price!B109/mpf_monthly_price!B108)</f>
        <v>-2.9085988483571388E-2</v>
      </c>
      <c r="C108">
        <f>LN(mpf_monthly_price!C109/mpf_monthly_price!C108)</f>
        <v>-7.987303916891586E-2</v>
      </c>
      <c r="D108">
        <f>LN(mpf_monthly_price!D109/mpf_monthly_price!D108)</f>
        <v>-1.2907675483957366E-2</v>
      </c>
      <c r="E108">
        <f>LN(mpf_monthly_price!E109/mpf_monthly_price!E108)</f>
        <v>-3.543079930562712E-2</v>
      </c>
      <c r="F108">
        <f>LN(mpf_monthly_price!F109/mpf_monthly_price!F108)</f>
        <v>-4.992385814612648E-2</v>
      </c>
      <c r="G108">
        <f>LN(mpf_monthly_price!G109/mpf_monthly_price!G108)</f>
        <v>-4.6692423736299657E-2</v>
      </c>
      <c r="H108">
        <f>LN(mpf_monthly_price!H109/mpf_monthly_price!H108)</f>
        <v>-4.1572699099526801E-2</v>
      </c>
      <c r="I108">
        <f>LN(mpf_monthly_price!I109/mpf_monthly_price!I108)</f>
        <v>-4.4328211470996588E-2</v>
      </c>
      <c r="J108">
        <f>LN(mpf_monthly_price!J109/mpf_monthly_price!J108)</f>
        <v>1.3528032938853434E-3</v>
      </c>
      <c r="K108">
        <f>LN(mpf_monthly_price!K109/mpf_monthly_price!K108)</f>
        <v>-3.5179601474632997E-2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38BD-97D5-4F77-AE86-85B20ED00E2E}">
  <dimension ref="A1:K109"/>
  <sheetViews>
    <sheetView topLeftCell="A97" workbookViewId="0">
      <selection activeCell="G109" sqref="G109"/>
    </sheetView>
  </sheetViews>
  <sheetFormatPr defaultRowHeight="17" x14ac:dyDescent="0.4"/>
  <cols>
    <col min="1" max="1" width="9.1796875" bestFit="1" customWidth="1"/>
  </cols>
  <sheetData>
    <row r="1" spans="1:11" x14ac:dyDescent="0.4">
      <c r="A1" s="6" t="s">
        <v>10</v>
      </c>
      <c r="B1" t="str">
        <f>表格1_[[#Headers],[中港基金]]</f>
        <v>中港基金</v>
      </c>
      <c r="C1" t="str">
        <f>表格1_[[#Headers],[亞洲股票基金]]</f>
        <v>亞洲股票基金</v>
      </c>
      <c r="D1" t="str">
        <f>表格1_[[#Headers],[亞洲債券基金]]</f>
        <v>亞洲債券基金</v>
      </c>
      <c r="E1" t="str">
        <f>表格1_[[#Headers],[核心累積基金]]</f>
        <v>核心累積基金</v>
      </c>
      <c r="F1" t="str">
        <f>表格1_[[#Headers],[增長組合]]</f>
        <v>增長組合</v>
      </c>
      <c r="G1" t="str">
        <f>表格1_[[#Headers],[北美股票基金]]</f>
        <v>北美股票基金</v>
      </c>
      <c r="H1" t="str">
        <f>表格1_[[#Headers],[基金經理精選退休基金]]</f>
        <v>基金經理精選退休基金</v>
      </c>
      <c r="I1" t="str">
        <f>表格1_[[#Headers],[美洲基金]]</f>
        <v>美洲基金</v>
      </c>
      <c r="J1" t="str">
        <f>表格1_[[#Headers],[強積金保守基金]]</f>
        <v>強積金保守基金</v>
      </c>
      <c r="K1" t="str">
        <f>表格1_[[#Headers],[均衡組合]]</f>
        <v>均衡組合</v>
      </c>
    </row>
    <row r="2" spans="1:11" x14ac:dyDescent="0.4">
      <c r="A2" s="6">
        <v>42826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4">
      <c r="A3" s="6">
        <v>42856</v>
      </c>
      <c r="B3">
        <f>B2*(1+mpf_monthly_return!B2)</f>
        <v>1.043967584798968</v>
      </c>
      <c r="C3">
        <f>C2*(1+mpf_monthly_return!C2)</f>
        <v>1.014513245472652</v>
      </c>
      <c r="D3">
        <f>D2*(1+mpf_monthly_return!D2)</f>
        <v>1.0125656103603644</v>
      </c>
      <c r="E3">
        <f>E2*(1+mpf_monthly_return!E2)</f>
        <v>1.0132595371916344</v>
      </c>
      <c r="F3">
        <f>F2*(1+mpf_monthly_return!F2)</f>
        <v>1.0320310506626846</v>
      </c>
      <c r="G3">
        <f>G2*(1+mpf_monthly_return!G2)</f>
        <v>1.0173162364336581</v>
      </c>
      <c r="H3">
        <f>H2*(1+mpf_monthly_return!H2)</f>
        <v>1.0245836135046447</v>
      </c>
      <c r="I3">
        <f>I2*(1+mpf_monthly_return!I2)</f>
        <v>1.0114502882662686</v>
      </c>
      <c r="J3">
        <f>J2*(1+mpf_monthly_return!J2)</f>
        <v>1.0000895856663534</v>
      </c>
      <c r="K3">
        <f>K2*(1+mpf_monthly_return!K2)</f>
        <v>1.0191851193221328</v>
      </c>
    </row>
    <row r="4" spans="1:11" x14ac:dyDescent="0.4">
      <c r="A4" s="6">
        <v>42887</v>
      </c>
      <c r="B4">
        <f>B3*(1+mpf_monthly_return!B3)</f>
        <v>1.0496860818255747</v>
      </c>
      <c r="C4">
        <f>C3*(1+mpf_monthly_return!C3)</f>
        <v>1.0385278626721124</v>
      </c>
      <c r="D4">
        <f>D3*(1+mpf_monthly_return!D3)</f>
        <v>1.0156261680443404</v>
      </c>
      <c r="E4">
        <f>E3*(1+mpf_monthly_return!E3)</f>
        <v>1.0112803207459635</v>
      </c>
      <c r="F4">
        <f>F3*(1+mpf_monthly_return!F3)</f>
        <v>1.0366937819647983</v>
      </c>
      <c r="G4">
        <f>G3*(1+mpf_monthly_return!G3)</f>
        <v>1.0148253771597131</v>
      </c>
      <c r="H4">
        <f>H3*(1+mpf_monthly_return!H3)</f>
        <v>1.029288374029663</v>
      </c>
      <c r="I4">
        <f>I3*(1+mpf_monthly_return!I3)</f>
        <v>1.0109319649755295</v>
      </c>
      <c r="J4">
        <f>J3*(1+mpf_monthly_return!J3)</f>
        <v>1.0001791713327068</v>
      </c>
      <c r="K4">
        <f>K3*(1+mpf_monthly_return!K3)</f>
        <v>1.0219407787439039</v>
      </c>
    </row>
    <row r="5" spans="1:11" x14ac:dyDescent="0.4">
      <c r="A5" s="6">
        <v>42917</v>
      </c>
      <c r="B5">
        <f>B4*(1+mpf_monthly_return!B4)</f>
        <v>1.1246002669786779</v>
      </c>
      <c r="C5">
        <f>C4*(1+mpf_monthly_return!C4)</f>
        <v>1.0914607977181601</v>
      </c>
      <c r="D5">
        <f>D4*(1+mpf_monthly_return!D4)</f>
        <v>1.0274348003541312</v>
      </c>
      <c r="E5">
        <f>E4*(1+mpf_monthly_return!E4)</f>
        <v>1.031540860625634</v>
      </c>
      <c r="F5">
        <f>F4*(1+mpf_monthly_return!F4)</f>
        <v>1.081672223401529</v>
      </c>
      <c r="G5">
        <f>G4*(1+mpf_monthly_return!G4)</f>
        <v>1.0473370368851662</v>
      </c>
      <c r="H5">
        <f>H4*(1+mpf_monthly_return!H4)</f>
        <v>1.0651399852431174</v>
      </c>
      <c r="I5">
        <f>I4*(1+mpf_monthly_return!I4)</f>
        <v>1.0457356124946928</v>
      </c>
      <c r="J5">
        <f>J4*(1+mpf_monthly_return!J4)</f>
        <v>1.00026875699906</v>
      </c>
      <c r="K5">
        <f>K4*(1+mpf_monthly_return!K4)</f>
        <v>1.0483721897872857</v>
      </c>
    </row>
    <row r="6" spans="1:11" x14ac:dyDescent="0.4">
      <c r="A6" s="6">
        <v>42948</v>
      </c>
      <c r="B6">
        <f>B5*(1+mpf_monthly_return!B5)</f>
        <v>1.1465756786234191</v>
      </c>
      <c r="C6">
        <f>C5*(1+mpf_monthly_return!C5)</f>
        <v>1.0792376424589887</v>
      </c>
      <c r="D6">
        <f>D5*(1+mpf_monthly_return!D5)</f>
        <v>1.0339273009498231</v>
      </c>
      <c r="E6">
        <f>E5*(1+mpf_monthly_return!E5)</f>
        <v>1.0351916379637944</v>
      </c>
      <c r="F6">
        <f>F5*(1+mpf_monthly_return!F5)</f>
        <v>1.0916375045122768</v>
      </c>
      <c r="G6">
        <f>G5*(1+mpf_monthly_return!G5)</f>
        <v>1.0446481084841899</v>
      </c>
      <c r="H6">
        <f>H5*(1+mpf_monthly_return!H5)</f>
        <v>1.0744010566732727</v>
      </c>
      <c r="I6">
        <f>I5*(1+mpf_monthly_return!I5)</f>
        <v>1.0579210774037204</v>
      </c>
      <c r="J6">
        <f>J5*(1+mpf_monthly_return!J5)</f>
        <v>1.0003583426654132</v>
      </c>
      <c r="K6">
        <f>K5*(1+mpf_monthly_return!K5)</f>
        <v>1.0552965322734316</v>
      </c>
    </row>
    <row r="7" spans="1:11" x14ac:dyDescent="0.4">
      <c r="A7" s="6">
        <v>42979</v>
      </c>
      <c r="B7">
        <f>B6*(1+mpf_monthly_return!B6)</f>
        <v>1.1273984719492054</v>
      </c>
      <c r="C7">
        <f>C6*(1+mpf_monthly_return!C6)</f>
        <v>1.0619739271281323</v>
      </c>
      <c r="D7">
        <f>D6*(1+mpf_monthly_return!D6)</f>
        <v>1.0244981572913108</v>
      </c>
      <c r="E7">
        <f>E6*(1+mpf_monthly_return!E6)</f>
        <v>1.0414983937707651</v>
      </c>
      <c r="F7">
        <f>F6*(1+mpf_monthly_return!F6)</f>
        <v>1.098395228795717</v>
      </c>
      <c r="G7">
        <f>G6*(1+mpf_monthly_return!G6)</f>
        <v>1.0636211762655505</v>
      </c>
      <c r="H7">
        <f>H6*(1+mpf_monthly_return!H6)</f>
        <v>1.0800289582253437</v>
      </c>
      <c r="I7">
        <f>I6*(1+mpf_monthly_return!I6)</f>
        <v>1.0707320416803208</v>
      </c>
      <c r="J7">
        <f>J6*(1+mpf_monthly_return!J6)</f>
        <v>1.0004479283317664</v>
      </c>
      <c r="K7">
        <f>K6*(1+mpf_monthly_return!K6)</f>
        <v>1.0563176717718243</v>
      </c>
    </row>
    <row r="8" spans="1:11" x14ac:dyDescent="0.4">
      <c r="A8" s="6">
        <v>43009</v>
      </c>
      <c r="B8">
        <f>B7*(1+mpf_monthly_return!B7)</f>
        <v>1.1758766252935398</v>
      </c>
      <c r="C8">
        <f>C7*(1+mpf_monthly_return!C7)</f>
        <v>1.1215411522123797</v>
      </c>
      <c r="D8">
        <f>D7*(1+mpf_monthly_return!D7)</f>
        <v>1.0203715608485924</v>
      </c>
      <c r="E8">
        <f>E7*(1+mpf_monthly_return!E7)</f>
        <v>1.0565124809105766</v>
      </c>
      <c r="F8">
        <f>F7*(1+mpf_monthly_return!F7)</f>
        <v>1.1349499747823133</v>
      </c>
      <c r="G8">
        <f>G7*(1+mpf_monthly_return!G7)</f>
        <v>1.0823011321170148</v>
      </c>
      <c r="H8">
        <f>H7*(1+mpf_monthly_return!H7)</f>
        <v>1.1123421456598721</v>
      </c>
      <c r="I8">
        <f>I7*(1+mpf_monthly_return!I7)</f>
        <v>1.0829174602342584</v>
      </c>
      <c r="J8">
        <f>J7*(1+mpf_monthly_return!J7)</f>
        <v>1.0005375139981199</v>
      </c>
      <c r="K8">
        <f>K7*(1+mpf_monthly_return!K7)</f>
        <v>1.0774568676080785</v>
      </c>
    </row>
    <row r="9" spans="1:11" x14ac:dyDescent="0.4">
      <c r="A9" s="6">
        <v>43040</v>
      </c>
      <c r="B9">
        <f>B8*(1+mpf_monthly_return!B8)</f>
        <v>1.1892911132802049</v>
      </c>
      <c r="C9">
        <f>C8*(1+mpf_monthly_return!C8)</f>
        <v>1.1018815703839107</v>
      </c>
      <c r="D9">
        <f>D8*(1+mpf_monthly_return!D8)</f>
        <v>1.0312317472018193</v>
      </c>
      <c r="E9">
        <f>E8*(1+mpf_monthly_return!E8)</f>
        <v>1.0663497259182708</v>
      </c>
      <c r="F9">
        <f>F8*(1+mpf_monthly_return!F8)</f>
        <v>1.141214005367166</v>
      </c>
      <c r="G9">
        <f>G8*(1+mpf_monthly_return!G8)</f>
        <v>1.1148186423228805</v>
      </c>
      <c r="H9">
        <f>H8*(1+mpf_monthly_return!H8)</f>
        <v>1.1206165175279668</v>
      </c>
      <c r="I9">
        <f>I8*(1+mpf_monthly_return!I8)</f>
        <v>1.1010031127856494</v>
      </c>
      <c r="J9">
        <f>J8*(1+mpf_monthly_return!J8)</f>
        <v>1.0006270996644731</v>
      </c>
      <c r="K9">
        <f>K8*(1+mpf_monthly_return!K8)</f>
        <v>1.0842280649535834</v>
      </c>
    </row>
    <row r="10" spans="1:11" x14ac:dyDescent="0.4">
      <c r="A10" s="6">
        <v>43070</v>
      </c>
      <c r="B10">
        <f>B9*(1+mpf_monthly_return!B9)</f>
        <v>1.2172485130832562</v>
      </c>
      <c r="C10">
        <f>C9*(1+mpf_monthly_return!C9)</f>
        <v>1.136800248739366</v>
      </c>
      <c r="D10">
        <f>D9*(1+mpf_monthly_return!D9)</f>
        <v>1.0412386954144015</v>
      </c>
      <c r="E10">
        <f>E9*(1+mpf_monthly_return!E9)</f>
        <v>1.0774591721835198</v>
      </c>
      <c r="F10">
        <f>F9*(1+mpf_monthly_return!F9)</f>
        <v>1.1697480572039092</v>
      </c>
      <c r="G10">
        <f>G9*(1+mpf_monthly_return!G9)</f>
        <v>1.1286466401066098</v>
      </c>
      <c r="H10">
        <f>H9*(1+mpf_monthly_return!H9)</f>
        <v>1.1450766659143976</v>
      </c>
      <c r="I10">
        <f>I9*(1+mpf_monthly_return!I9)</f>
        <v>1.1208980384475209</v>
      </c>
      <c r="J10">
        <f>J9*(1+mpf_monthly_return!J9)</f>
        <v>1.0007166853308262</v>
      </c>
      <c r="K10">
        <f>K9*(1+mpf_monthly_return!K9)</f>
        <v>1.0992405373352474</v>
      </c>
    </row>
    <row r="11" spans="1:11" x14ac:dyDescent="0.4">
      <c r="A11" s="6">
        <v>43101</v>
      </c>
      <c r="B11">
        <f>B10*(1+mpf_monthly_return!B10)</f>
        <v>1.3365755707456892</v>
      </c>
      <c r="C11">
        <f>C10*(1+mpf_monthly_return!C10)</f>
        <v>1.1851801151128325</v>
      </c>
      <c r="D11">
        <f>D10*(1+mpf_monthly_return!D10)</f>
        <v>1.0494419741773804</v>
      </c>
      <c r="E11">
        <f>E10*(1+mpf_monthly_return!E10)</f>
        <v>1.1087231176456127</v>
      </c>
      <c r="F11">
        <f>F10*(1+mpf_monthly_return!F10)</f>
        <v>1.2415075648962641</v>
      </c>
      <c r="G11">
        <f>G10*(1+mpf_monthly_return!G10)</f>
        <v>1.1867050919303064</v>
      </c>
      <c r="H11">
        <f>H10*(1+mpf_monthly_return!H10)</f>
        <v>1.2091772191806232</v>
      </c>
      <c r="I11">
        <f>I10*(1+mpf_monthly_return!I10)</f>
        <v>1.1977986538960328</v>
      </c>
      <c r="J11">
        <f>J10*(1+mpf_monthly_return!J10)</f>
        <v>1.0008062709971794</v>
      </c>
      <c r="K11">
        <f>K10*(1+mpf_monthly_return!K10)</f>
        <v>1.1389090647830007</v>
      </c>
    </row>
    <row r="12" spans="1:11" x14ac:dyDescent="0.4">
      <c r="A12" s="6">
        <v>43132</v>
      </c>
      <c r="B12">
        <f>B11*(1+mpf_monthly_return!B11)</f>
        <v>1.2616288366569508</v>
      </c>
      <c r="C12">
        <f>C11*(1+mpf_monthly_return!C11)</f>
        <v>1.1355551182621111</v>
      </c>
      <c r="D12">
        <f>D11*(1+mpf_monthly_return!D11)</f>
        <v>1.0400152092828243</v>
      </c>
      <c r="E12">
        <f>E11*(1+mpf_monthly_return!E11)</f>
        <v>1.0744144627120975</v>
      </c>
      <c r="F12">
        <f>F11*(1+mpf_monthly_return!F11)</f>
        <v>1.1779914877463471</v>
      </c>
      <c r="G12">
        <f>G11*(1+mpf_monthly_return!G11)</f>
        <v>1.1279566485487758</v>
      </c>
      <c r="H12">
        <f>H11*(1+mpf_monthly_return!H11)</f>
        <v>1.1539864309005783</v>
      </c>
      <c r="I12">
        <f>I11*(1+mpf_monthly_return!I11)</f>
        <v>1.1375459921542905</v>
      </c>
      <c r="J12">
        <f>J11*(1+mpf_monthly_return!J11)</f>
        <v>1.0008958566635329</v>
      </c>
      <c r="K12">
        <f>K11*(1+mpf_monthly_return!K11)</f>
        <v>1.1038246682075412</v>
      </c>
    </row>
    <row r="13" spans="1:11" x14ac:dyDescent="0.4">
      <c r="A13" s="6">
        <v>43160</v>
      </c>
      <c r="B13">
        <f>B12*(1+mpf_monthly_return!B12)</f>
        <v>1.2221736735680577</v>
      </c>
      <c r="C13">
        <f>C12*(1+mpf_monthly_return!C12)</f>
        <v>1.1171114468976542</v>
      </c>
      <c r="D13">
        <f>D12*(1+mpf_monthly_return!D12)</f>
        <v>1.0474575517137035</v>
      </c>
      <c r="E13">
        <f>E12*(1+mpf_monthly_return!E12)</f>
        <v>1.0724379822748189</v>
      </c>
      <c r="F13">
        <f>F12*(1+mpf_monthly_return!F12)</f>
        <v>1.1578798293045065</v>
      </c>
      <c r="G13">
        <f>G12*(1+mpf_monthly_return!G12)</f>
        <v>1.1112799019108426</v>
      </c>
      <c r="H13">
        <f>H12*(1+mpf_monthly_return!H12)</f>
        <v>1.1368014659192769</v>
      </c>
      <c r="I13">
        <f>I12*(1+mpf_monthly_return!I12)</f>
        <v>1.126373164259717</v>
      </c>
      <c r="J13">
        <f>J12*(1+mpf_monthly_return!J12)</f>
        <v>1.0009854423298861</v>
      </c>
      <c r="K13">
        <f>K12*(1+mpf_monthly_return!K12)</f>
        <v>1.0958898943955819</v>
      </c>
    </row>
    <row r="14" spans="1:11" x14ac:dyDescent="0.4">
      <c r="A14" s="6">
        <v>43191</v>
      </c>
      <c r="B14">
        <f>B13*(1+mpf_monthly_return!B13)</f>
        <v>1.2530856721672921</v>
      </c>
      <c r="C14">
        <f>C13*(1+mpf_monthly_return!C13)</f>
        <v>1.143076671982467</v>
      </c>
      <c r="D14">
        <f>D13*(1+mpf_monthly_return!D13)</f>
        <v>1.0326065882518567</v>
      </c>
      <c r="E14">
        <f>E13*(1+mpf_monthly_return!E13)</f>
        <v>1.0761832892085519</v>
      </c>
      <c r="F14">
        <f>F13*(1+mpf_monthly_return!F13)</f>
        <v>1.1699759301549233</v>
      </c>
      <c r="G14">
        <f>G13*(1+mpf_monthly_return!G13)</f>
        <v>1.1214421629795386</v>
      </c>
      <c r="H14">
        <f>H13*(1+mpf_monthly_return!H13)</f>
        <v>1.1460332972776008</v>
      </c>
      <c r="I14">
        <f>I13*(1+mpf_monthly_return!I13)</f>
        <v>1.1224695175631803</v>
      </c>
      <c r="J14">
        <f>J13*(1+mpf_monthly_return!J13)</f>
        <v>1.0010750279962395</v>
      </c>
      <c r="K14">
        <f>K13*(1+mpf_monthly_return!K13)</f>
        <v>1.096297876119088</v>
      </c>
    </row>
    <row r="15" spans="1:11" x14ac:dyDescent="0.4">
      <c r="A15" s="6">
        <v>43221</v>
      </c>
      <c r="B15">
        <f>B14*(1+mpf_monthly_return!B14)</f>
        <v>1.2442395987260917</v>
      </c>
      <c r="C15">
        <f>C14*(1+mpf_monthly_return!C14)</f>
        <v>1.1359503790508529</v>
      </c>
      <c r="D15">
        <f>D14*(1+mpf_monthly_return!D14)</f>
        <v>1.0293461264047614</v>
      </c>
      <c r="E15">
        <f>E14*(1+mpf_monthly_return!E14)</f>
        <v>1.0802237238669012</v>
      </c>
      <c r="F15">
        <f>F14*(1+mpf_monthly_return!F14)</f>
        <v>1.1686788639833321</v>
      </c>
      <c r="G15">
        <f>G14*(1+mpf_monthly_return!G14)</f>
        <v>1.1599232155606938</v>
      </c>
      <c r="H15">
        <f>H14*(1+mpf_monthly_return!H14)</f>
        <v>1.1441779734188058</v>
      </c>
      <c r="I15">
        <f>I14*(1+mpf_monthly_return!I14)</f>
        <v>1.1164937251113443</v>
      </c>
      <c r="J15">
        <f>J14*(1+mpf_monthly_return!J14)</f>
        <v>1.0011646136625929</v>
      </c>
      <c r="K15">
        <f>K14*(1+mpf_monthly_return!K14)</f>
        <v>1.0903137304667776</v>
      </c>
    </row>
    <row r="16" spans="1:11" x14ac:dyDescent="0.4">
      <c r="A16" s="6">
        <v>43252</v>
      </c>
      <c r="B16">
        <f>B15*(1+mpf_monthly_return!B15)</f>
        <v>1.1744666318451433</v>
      </c>
      <c r="C16">
        <f>C15*(1+mpf_monthly_return!C15)</f>
        <v>1.0982061436480133</v>
      </c>
      <c r="D16">
        <f>D15*(1+mpf_monthly_return!D15)</f>
        <v>1.0145920251664553</v>
      </c>
      <c r="E16">
        <f>E15*(1+mpf_monthly_return!E15)</f>
        <v>1.0720972318379998</v>
      </c>
      <c r="F16">
        <f>F15*(1+mpf_monthly_return!F15)</f>
        <v>1.1298662699247568</v>
      </c>
      <c r="G16">
        <f>G15*(1+mpf_monthly_return!G15)</f>
        <v>1.1375706312169696</v>
      </c>
      <c r="H16">
        <f>H15*(1+mpf_monthly_return!H15)</f>
        <v>1.1048898422788136</v>
      </c>
      <c r="I16">
        <f>I15*(1+mpf_monthly_return!I15)</f>
        <v>1.1000990239347321</v>
      </c>
      <c r="J16">
        <f>J15*(1+mpf_monthly_return!J15)</f>
        <v>1.0019705962208112</v>
      </c>
      <c r="K16">
        <f>K15*(1+mpf_monthly_return!K15)</f>
        <v>1.0662818159785616</v>
      </c>
    </row>
    <row r="17" spans="1:11" x14ac:dyDescent="0.4">
      <c r="A17" s="6">
        <v>43282</v>
      </c>
      <c r="B17">
        <f>B16*(1+mpf_monthly_return!B16)</f>
        <v>1.1618466867665869</v>
      </c>
      <c r="C17">
        <f>C16*(1+mpf_monthly_return!C16)</f>
        <v>1.1326117364994783</v>
      </c>
      <c r="D17">
        <f>D16*(1+mpf_monthly_return!D16)</f>
        <v>1.015835808275416</v>
      </c>
      <c r="E17">
        <f>E16*(1+mpf_monthly_return!E16)</f>
        <v>1.0877786117935817</v>
      </c>
      <c r="F17">
        <f>F16*(1+mpf_monthly_return!F16)</f>
        <v>1.139741153140662</v>
      </c>
      <c r="G17">
        <f>G16*(1+mpf_monthly_return!G16)</f>
        <v>1.1751700351320649</v>
      </c>
      <c r="H17">
        <f>H16*(1+mpf_monthly_return!H16)</f>
        <v>1.1152777457465954</v>
      </c>
      <c r="I17">
        <f>I16*(1+mpf_monthly_return!I16)</f>
        <v>1.1503324011605989</v>
      </c>
      <c r="J17">
        <f>J16*(1+mpf_monthly_return!J16)</f>
        <v>1.0024184443470803</v>
      </c>
      <c r="K17">
        <f>K16*(1+mpf_monthly_return!K16)</f>
        <v>1.0704043397694409</v>
      </c>
    </row>
    <row r="18" spans="1:11" x14ac:dyDescent="0.4">
      <c r="A18" s="6">
        <v>43313</v>
      </c>
      <c r="B18">
        <f>B17*(1+mpf_monthly_return!B17)</f>
        <v>1.1481918719450697</v>
      </c>
      <c r="C18">
        <f>C17*(1+mpf_monthly_return!C17)</f>
        <v>1.1155435870599442</v>
      </c>
      <c r="D18">
        <f>D17*(1+mpf_monthly_return!D17)</f>
        <v>1.0187992423684433</v>
      </c>
      <c r="E18">
        <f>E17*(1+mpf_monthly_return!E17)</f>
        <v>1.0953534968560743</v>
      </c>
      <c r="F18">
        <f>F17*(1+mpf_monthly_return!F17)</f>
        <v>1.1322559512333572</v>
      </c>
      <c r="G18">
        <f>G17*(1+mpf_monthly_return!G17)</f>
        <v>1.2115704000412213</v>
      </c>
      <c r="H18">
        <f>H17*(1+mpf_monthly_return!H17)</f>
        <v>1.1090230830656085</v>
      </c>
      <c r="I18">
        <f>I17*(1+mpf_monthly_return!I17)</f>
        <v>1.1640456251028437</v>
      </c>
      <c r="J18">
        <f>J17*(1+mpf_monthly_return!J17)</f>
        <v>1.0035824335606702</v>
      </c>
      <c r="K18">
        <f>K17*(1+mpf_monthly_return!K17)</f>
        <v>1.0664706217442033</v>
      </c>
    </row>
    <row r="19" spans="1:11" x14ac:dyDescent="0.4">
      <c r="A19" s="6">
        <v>43344</v>
      </c>
      <c r="B19">
        <f>B18*(1+mpf_monthly_return!B18)</f>
        <v>1.1506448375323561</v>
      </c>
      <c r="C19">
        <f>C18*(1+mpf_monthly_return!C18)</f>
        <v>1.0876854157431017</v>
      </c>
      <c r="D19">
        <f>D18*(1+mpf_monthly_return!D18)</f>
        <v>1.0120757384749279</v>
      </c>
      <c r="E19">
        <f>E18*(1+mpf_monthly_return!E18)</f>
        <v>1.0936740368250002</v>
      </c>
      <c r="F19">
        <f>F18*(1+mpf_monthly_return!F18)</f>
        <v>1.1305123335032188</v>
      </c>
      <c r="G19">
        <f>G18*(1+mpf_monthly_return!G18)</f>
        <v>1.2174920657886916</v>
      </c>
      <c r="H19">
        <f>H18*(1+mpf_monthly_return!H18)</f>
        <v>1.1076636830833078</v>
      </c>
      <c r="I19">
        <f>I18*(1+mpf_monthly_return!I18)</f>
        <v>1.1725997907668892</v>
      </c>
      <c r="J19">
        <f>J18*(1+mpf_monthly_return!J18)</f>
        <v>1.0042093647340566</v>
      </c>
      <c r="K19">
        <f>K18*(1+mpf_monthly_return!K18)</f>
        <v>1.0623321577222502</v>
      </c>
    </row>
    <row r="20" spans="1:11" x14ac:dyDescent="0.4">
      <c r="A20" s="6">
        <v>43374</v>
      </c>
      <c r="B20">
        <f>B19*(1+mpf_monthly_return!B19)</f>
        <v>1.0553337359238046</v>
      </c>
      <c r="C20">
        <f>C19*(1+mpf_monthly_return!C19)</f>
        <v>0.98887184525883853</v>
      </c>
      <c r="D20">
        <f>D19*(1+mpf_monthly_return!D19)</f>
        <v>1.0078547529733757</v>
      </c>
      <c r="E20">
        <f>E19*(1+mpf_monthly_return!E19)</f>
        <v>1.0494557667789834</v>
      </c>
      <c r="F20">
        <f>F19*(1+mpf_monthly_return!F19)</f>
        <v>1.0422768384467318</v>
      </c>
      <c r="G20">
        <f>G19*(1+mpf_monthly_return!G19)</f>
        <v>1.1403539329039103</v>
      </c>
      <c r="H20">
        <f>H19*(1+mpf_monthly_return!H19)</f>
        <v>1.0357855356199077</v>
      </c>
      <c r="I20">
        <f>I19*(1+mpf_monthly_return!I19)</f>
        <v>1.133669567991471</v>
      </c>
      <c r="J20">
        <f>J19*(1+mpf_monthly_return!J19)</f>
        <v>1.0054628359298172</v>
      </c>
      <c r="K20">
        <f>K19*(1+mpf_monthly_return!K19)</f>
        <v>1.0108780767625496</v>
      </c>
    </row>
    <row r="21" spans="1:11" x14ac:dyDescent="0.4">
      <c r="A21" s="6">
        <v>43405</v>
      </c>
      <c r="B21">
        <f>B20*(1+mpf_monthly_return!B20)</f>
        <v>1.0988711783208607</v>
      </c>
      <c r="C21">
        <f>C20*(1+mpf_monthly_return!C20)</f>
        <v>1.0021776900606969</v>
      </c>
      <c r="D21">
        <f>D20*(1+mpf_monthly_return!D20)</f>
        <v>1.0203181177881049</v>
      </c>
      <c r="E21">
        <f>E20*(1+mpf_monthly_return!E20)</f>
        <v>1.0530005635067301</v>
      </c>
      <c r="F21">
        <f>F20*(1+mpf_monthly_return!F20)</f>
        <v>1.0498638433791401</v>
      </c>
      <c r="G21">
        <f>G20*(1+mpf_monthly_return!G20)</f>
        <v>1.1328258361700534</v>
      </c>
      <c r="H21">
        <f>H20*(1+mpf_monthly_return!H20)</f>
        <v>1.0422352217667354</v>
      </c>
      <c r="I21">
        <f>I20*(1+mpf_monthly_return!I20)</f>
        <v>1.1268993161263867</v>
      </c>
      <c r="J21">
        <f>J20*(1+mpf_monthly_return!J20)</f>
        <v>1.0064478376735737</v>
      </c>
      <c r="K21">
        <f>K20*(1+mpf_monthly_return!K20)</f>
        <v>1.0143354641595712</v>
      </c>
    </row>
    <row r="22" spans="1:11" x14ac:dyDescent="0.4">
      <c r="A22" s="6">
        <v>43435</v>
      </c>
      <c r="B22">
        <f>B21*(1+mpf_monthly_return!B21)</f>
        <v>1.0655026388939874</v>
      </c>
      <c r="C22">
        <f>C21*(1+mpf_monthly_return!C21)</f>
        <v>0.98109103461501868</v>
      </c>
      <c r="D22">
        <f>D21*(1+mpf_monthly_return!D21)</f>
        <v>1.03363217905984</v>
      </c>
      <c r="E22">
        <f>E21*(1+mpf_monthly_return!E21)</f>
        <v>1.0143254273731661</v>
      </c>
      <c r="F22">
        <f>F21*(1+mpf_monthly_return!F21)</f>
        <v>1.0004960396303832</v>
      </c>
      <c r="G22">
        <f>G21*(1+mpf_monthly_return!G21)</f>
        <v>1.0243276974014852</v>
      </c>
      <c r="H22">
        <f>H21*(1+mpf_monthly_return!H21)</f>
        <v>1.0072735851265939</v>
      </c>
      <c r="I22">
        <f>I21*(1+mpf_monthly_return!I21)</f>
        <v>1.0341794961256203</v>
      </c>
      <c r="J22">
        <f>J21*(1+mpf_monthly_return!J21)</f>
        <v>1.0074328394172534</v>
      </c>
      <c r="K22">
        <f>K21*(1+mpf_monthly_return!K21)</f>
        <v>0.99391173984626635</v>
      </c>
    </row>
    <row r="23" spans="1:11" x14ac:dyDescent="0.4">
      <c r="A23" s="6">
        <v>43466</v>
      </c>
      <c r="B23">
        <f>B22*(1+mpf_monthly_return!B22)</f>
        <v>1.1480803568908515</v>
      </c>
      <c r="C23">
        <f>C22*(1+mpf_monthly_return!C22)</f>
        <v>1.0277019575357003</v>
      </c>
      <c r="D23">
        <f>D22*(1+mpf_monthly_return!D22)</f>
        <v>1.0539149943964008</v>
      </c>
      <c r="E23">
        <f>E22*(1+mpf_monthly_return!E22)</f>
        <v>1.0616955335358247</v>
      </c>
      <c r="F23">
        <f>F22*(1+mpf_monthly_return!F22)</f>
        <v>1.0665416118610918</v>
      </c>
      <c r="G23">
        <f>G22*(1+mpf_monthly_return!G22)</f>
        <v>1.1016936093491076</v>
      </c>
      <c r="H23">
        <f>H22*(1+mpf_monthly_return!H22)</f>
        <v>1.0661161907771219</v>
      </c>
      <c r="I23">
        <f>I22*(1+mpf_monthly_return!I22)</f>
        <v>1.1262811529714056</v>
      </c>
      <c r="J23">
        <f>J22*(1+mpf_monthly_return!J22)</f>
        <v>1.0088652510538152</v>
      </c>
      <c r="K23">
        <f>K22*(1+mpf_monthly_return!K22)</f>
        <v>1.0390554585455927</v>
      </c>
    </row>
    <row r="24" spans="1:11" x14ac:dyDescent="0.4">
      <c r="A24" s="6">
        <v>43497</v>
      </c>
      <c r="B24">
        <f>B23*(1+mpf_monthly_return!B23)</f>
        <v>1.1885103674569861</v>
      </c>
      <c r="C24">
        <f>C23*(1+mpf_monthly_return!C23)</f>
        <v>1.0406781076578049</v>
      </c>
      <c r="D24">
        <f>D23*(1+mpf_monthly_return!D23)</f>
        <v>1.0497919536323947</v>
      </c>
      <c r="E24">
        <f>E23*(1+mpf_monthly_return!E23)</f>
        <v>1.0797561661659509</v>
      </c>
      <c r="F24">
        <f>F23*(1+mpf_monthly_return!F23)</f>
        <v>1.0953546121892004</v>
      </c>
      <c r="G24">
        <f>G23*(1+mpf_monthly_return!G23)</f>
        <v>1.1417631096644116</v>
      </c>
      <c r="H24">
        <f>H23*(1+mpf_monthly_return!H23)</f>
        <v>1.0893464268061883</v>
      </c>
      <c r="I24">
        <f>I23*(1+mpf_monthly_return!I23)</f>
        <v>1.1473211310486302</v>
      </c>
      <c r="J24">
        <f>J23*(1+mpf_monthly_return!J23)</f>
        <v>1.0094921814088809</v>
      </c>
      <c r="K24">
        <f>K23*(1+mpf_monthly_return!K23)</f>
        <v>1.0543556404265579</v>
      </c>
    </row>
    <row r="25" spans="1:11" x14ac:dyDescent="0.4">
      <c r="A25" s="6">
        <v>43525</v>
      </c>
      <c r="B25">
        <f>B24*(1+mpf_monthly_return!B24)</f>
        <v>1.2149324588053432</v>
      </c>
      <c r="C25">
        <f>C24*(1+mpf_monthly_return!C24)</f>
        <v>1.0620228662412956</v>
      </c>
      <c r="D25">
        <f>D24*(1+mpf_monthly_return!D24)</f>
        <v>1.0631047111605039</v>
      </c>
      <c r="E25">
        <f>E24*(1+mpf_monthly_return!E24)</f>
        <v>1.0976231481306025</v>
      </c>
      <c r="F25">
        <f>F24*(1+mpf_monthly_return!F24)</f>
        <v>1.1140512531969078</v>
      </c>
      <c r="G25">
        <f>G24*(1+mpf_monthly_return!G24)</f>
        <v>1.1512213832865676</v>
      </c>
      <c r="H25">
        <f>H24*(1+mpf_monthly_return!H24)</f>
        <v>1.1082358917291086</v>
      </c>
      <c r="I25">
        <f>I24*(1+mpf_monthly_return!I24)</f>
        <v>1.1672456779071836</v>
      </c>
      <c r="J25">
        <f>J24*(1+mpf_monthly_return!J24)</f>
        <v>1.0101191117639339</v>
      </c>
      <c r="K25">
        <f>K24*(1+mpf_monthly_return!K24)</f>
        <v>1.0707080445763872</v>
      </c>
    </row>
    <row r="26" spans="1:11" x14ac:dyDescent="0.4">
      <c r="A26" s="6">
        <v>43556</v>
      </c>
      <c r="B26">
        <f>B25*(1+mpf_monthly_return!B25)</f>
        <v>1.2173644863366011</v>
      </c>
      <c r="C26">
        <f>C25*(1+mpf_monthly_return!C25)</f>
        <v>1.0670146506433427</v>
      </c>
      <c r="D26">
        <f>D25*(1+mpf_monthly_return!D25)</f>
        <v>1.0529129808133464</v>
      </c>
      <c r="E26">
        <f>E25*(1+mpf_monthly_return!E25)</f>
        <v>1.1116095356531859</v>
      </c>
      <c r="F26">
        <f>F25*(1+mpf_monthly_return!F25)</f>
        <v>1.122580635831669</v>
      </c>
      <c r="G26">
        <f>G25*(1+mpf_monthly_return!G25)</f>
        <v>1.1679881012224185</v>
      </c>
      <c r="H26">
        <f>H25*(1+mpf_monthly_return!H25)</f>
        <v>1.1155861815931165</v>
      </c>
      <c r="I26">
        <f>I25*(1+mpf_monthly_return!I25)</f>
        <v>1.1894560372074638</v>
      </c>
      <c r="J26">
        <f>J25*(1+mpf_monthly_return!J25)</f>
        <v>1.0112831014732817</v>
      </c>
      <c r="K26">
        <f>K25*(1+mpf_monthly_return!K25)</f>
        <v>1.0759336195720028</v>
      </c>
    </row>
    <row r="27" spans="1:11" x14ac:dyDescent="0.4">
      <c r="A27" s="6">
        <v>43586</v>
      </c>
      <c r="B27">
        <f>B26*(1+mpf_monthly_return!B26)</f>
        <v>1.1077580857411591</v>
      </c>
      <c r="C27">
        <f>C26*(1+mpf_monthly_return!C26)</f>
        <v>1.0139536653140704</v>
      </c>
      <c r="D27">
        <f>D26*(1+mpf_monthly_return!D26)</f>
        <v>1.0566380816509726</v>
      </c>
      <c r="E27">
        <f>E26*(1+mpf_monthly_return!E26)</f>
        <v>1.0774280723755814</v>
      </c>
      <c r="F27">
        <f>F26*(1+mpf_monthly_return!F26)</f>
        <v>1.0526626342420065</v>
      </c>
      <c r="G27">
        <f>G26*(1+mpf_monthly_return!G26)</f>
        <v>1.0879156118771862</v>
      </c>
      <c r="H27">
        <f>H26*(1+mpf_monthly_return!H26)</f>
        <v>1.0614422761562361</v>
      </c>
      <c r="I27">
        <f>I26*(1+mpf_monthly_return!I26)</f>
        <v>1.1181754961212056</v>
      </c>
      <c r="J27">
        <f>J26*(1+mpf_monthly_return!J26)</f>
        <v>1.0118204939763038</v>
      </c>
      <c r="K27">
        <f>K26*(1+mpf_monthly_return!K26)</f>
        <v>1.0406251273858873</v>
      </c>
    </row>
    <row r="28" spans="1:11" x14ac:dyDescent="0.4">
      <c r="A28" s="6">
        <v>43617</v>
      </c>
      <c r="B28">
        <f>B27*(1+mpf_monthly_return!B27)</f>
        <v>1.1747729046167026</v>
      </c>
      <c r="C28">
        <f>C27*(1+mpf_monthly_return!C27)</f>
        <v>1.05926268102209</v>
      </c>
      <c r="D28">
        <f>D27*(1+mpf_monthly_return!D27)</f>
        <v>1.0777630214228835</v>
      </c>
      <c r="E28">
        <f>E27*(1+mpf_monthly_return!E27)</f>
        <v>1.120529013964976</v>
      </c>
      <c r="F28">
        <f>F27*(1+mpf_monthly_return!F27)</f>
        <v>1.1057137458668316</v>
      </c>
      <c r="G28">
        <f>G27*(1+mpf_monthly_return!G27)</f>
        <v>1.1555003336297192</v>
      </c>
      <c r="H28">
        <f>H27*(1+mpf_monthly_return!H27)</f>
        <v>1.1095615534762313</v>
      </c>
      <c r="I28">
        <f>I27*(1+mpf_monthly_return!I27)</f>
        <v>1.1831015965952161</v>
      </c>
      <c r="J28">
        <f>J27*(1+mpf_monthly_return!J27)</f>
        <v>1.0131634404557703</v>
      </c>
      <c r="K28">
        <f>K27*(1+mpf_monthly_return!K27)</f>
        <v>1.0791924610548294</v>
      </c>
    </row>
    <row r="29" spans="1:11" x14ac:dyDescent="0.4">
      <c r="A29" s="6">
        <v>43647</v>
      </c>
      <c r="B29">
        <f>B28*(1+mpf_monthly_return!B28)</f>
        <v>1.1435781915969092</v>
      </c>
      <c r="C29">
        <f>C28*(1+mpf_monthly_return!C28)</f>
        <v>1.0413672173406745</v>
      </c>
      <c r="D29">
        <f>D28*(1+mpf_monthly_return!D28)</f>
        <v>1.0761354864598813</v>
      </c>
      <c r="E29">
        <f>E28*(1+mpf_monthly_return!E28)</f>
        <v>1.1230819202885889</v>
      </c>
      <c r="F29">
        <f>F28*(1+mpf_monthly_return!F28)</f>
        <v>1.0928156073233835</v>
      </c>
      <c r="G29">
        <f>G28*(1+mpf_monthly_return!G28)</f>
        <v>1.156036336492976</v>
      </c>
      <c r="H29">
        <f>H28*(1+mpf_monthly_return!H28)</f>
        <v>1.0989023855833122</v>
      </c>
      <c r="I29">
        <f>I28*(1+mpf_monthly_return!I28)</f>
        <v>1.1809503992624779</v>
      </c>
      <c r="J29">
        <f>J28*(1+mpf_monthly_return!J28)</f>
        <v>1.0136112870972205</v>
      </c>
      <c r="K29">
        <f>K28*(1+mpf_monthly_return!K28)</f>
        <v>1.0721598744444671</v>
      </c>
    </row>
    <row r="30" spans="1:11" x14ac:dyDescent="0.4">
      <c r="A30" s="6">
        <v>43678</v>
      </c>
      <c r="B30">
        <f>B29*(1+mpf_monthly_return!B29)</f>
        <v>1.0712595245569732</v>
      </c>
      <c r="C30">
        <f>C29*(1+mpf_monthly_return!C29)</f>
        <v>1.0029117972408776</v>
      </c>
      <c r="D30">
        <f>D29*(1+mpf_monthly_return!D29)</f>
        <v>1.0885951906951932</v>
      </c>
      <c r="E30">
        <f>E29*(1+mpf_monthly_return!E29)</f>
        <v>1.1215080117604677</v>
      </c>
      <c r="F30">
        <f>F29*(1+mpf_monthly_return!F29)</f>
        <v>1.062009820586981</v>
      </c>
      <c r="G30">
        <f>G29*(1+mpf_monthly_return!G29)</f>
        <v>1.1349856143605523</v>
      </c>
      <c r="H30">
        <f>H29*(1+mpf_monthly_return!H29)</f>
        <v>1.0764788205861997</v>
      </c>
      <c r="I30">
        <f>I29*(1+mpf_monthly_return!I29)</f>
        <v>1.1605842547105243</v>
      </c>
      <c r="J30">
        <f>J29*(1+mpf_monthly_return!J29)</f>
        <v>1.0148647593901101</v>
      </c>
      <c r="K30">
        <f>K29*(1+mpf_monthly_return!K29)</f>
        <v>1.0616962092711768</v>
      </c>
    </row>
    <row r="31" spans="1:11" x14ac:dyDescent="0.4">
      <c r="A31" s="6">
        <v>43709</v>
      </c>
      <c r="B31">
        <f>B30*(1+mpf_monthly_return!B30)</f>
        <v>1.0876941875953625</v>
      </c>
      <c r="C31">
        <f>C30*(1+mpf_monthly_return!C30)</f>
        <v>1.0374092317593266</v>
      </c>
      <c r="D31">
        <f>D30*(1+mpf_monthly_return!D30)</f>
        <v>1.0862010943031462</v>
      </c>
      <c r="E31">
        <f>E30*(1+mpf_monthly_return!E30)</f>
        <v>1.134214792411383</v>
      </c>
      <c r="F31">
        <f>F30*(1+mpf_monthly_return!F30)</f>
        <v>1.0790647754324083</v>
      </c>
      <c r="G31">
        <f>G30*(1+mpf_monthly_return!G30)</f>
        <v>1.1576132262748089</v>
      </c>
      <c r="H31">
        <f>H30*(1+mpf_monthly_return!H30)</f>
        <v>1.0869716134630303</v>
      </c>
      <c r="I31">
        <f>I30*(1+mpf_monthly_return!I30)</f>
        <v>1.1832086642232209</v>
      </c>
      <c r="J31">
        <f>J30*(1+mpf_monthly_return!J30)</f>
        <v>1.0160287492721827</v>
      </c>
      <c r="K31">
        <f>K30*(1+mpf_monthly_return!K30)</f>
        <v>1.0671170448680556</v>
      </c>
    </row>
    <row r="32" spans="1:11" x14ac:dyDescent="0.4">
      <c r="A32" s="6">
        <v>43739</v>
      </c>
      <c r="B32">
        <f>B31*(1+mpf_monthly_return!B31)</f>
        <v>1.1313878366267462</v>
      </c>
      <c r="C32">
        <f>C31*(1+mpf_monthly_return!C31)</f>
        <v>1.0832854531105867</v>
      </c>
      <c r="D32">
        <f>D31*(1+mpf_monthly_return!D31)</f>
        <v>1.0907830197656938</v>
      </c>
      <c r="E32">
        <f>E31*(1+mpf_monthly_return!E31)</f>
        <v>1.1541881670717709</v>
      </c>
      <c r="F32">
        <f>F31*(1+mpf_monthly_return!F31)</f>
        <v>1.1162873303068834</v>
      </c>
      <c r="G32">
        <f>G31*(1+mpf_monthly_return!G31)</f>
        <v>1.1874803952668658</v>
      </c>
      <c r="H32">
        <f>H31*(1+mpf_monthly_return!H31)</f>
        <v>1.1183891650859843</v>
      </c>
      <c r="I32">
        <f>I31*(1+mpf_monthly_return!I31)</f>
        <v>1.2267802189644432</v>
      </c>
      <c r="J32">
        <f>J31*(1+mpf_monthly_return!J31)</f>
        <v>1.0171927391541093</v>
      </c>
      <c r="K32">
        <f>K31*(1+mpf_monthly_return!K31)</f>
        <v>1.0910237164579473</v>
      </c>
    </row>
    <row r="33" spans="1:11" x14ac:dyDescent="0.4">
      <c r="A33" s="6">
        <v>43770</v>
      </c>
      <c r="B33">
        <f>B32*(1+mpf_monthly_return!B32)</f>
        <v>1.0975942871857196</v>
      </c>
      <c r="C33">
        <f>C32*(1+mpf_monthly_return!C32)</f>
        <v>1.0780206064578737</v>
      </c>
      <c r="D33">
        <f>D32*(1+mpf_monthly_return!D32)</f>
        <v>1.0848360698234614</v>
      </c>
      <c r="E33">
        <f>E32*(1+mpf_monthly_return!E32)</f>
        <v>1.1630970813325558</v>
      </c>
      <c r="F33">
        <f>F32*(1+mpf_monthly_return!F32)</f>
        <v>1.1152268506353364</v>
      </c>
      <c r="G33">
        <f>G32*(1+mpf_monthly_return!G32)</f>
        <v>1.215208304185043</v>
      </c>
      <c r="H33">
        <f>H32*(1+mpf_monthly_return!H32)</f>
        <v>1.1161196933275279</v>
      </c>
      <c r="I33">
        <f>I32*(1+mpf_monthly_return!I32)</f>
        <v>1.2338227663710675</v>
      </c>
      <c r="J33">
        <f>J32*(1+mpf_monthly_return!J32)</f>
        <v>1.0178196684430794</v>
      </c>
      <c r="K33">
        <f>K32*(1+mpf_monthly_return!K32)</f>
        <v>1.0861890767831768</v>
      </c>
    </row>
    <row r="34" spans="1:11" x14ac:dyDescent="0.4">
      <c r="A34" s="6">
        <v>43800</v>
      </c>
      <c r="B34">
        <f>B33*(1+mpf_monthly_return!B33)</f>
        <v>1.1762627240291552</v>
      </c>
      <c r="C34">
        <f>C33*(1+mpf_monthly_return!C33)</f>
        <v>1.1266214153458984</v>
      </c>
      <c r="D34">
        <f>D33*(1+mpf_monthly_return!D33)</f>
        <v>1.0885602587477359</v>
      </c>
      <c r="E34">
        <f>E33*(1+mpf_monthly_return!E33)</f>
        <v>1.1803631495173481</v>
      </c>
      <c r="F34">
        <f>F33*(1+mpf_monthly_return!F33)</f>
        <v>1.1565418924636151</v>
      </c>
      <c r="G34">
        <f>G33*(1+mpf_monthly_return!G33)</f>
        <v>1.2401726141206946</v>
      </c>
      <c r="H34">
        <f>H33*(1+mpf_monthly_return!H33)</f>
        <v>1.1560229729440541</v>
      </c>
      <c r="I34">
        <f>I33*(1+mpf_monthly_return!I33)</f>
        <v>1.2758697256837706</v>
      </c>
      <c r="J34">
        <f>J33*(1+mpf_monthly_return!J33)</f>
        <v>1.0189836585140575</v>
      </c>
      <c r="K34">
        <f>K33*(1+mpf_monthly_return!K33)</f>
        <v>1.1108391692552928</v>
      </c>
    </row>
    <row r="35" spans="1:11" x14ac:dyDescent="0.4">
      <c r="A35" s="6">
        <v>43831</v>
      </c>
      <c r="B35">
        <f>B34*(1+mpf_monthly_return!B34)</f>
        <v>1.0876424445728261</v>
      </c>
      <c r="C35">
        <f>C34*(1+mpf_monthly_return!C34)</f>
        <v>1.0799857515212195</v>
      </c>
      <c r="D35">
        <f>D34*(1+mpf_monthly_return!D34)</f>
        <v>1.0904716907730956</v>
      </c>
      <c r="E35">
        <f>E34*(1+mpf_monthly_return!E34)</f>
        <v>1.1795767649782565</v>
      </c>
      <c r="F35">
        <f>F34*(1+mpf_monthly_return!F34)</f>
        <v>1.1189971260337375</v>
      </c>
      <c r="G35">
        <f>G34*(1+mpf_monthly_return!G34)</f>
        <v>1.2340723922091077</v>
      </c>
      <c r="H35">
        <f>H34*(1+mpf_monthly_return!H34)</f>
        <v>1.1190639215063778</v>
      </c>
      <c r="I35">
        <f>I34*(1+mpf_monthly_return!I34)</f>
        <v>1.2531945965677171</v>
      </c>
      <c r="J35">
        <f>J34*(1+mpf_monthly_return!J34)</f>
        <v>1.0201476485848908</v>
      </c>
      <c r="K35">
        <f>K34*(1+mpf_monthly_return!K34)</f>
        <v>1.0945774575066112</v>
      </c>
    </row>
    <row r="36" spans="1:11" x14ac:dyDescent="0.4">
      <c r="A36" s="6">
        <v>43862</v>
      </c>
      <c r="B36">
        <f>B35*(1+mpf_monthly_return!B35)</f>
        <v>1.0875092448366273</v>
      </c>
      <c r="C36">
        <f>C35*(1+mpf_monthly_return!C35)</f>
        <v>0.99658689207658346</v>
      </c>
      <c r="D36">
        <f>D35*(1+mpf_monthly_return!D35)</f>
        <v>1.0925740818543437</v>
      </c>
      <c r="E36">
        <f>E35*(1+mpf_monthly_return!E35)</f>
        <v>1.1311333513770701</v>
      </c>
      <c r="F36">
        <f>F35*(1+mpf_monthly_return!F35)</f>
        <v>1.0618020467755906</v>
      </c>
      <c r="G36">
        <f>G35*(1+mpf_monthly_return!G35)</f>
        <v>1.1284188235802461</v>
      </c>
      <c r="H36">
        <f>H35*(1+mpf_monthly_return!H35)</f>
        <v>1.0686127002641106</v>
      </c>
      <c r="I36">
        <f>I35*(1+mpf_monthly_return!I35)</f>
        <v>1.1393801309997087</v>
      </c>
      <c r="J36">
        <f>J35*(1+mpf_monthly_return!J35)</f>
        <v>1.0207745774962502</v>
      </c>
      <c r="K36">
        <f>K35*(1+mpf_monthly_return!K35)</f>
        <v>1.0656723088293185</v>
      </c>
    </row>
    <row r="37" spans="1:11" x14ac:dyDescent="0.4">
      <c r="A37" s="6">
        <v>43891</v>
      </c>
      <c r="B37">
        <f>B36*(1+mpf_monthly_return!B36)</f>
        <v>0.95600070349848432</v>
      </c>
      <c r="C37">
        <f>C36*(1+mpf_monthly_return!C36)</f>
        <v>0.77961869746834234</v>
      </c>
      <c r="D37">
        <f>D36*(1+mpf_monthly_return!D36)</f>
        <v>1.0628060566240063</v>
      </c>
      <c r="E37">
        <f>E36*(1+mpf_monthly_return!E36)</f>
        <v>1.0114218955581671</v>
      </c>
      <c r="F37">
        <f>F36*(1+mpf_monthly_return!F36)</f>
        <v>0.90408426454066215</v>
      </c>
      <c r="G37">
        <f>G36*(1+mpf_monthly_return!G36)</f>
        <v>0.91651809309196552</v>
      </c>
      <c r="H37">
        <f>H36*(1+mpf_monthly_return!H36)</f>
        <v>0.95267553287175855</v>
      </c>
      <c r="I37">
        <f>I36*(1+mpf_monthly_return!I36)</f>
        <v>0.87750652259539652</v>
      </c>
      <c r="J37">
        <f>J36*(1+mpf_monthly_return!J36)</f>
        <v>1.0219385677550423</v>
      </c>
      <c r="K37">
        <f>K36*(1+mpf_monthly_return!K36)</f>
        <v>0.96378317025882676</v>
      </c>
    </row>
    <row r="38" spans="1:11" x14ac:dyDescent="0.4">
      <c r="A38" s="6">
        <v>43922</v>
      </c>
      <c r="B38">
        <f>B37*(1+mpf_monthly_return!B37)</f>
        <v>1.0167287118526076</v>
      </c>
      <c r="C38">
        <f>C37*(1+mpf_monthly_return!C37)</f>
        <v>0.87139587104416028</v>
      </c>
      <c r="D38">
        <f>D37*(1+mpf_monthly_return!D37)</f>
        <v>1.0888745874957324</v>
      </c>
      <c r="E38">
        <f>E37*(1+mpf_monthly_return!E37)</f>
        <v>1.1021802719915723</v>
      </c>
      <c r="F38">
        <f>F37*(1+mpf_monthly_return!F37)</f>
        <v>0.9912174429992362</v>
      </c>
      <c r="G38">
        <f>G37*(1+mpf_monthly_return!G37)</f>
        <v>1.0807553615277099</v>
      </c>
      <c r="H38">
        <f>H37*(1+mpf_monthly_return!H37)</f>
        <v>1.0049224000926289</v>
      </c>
      <c r="I38">
        <f>I37*(1+mpf_monthly_return!I37)</f>
        <v>1.0256844322314693</v>
      </c>
      <c r="J38">
        <f>J37*(1+mpf_monthly_return!J37)</f>
        <v>1.0224759587758858</v>
      </c>
      <c r="K38">
        <f>K37*(1+mpf_monthly_return!K37)</f>
        <v>1.0218348651047315</v>
      </c>
    </row>
    <row r="39" spans="1:11" x14ac:dyDescent="0.4">
      <c r="A39" s="6">
        <v>43952</v>
      </c>
      <c r="B39">
        <f>B38*(1+mpf_monthly_return!B38)</f>
        <v>0.98776812658448465</v>
      </c>
      <c r="C39">
        <f>C38*(1+mpf_monthly_return!C38)</f>
        <v>0.9301421580001239</v>
      </c>
      <c r="D39">
        <f>D38*(1+mpf_monthly_return!D38)</f>
        <v>1.1037798562230963</v>
      </c>
      <c r="E39">
        <f>E38*(1+mpf_monthly_return!E38)</f>
        <v>1.1318190682347549</v>
      </c>
      <c r="F39">
        <f>F38*(1+mpf_monthly_return!F38)</f>
        <v>1.0288381088859715</v>
      </c>
      <c r="G39">
        <f>G38*(1+mpf_monthly_return!G38)</f>
        <v>1.1217533368597823</v>
      </c>
      <c r="H39">
        <f>H38*(1+mpf_monthly_return!H38)</f>
        <v>1.0339226195190219</v>
      </c>
      <c r="I39">
        <f>I38*(1+mpf_monthly_return!I38)</f>
        <v>1.0694335268688102</v>
      </c>
      <c r="J39">
        <f>J38*(1+mpf_monthly_return!J38)</f>
        <v>1.0225655435622729</v>
      </c>
      <c r="K39">
        <f>K38*(1+mpf_monthly_return!K38)</f>
        <v>1.047322324921212</v>
      </c>
    </row>
    <row r="40" spans="1:11" x14ac:dyDescent="0.4">
      <c r="A40" s="6">
        <v>43983</v>
      </c>
      <c r="B40">
        <f>B39*(1+mpf_monthly_return!B39)</f>
        <v>1.0172481775989342</v>
      </c>
      <c r="C40">
        <f>C39*(1+mpf_monthly_return!C39)</f>
        <v>0.97043606118402903</v>
      </c>
      <c r="D40">
        <f>D39*(1+mpf_monthly_return!D39)</f>
        <v>1.1161360845695822</v>
      </c>
      <c r="E40">
        <f>E39*(1+mpf_monthly_return!E39)</f>
        <v>1.1485084564017944</v>
      </c>
      <c r="F40">
        <f>F39*(1+mpf_monthly_return!F39)</f>
        <v>1.0632395092672533</v>
      </c>
      <c r="G40">
        <f>G39*(1+mpf_monthly_return!G39)</f>
        <v>1.1416120028307282</v>
      </c>
      <c r="H40">
        <f>H39*(1+mpf_monthly_return!H39)</f>
        <v>1.0616838113465581</v>
      </c>
      <c r="I40">
        <f>I39*(1+mpf_monthly_return!I39)</f>
        <v>1.0856991918954431</v>
      </c>
      <c r="J40">
        <f>J39*(1+mpf_monthly_return!J39)</f>
        <v>1.0230133890315092</v>
      </c>
      <c r="K40">
        <f>K39*(1+mpf_monthly_return!K39)</f>
        <v>1.0708900023641745</v>
      </c>
    </row>
    <row r="41" spans="1:11" x14ac:dyDescent="0.4">
      <c r="A41" s="6">
        <v>44013</v>
      </c>
      <c r="B41">
        <f>B40*(1+mpf_monthly_return!B40)</f>
        <v>1.0372114901481437</v>
      </c>
      <c r="C41">
        <f>C40*(1+mpf_monthly_return!C40)</f>
        <v>1.0591692185987795</v>
      </c>
      <c r="D41">
        <f>D40*(1+mpf_monthly_return!D40)</f>
        <v>1.1378111488857201</v>
      </c>
      <c r="E41">
        <f>E40*(1+mpf_monthly_return!E40)</f>
        <v>1.1857006844320626</v>
      </c>
      <c r="F41">
        <f>F40*(1+mpf_monthly_return!F40)</f>
        <v>1.1095556154182609</v>
      </c>
      <c r="G41">
        <f>G40*(1+mpf_monthly_return!G40)</f>
        <v>1.1975543523969097</v>
      </c>
      <c r="H41">
        <f>H40*(1+mpf_monthly_return!H40)</f>
        <v>1.1035825731784914</v>
      </c>
      <c r="I41">
        <f>I40*(1+mpf_monthly_return!I40)</f>
        <v>1.1505137337019331</v>
      </c>
      <c r="J41">
        <f>J40*(1+mpf_monthly_return!J40)</f>
        <v>1.0231029738110256</v>
      </c>
      <c r="K41">
        <f>K40*(1+mpf_monthly_return!K40)</f>
        <v>1.109189633182518</v>
      </c>
    </row>
    <row r="42" spans="1:11" x14ac:dyDescent="0.4">
      <c r="A42" s="6">
        <v>44044</v>
      </c>
      <c r="B42">
        <f>B41*(1+mpf_monthly_return!B41)</f>
        <v>1.0555581384313169</v>
      </c>
      <c r="C42">
        <f>C41*(1+mpf_monthly_return!C41)</f>
        <v>1.0871537303424608</v>
      </c>
      <c r="D42">
        <f>D41*(1+mpf_monthly_return!D41)</f>
        <v>1.1371420449858818</v>
      </c>
      <c r="E42">
        <f>E41*(1+mpf_monthly_return!E41)</f>
        <v>1.2279647350158829</v>
      </c>
      <c r="F42">
        <f>F41*(1+mpf_monthly_return!F41)</f>
        <v>1.1716807330484986</v>
      </c>
      <c r="G42">
        <f>G41*(1+mpf_monthly_return!G41)</f>
        <v>1.2867600742055838</v>
      </c>
      <c r="H42">
        <f>H41*(1+mpf_monthly_return!H41)</f>
        <v>1.1482767872098401</v>
      </c>
      <c r="I42">
        <f>I41*(1+mpf_monthly_return!I41)</f>
        <v>1.2221516467208389</v>
      </c>
      <c r="J42">
        <f>J41*(1+mpf_monthly_return!J41)</f>
        <v>1.0231925585905417</v>
      </c>
      <c r="K42">
        <f>K41*(1+mpf_monthly_return!K41)</f>
        <v>1.1425657792505592</v>
      </c>
    </row>
    <row r="43" spans="1:11" x14ac:dyDescent="0.4">
      <c r="A43" s="6">
        <v>44075</v>
      </c>
      <c r="B43">
        <f>B42*(1+mpf_monthly_return!B42)</f>
        <v>0.98839511363387378</v>
      </c>
      <c r="C43">
        <f>C42*(1+mpf_monthly_return!C42)</f>
        <v>1.0699052564667262</v>
      </c>
      <c r="D43">
        <f>D42*(1+mpf_monthly_return!D42)</f>
        <v>1.1373331452375683</v>
      </c>
      <c r="E43">
        <f>E42*(1+mpf_monthly_return!E42)</f>
        <v>1.2022667715810387</v>
      </c>
      <c r="F43">
        <f>F42*(1+mpf_monthly_return!F42)</f>
        <v>1.133242823575735</v>
      </c>
      <c r="G43">
        <f>G42*(1+mpf_monthly_return!G42)</f>
        <v>1.2206523827530606</v>
      </c>
      <c r="H43">
        <f>H42*(1+mpf_monthly_return!H42)</f>
        <v>1.11798137269344</v>
      </c>
      <c r="I43">
        <f>I42*(1+mpf_monthly_return!I42)</f>
        <v>1.1555883749282756</v>
      </c>
      <c r="J43">
        <f>J42*(1+mpf_monthly_return!J42)</f>
        <v>1.0232821433700579</v>
      </c>
      <c r="K43">
        <f>K42*(1+mpf_monthly_return!K42)</f>
        <v>1.1191274498776091</v>
      </c>
    </row>
    <row r="44" spans="1:11" x14ac:dyDescent="0.4">
      <c r="A44" s="6">
        <v>44105</v>
      </c>
      <c r="B44">
        <f>B43*(1+mpf_monthly_return!B43)</f>
        <v>1.0147884687285549</v>
      </c>
      <c r="C44">
        <f>C43*(1+mpf_monthly_return!C43)</f>
        <v>1.0878152656990518</v>
      </c>
      <c r="D44">
        <f>D43*(1+mpf_monthly_return!D43)</f>
        <v>1.141053820674611</v>
      </c>
      <c r="E44">
        <f>E43*(1+mpf_monthly_return!E43)</f>
        <v>1.1834886122342334</v>
      </c>
      <c r="F44">
        <f>F43*(1+mpf_monthly_return!F43)</f>
        <v>1.1303917880567211</v>
      </c>
      <c r="G44">
        <f>G43*(1+mpf_monthly_return!G43)</f>
        <v>1.1879021287408968</v>
      </c>
      <c r="H44">
        <f>H43*(1+mpf_monthly_return!H43)</f>
        <v>1.1133736338323148</v>
      </c>
      <c r="I44">
        <f>I43*(1+mpf_monthly_return!I43)</f>
        <v>1.1294209516565148</v>
      </c>
      <c r="J44">
        <f>J43*(1+mpf_monthly_return!J43)</f>
        <v>1.0233717281495742</v>
      </c>
      <c r="K44">
        <f>K43*(1+mpf_monthly_return!K43)</f>
        <v>1.1154989882674464</v>
      </c>
    </row>
    <row r="45" spans="1:11" x14ac:dyDescent="0.4">
      <c r="A45" s="6">
        <v>44136</v>
      </c>
      <c r="B45">
        <f>B44*(1+mpf_monthly_return!B44)</f>
        <v>1.1084814719128906</v>
      </c>
      <c r="C45">
        <f>C44*(1+mpf_monthly_return!C44)</f>
        <v>1.249090033238258</v>
      </c>
      <c r="D45">
        <f>D44*(1+mpf_monthly_return!D44)</f>
        <v>1.1600070646821394</v>
      </c>
      <c r="E45">
        <f>E44*(1+mpf_monthly_return!E44)</f>
        <v>1.2734241676498963</v>
      </c>
      <c r="F45">
        <f>F44*(1+mpf_monthly_return!F44)</f>
        <v>1.249326494155407</v>
      </c>
      <c r="G45">
        <f>G44*(1+mpf_monthly_return!G44)</f>
        <v>1.319049427714579</v>
      </c>
      <c r="H45">
        <f>H44*(1+mpf_monthly_return!H44)</f>
        <v>1.212747787356441</v>
      </c>
      <c r="I45">
        <f>I44*(1+mpf_monthly_return!I44)</f>
        <v>1.283456153619672</v>
      </c>
      <c r="J45">
        <f>J44*(1+mpf_monthly_return!J44)</f>
        <v>1.0234613129290904</v>
      </c>
      <c r="K45">
        <f>K44*(1+mpf_monthly_return!K44)</f>
        <v>1.1914436721138557</v>
      </c>
    </row>
    <row r="46" spans="1:11" x14ac:dyDescent="0.4">
      <c r="A46" s="6">
        <v>44166</v>
      </c>
      <c r="B46">
        <f>B45*(1+mpf_monthly_return!B45)</f>
        <v>1.1316633651463903</v>
      </c>
      <c r="C46">
        <f>C45*(1+mpf_monthly_return!C45)</f>
        <v>1.3596200038474127</v>
      </c>
      <c r="D46">
        <f>D45*(1+mpf_monthly_return!D45)</f>
        <v>1.1748170786072045</v>
      </c>
      <c r="E46">
        <f>E45*(1+mpf_monthly_return!E45)</f>
        <v>1.301275898497696</v>
      </c>
      <c r="F46">
        <f>F45*(1+mpf_monthly_return!F45)</f>
        <v>1.3008277029695587</v>
      </c>
      <c r="G46">
        <f>G45*(1+mpf_monthly_return!G45)</f>
        <v>1.3496545589144182</v>
      </c>
      <c r="H46">
        <f>H45*(1+mpf_monthly_return!H45)</f>
        <v>1.2572486003719034</v>
      </c>
      <c r="I46">
        <f>I45*(1+mpf_monthly_return!I45)</f>
        <v>1.3227494951880341</v>
      </c>
      <c r="J46">
        <f>J45*(1+mpf_monthly_return!J45)</f>
        <v>1.0235508977086067</v>
      </c>
      <c r="K46">
        <f>K45*(1+mpf_monthly_return!K45)</f>
        <v>1.2239292491437355</v>
      </c>
    </row>
    <row r="47" spans="1:11" x14ac:dyDescent="0.4">
      <c r="A47" s="6">
        <v>44197</v>
      </c>
      <c r="B47">
        <f>B46*(1+mpf_monthly_return!B46)</f>
        <v>1.1985369532640944</v>
      </c>
      <c r="C47">
        <f>C46*(1+mpf_monthly_return!C46)</f>
        <v>1.4166181602861854</v>
      </c>
      <c r="D47">
        <f>D46*(1+mpf_monthly_return!D46)</f>
        <v>1.1655132575508991</v>
      </c>
      <c r="E47">
        <f>E46*(1+mpf_monthly_return!E46)</f>
        <v>1.3039818575238742</v>
      </c>
      <c r="F47">
        <f>F46*(1+mpf_monthly_return!F46)</f>
        <v>1.3425225743876423</v>
      </c>
      <c r="G47">
        <f>G46*(1+mpf_monthly_return!G46)</f>
        <v>1.3632356976757594</v>
      </c>
      <c r="H47">
        <f>H46*(1+mpf_monthly_return!H46)</f>
        <v>1.2902429037648846</v>
      </c>
      <c r="I47">
        <f>I46*(1+mpf_monthly_return!I46)</f>
        <v>1.3179740295106368</v>
      </c>
      <c r="J47">
        <f>J46*(1+mpf_monthly_return!J46)</f>
        <v>1.0236404824881229</v>
      </c>
      <c r="K47">
        <f>K46*(1+mpf_monthly_return!K46)</f>
        <v>1.2410223276957228</v>
      </c>
    </row>
    <row r="48" spans="1:11" x14ac:dyDescent="0.4">
      <c r="A48" s="6">
        <v>44228</v>
      </c>
      <c r="B48">
        <f>B47*(1+mpf_monthly_return!B47)</f>
        <v>1.2146258099803449</v>
      </c>
      <c r="C48">
        <f>C47*(1+mpf_monthly_return!C47)</f>
        <v>1.4343464805768351</v>
      </c>
      <c r="D48">
        <f>D47*(1+mpf_monthly_return!D47)</f>
        <v>1.1466365766715338</v>
      </c>
      <c r="E48">
        <f>E47*(1+mpf_monthly_return!E47)</f>
        <v>1.3169770228959725</v>
      </c>
      <c r="F48">
        <f>F47*(1+mpf_monthly_return!F47)</f>
        <v>1.3653872342013904</v>
      </c>
      <c r="G48">
        <f>G47*(1+mpf_monthly_return!G47)</f>
        <v>1.3961480292751662</v>
      </c>
      <c r="H48">
        <f>H47*(1+mpf_monthly_return!H47)</f>
        <v>1.3075883551540755</v>
      </c>
      <c r="I48">
        <f>I47*(1+mpf_monthly_return!I47)</f>
        <v>1.3491688985596804</v>
      </c>
      <c r="J48">
        <f>J47*(1+mpf_monthly_return!J47)</f>
        <v>1.0237300672676388</v>
      </c>
      <c r="K48">
        <f>K47*(1+mpf_monthly_return!K47)</f>
        <v>1.2455302234176167</v>
      </c>
    </row>
    <row r="49" spans="1:11" x14ac:dyDescent="0.4">
      <c r="A49" s="6">
        <v>44256</v>
      </c>
      <c r="B49">
        <f>B48*(1+mpf_monthly_return!B48)</f>
        <v>1.1944095658076128</v>
      </c>
      <c r="C49">
        <f>C48*(1+mpf_monthly_return!C48)</f>
        <v>1.4503075839914616</v>
      </c>
      <c r="D49">
        <f>D48*(1+mpf_monthly_return!D48)</f>
        <v>1.1267884099029022</v>
      </c>
      <c r="E49">
        <f>E48*(1+mpf_monthly_return!E48)</f>
        <v>1.3322690738215397</v>
      </c>
      <c r="F49">
        <f>F48*(1+mpf_monthly_return!F48)</f>
        <v>1.3673572430988568</v>
      </c>
      <c r="G49">
        <f>G48*(1+mpf_monthly_return!G48)</f>
        <v>1.4537335095087993</v>
      </c>
      <c r="H49">
        <f>H48*(1+mpf_monthly_return!H48)</f>
        <v>1.3088521617400077</v>
      </c>
      <c r="I49">
        <f>I48*(1+mpf_monthly_return!I48)</f>
        <v>1.3888225015985021</v>
      </c>
      <c r="J49">
        <f>J48*(1+mpf_monthly_return!J48)</f>
        <v>1.023819652047155</v>
      </c>
      <c r="K49">
        <f>K48*(1+mpf_monthly_return!K48)</f>
        <v>1.2429182055375392</v>
      </c>
    </row>
    <row r="50" spans="1:11" x14ac:dyDescent="0.4">
      <c r="A50" s="6">
        <v>44287</v>
      </c>
      <c r="B50">
        <f>B49*(1+mpf_monthly_return!B49)</f>
        <v>1.1779065756658347</v>
      </c>
      <c r="C50">
        <f>C49*(1+mpf_monthly_return!C49)</f>
        <v>1.4794714901497783</v>
      </c>
      <c r="D50">
        <f>D49*(1+mpf_monthly_return!D49)</f>
        <v>1.1381913246560424</v>
      </c>
      <c r="E50">
        <f>E49*(1+mpf_monthly_return!E49)</f>
        <v>1.3549991914886259</v>
      </c>
      <c r="F50">
        <f>F49*(1+mpf_monthly_return!F49)</f>
        <v>1.3813001993579734</v>
      </c>
      <c r="G50">
        <f>G49*(1+mpf_monthly_return!G49)</f>
        <v>1.5079832535113231</v>
      </c>
      <c r="H50">
        <f>H49*(1+mpf_monthly_return!H49)</f>
        <v>1.3225086233998342</v>
      </c>
      <c r="I50">
        <f>I49*(1+mpf_monthly_return!I49)</f>
        <v>1.4426008067435891</v>
      </c>
      <c r="J50">
        <f>J49*(1+mpf_monthly_return!J49)</f>
        <v>1.0239092368266711</v>
      </c>
      <c r="K50">
        <f>K49*(1+mpf_monthly_return!K49)</f>
        <v>1.2527642423691765</v>
      </c>
    </row>
    <row r="51" spans="1:11" x14ac:dyDescent="0.4">
      <c r="A51" s="6">
        <v>44317</v>
      </c>
      <c r="B51">
        <f>B50*(1+mpf_monthly_return!B50)</f>
        <v>1.2135332810594994</v>
      </c>
      <c r="C51">
        <f>C50*(1+mpf_monthly_return!C50)</f>
        <v>1.5005171991462638</v>
      </c>
      <c r="D51">
        <f>D50*(1+mpf_monthly_return!D50)</f>
        <v>1.1426710852653739</v>
      </c>
      <c r="E51">
        <f>E50*(1+mpf_monthly_return!E50)</f>
        <v>1.3690467419986034</v>
      </c>
      <c r="F51">
        <f>F50*(1+mpf_monthly_return!F50)</f>
        <v>1.4159180941221141</v>
      </c>
      <c r="G51">
        <f>G50*(1+mpf_monthly_return!G50)</f>
        <v>1.5127788499562236</v>
      </c>
      <c r="H51">
        <f>H50*(1+mpf_monthly_return!H50)</f>
        <v>1.3460791214721601</v>
      </c>
      <c r="I51">
        <f>I50*(1+mpf_monthly_return!I50)</f>
        <v>1.4698442231418407</v>
      </c>
      <c r="J51">
        <f>J50*(1+mpf_monthly_return!J50)</f>
        <v>1.023998821606187</v>
      </c>
      <c r="K51">
        <f>K50*(1+mpf_monthly_return!K50)</f>
        <v>1.2707978230433887</v>
      </c>
    </row>
    <row r="52" spans="1:11" x14ac:dyDescent="0.4">
      <c r="A52" s="6">
        <v>44348</v>
      </c>
      <c r="B52">
        <f>B51*(1+mpf_monthly_return!B51)</f>
        <v>1.1898088229862718</v>
      </c>
      <c r="C52">
        <f>C51*(1+mpf_monthly_return!C51)</f>
        <v>1.4833966163676806</v>
      </c>
      <c r="D52">
        <f>D51*(1+mpf_monthly_return!D51)</f>
        <v>1.1298983124999951</v>
      </c>
      <c r="E52">
        <f>E51*(1+mpf_monthly_return!E51)</f>
        <v>1.3796438775651723</v>
      </c>
      <c r="F52">
        <f>F51*(1+mpf_monthly_return!F51)</f>
        <v>1.4043465218468159</v>
      </c>
      <c r="G52">
        <f>G51*(1+mpf_monthly_return!G51)</f>
        <v>1.5438176290187962</v>
      </c>
      <c r="H52">
        <f>H51*(1+mpf_monthly_return!H51)</f>
        <v>1.3366553813735527</v>
      </c>
      <c r="I52">
        <f>I51*(1+mpf_monthly_return!I51)</f>
        <v>1.5005613936176341</v>
      </c>
      <c r="J52">
        <f>J51*(1+mpf_monthly_return!J51)</f>
        <v>1.0240884063857032</v>
      </c>
      <c r="K52">
        <f>K51*(1+mpf_monthly_return!K51)</f>
        <v>1.2635020302588349</v>
      </c>
    </row>
    <row r="53" spans="1:11" x14ac:dyDescent="0.4">
      <c r="A53" s="6">
        <v>44378</v>
      </c>
      <c r="B53">
        <f>B52*(1+mpf_monthly_return!B52)</f>
        <v>1.0712093232505353</v>
      </c>
      <c r="C53">
        <f>C52*(1+mpf_monthly_return!C52)</f>
        <v>1.4497828547042555</v>
      </c>
      <c r="D53">
        <f>D52*(1+mpf_monthly_return!D52)</f>
        <v>1.1326642828225253</v>
      </c>
      <c r="E53">
        <f>E52*(1+mpf_monthly_return!E52)</f>
        <v>1.3934043455688598</v>
      </c>
      <c r="F53">
        <f>F52*(1+mpf_monthly_return!F52)</f>
        <v>1.3646342877813795</v>
      </c>
      <c r="G53">
        <f>G52*(1+mpf_monthly_return!G52)</f>
        <v>1.5748563866290026</v>
      </c>
      <c r="H53">
        <f>H52*(1+mpf_monthly_return!H52)</f>
        <v>1.3078749720914129</v>
      </c>
      <c r="I53">
        <f>I52*(1+mpf_monthly_return!I52)</f>
        <v>1.536604179075896</v>
      </c>
      <c r="J53">
        <f>J52*(1+mpf_monthly_return!J52)</f>
        <v>1.0241779911652191</v>
      </c>
      <c r="K53">
        <f>K52*(1+mpf_monthly_return!K52)</f>
        <v>1.2488173155385665</v>
      </c>
    </row>
    <row r="54" spans="1:11" x14ac:dyDescent="0.4">
      <c r="A54" s="6">
        <v>44409</v>
      </c>
      <c r="B54">
        <f>B53*(1+mpf_monthly_return!B53)</f>
        <v>1.0737375197465944</v>
      </c>
      <c r="C54">
        <f>C53*(1+mpf_monthly_return!C53)</f>
        <v>1.4845468583887176</v>
      </c>
      <c r="D54">
        <f>D53*(1+mpf_monthly_return!D53)</f>
        <v>1.1354302531416909</v>
      </c>
      <c r="E54">
        <f>E53*(1+mpf_monthly_return!E53)</f>
        <v>1.4144231380034382</v>
      </c>
      <c r="F54">
        <f>F53*(1+mpf_monthly_return!F53)</f>
        <v>1.3935732370493499</v>
      </c>
      <c r="G54">
        <f>G53*(1+mpf_monthly_return!G53)</f>
        <v>1.6260443496943089</v>
      </c>
      <c r="H54">
        <f>H53*(1+mpf_monthly_return!H53)</f>
        <v>1.3283561866480187</v>
      </c>
      <c r="I54">
        <f>I53*(1+mpf_monthly_return!I53)</f>
        <v>1.5822711581177531</v>
      </c>
      <c r="J54">
        <f>J53*(1+mpf_monthly_return!J53)</f>
        <v>1.0242675759447353</v>
      </c>
      <c r="K54">
        <f>K53*(1+mpf_monthly_return!K53)</f>
        <v>1.2622895844102147</v>
      </c>
    </row>
    <row r="55" spans="1:11" x14ac:dyDescent="0.4">
      <c r="A55" s="6">
        <v>44440</v>
      </c>
      <c r="B55">
        <f>B54*(1+mpf_monthly_return!B54)</f>
        <v>1.0155969762871226</v>
      </c>
      <c r="C55">
        <f>C54*(1+mpf_monthly_return!C54)</f>
        <v>1.4306266967408954</v>
      </c>
      <c r="D55">
        <f>D54*(1+mpf_monthly_return!D54)</f>
        <v>1.1131539100646322</v>
      </c>
      <c r="E55">
        <f>E54*(1+mpf_monthly_return!E54)</f>
        <v>1.3699287090238663</v>
      </c>
      <c r="F55">
        <f>F54*(1+mpf_monthly_return!F54)</f>
        <v>1.3361941424611083</v>
      </c>
      <c r="G55">
        <f>G54*(1+mpf_monthly_return!G54)</f>
        <v>1.543707378989829</v>
      </c>
      <c r="H55">
        <f>H54*(1+mpf_monthly_return!H54)</f>
        <v>1.2858622835877509</v>
      </c>
      <c r="I55">
        <f>I54*(1+mpf_monthly_return!I54)</f>
        <v>1.5048605527491754</v>
      </c>
      <c r="J55">
        <f>J54*(1+mpf_monthly_return!J54)</f>
        <v>1.0243571607242516</v>
      </c>
      <c r="K55">
        <f>K54*(1+mpf_monthly_return!K54)</f>
        <v>1.2247144250536715</v>
      </c>
    </row>
    <row r="56" spans="1:11" x14ac:dyDescent="0.4">
      <c r="A56" s="6">
        <v>44470</v>
      </c>
      <c r="B56">
        <f>B55*(1+mpf_monthly_return!B55)</f>
        <v>1.0395487307657068</v>
      </c>
      <c r="C56">
        <f>C55*(1+mpf_monthly_return!C55)</f>
        <v>1.451805927592333</v>
      </c>
      <c r="D56">
        <f>D55*(1+mpf_monthly_return!D55)</f>
        <v>1.1080821491109492</v>
      </c>
      <c r="E56">
        <f>E55*(1+mpf_monthly_return!E55)</f>
        <v>1.4118054418228421</v>
      </c>
      <c r="F56">
        <f>F55*(1+mpf_monthly_return!F55)</f>
        <v>1.3729836760534213</v>
      </c>
      <c r="G56">
        <f>G55*(1+mpf_monthly_return!G55)</f>
        <v>1.6417655439271721</v>
      </c>
      <c r="H56">
        <f>H55*(1+mpf_monthly_return!H55)</f>
        <v>1.3049655100889239</v>
      </c>
      <c r="I56">
        <f>I55*(1+mpf_monthly_return!I55)</f>
        <v>1.607397184061053</v>
      </c>
      <c r="J56">
        <f>J55*(1+mpf_monthly_return!J55)</f>
        <v>1.0244467455037678</v>
      </c>
      <c r="K56">
        <f>K55*(1+mpf_monthly_return!K55)</f>
        <v>1.2394671965233319</v>
      </c>
    </row>
    <row r="57" spans="1:11" x14ac:dyDescent="0.4">
      <c r="A57" s="6">
        <v>44501</v>
      </c>
      <c r="B57">
        <f>B56*(1+mpf_monthly_return!B56)</f>
        <v>0.97871877889245362</v>
      </c>
      <c r="C57">
        <f>C56*(1+mpf_monthly_return!C56)</f>
        <v>1.4131313067073379</v>
      </c>
      <c r="D57">
        <f>D56*(1+mpf_monthly_return!D56)</f>
        <v>1.0997445403064348</v>
      </c>
      <c r="E57">
        <f>E56*(1+mpf_monthly_return!E56)</f>
        <v>1.3927437851318372</v>
      </c>
      <c r="F57">
        <f>F56*(1+mpf_monthly_return!F56)</f>
        <v>1.3295877071916966</v>
      </c>
      <c r="G57">
        <f>G56*(1+mpf_monthly_return!G56)</f>
        <v>1.614450461331558</v>
      </c>
      <c r="H57">
        <f>H56*(1+mpf_monthly_return!H56)</f>
        <v>1.2803187339585651</v>
      </c>
      <c r="I57">
        <f>I56*(1+mpf_monthly_return!I56)</f>
        <v>1.5742581872043668</v>
      </c>
      <c r="J57">
        <f>J56*(1+mpf_monthly_return!J56)</f>
        <v>1.0245363302832839</v>
      </c>
      <c r="K57">
        <f>K56*(1+mpf_monthly_return!K56)</f>
        <v>1.2189420647300595</v>
      </c>
    </row>
    <row r="58" spans="1:11" x14ac:dyDescent="0.4">
      <c r="A58" s="6">
        <v>44531</v>
      </c>
      <c r="B58">
        <f>B57*(1+mpf_monthly_return!B57)</f>
        <v>0.96596062532448812</v>
      </c>
      <c r="C58">
        <f>C57*(1+mpf_monthly_return!C57)</f>
        <v>1.4400208518841495</v>
      </c>
      <c r="D58">
        <f>D57*(1+mpf_monthly_return!D57)</f>
        <v>1.106786888357471</v>
      </c>
      <c r="E58">
        <f>E57*(1+mpf_monthly_return!E57)</f>
        <v>1.4240706192041506</v>
      </c>
      <c r="F58">
        <f>F57*(1+mpf_monthly_return!F57)</f>
        <v>1.3443780566804309</v>
      </c>
      <c r="G58">
        <f>G57*(1+mpf_monthly_return!G57)</f>
        <v>1.7031134439015889</v>
      </c>
      <c r="H58">
        <f>H57*(1+mpf_monthly_return!H57)</f>
        <v>1.289604477760153</v>
      </c>
      <c r="I58">
        <f>I57*(1+mpf_monthly_return!I57)</f>
        <v>1.6604429458741201</v>
      </c>
      <c r="J58">
        <f>J57*(1+mpf_monthly_return!J57)</f>
        <v>1.0246259150628001</v>
      </c>
      <c r="K58">
        <f>K57*(1+mpf_monthly_return!K57)</f>
        <v>1.2249929064645755</v>
      </c>
    </row>
    <row r="59" spans="1:11" x14ac:dyDescent="0.4">
      <c r="A59" s="6">
        <v>44562</v>
      </c>
      <c r="B59">
        <f>B58*(1+mpf_monthly_return!B58)</f>
        <v>0.9837721702234612</v>
      </c>
      <c r="C59">
        <f>C58*(1+mpf_monthly_return!C58)</f>
        <v>1.3805317628024605</v>
      </c>
      <c r="D59">
        <f>D58*(1+mpf_monthly_return!D58)</f>
        <v>1.0852895896211034</v>
      </c>
      <c r="E59">
        <f>E58*(1+mpf_monthly_return!E58)</f>
        <v>1.3730492759801289</v>
      </c>
      <c r="F59">
        <f>F58*(1+mpf_monthly_return!F58)</f>
        <v>1.3057069644578594</v>
      </c>
      <c r="G59">
        <f>G58*(1+mpf_monthly_return!G58)</f>
        <v>1.6279642407027322</v>
      </c>
      <c r="H59">
        <f>H58*(1+mpf_monthly_return!H58)</f>
        <v>1.2586938649220409</v>
      </c>
      <c r="I59">
        <f>I58*(1+mpf_monthly_return!I58)</f>
        <v>1.5695398934153704</v>
      </c>
      <c r="J59">
        <f>J58*(1+mpf_monthly_return!J58)</f>
        <v>1.024715499842316</v>
      </c>
      <c r="K59">
        <f>K58*(1+mpf_monthly_return!K58)</f>
        <v>1.1950015239141825</v>
      </c>
    </row>
    <row r="60" spans="1:11" x14ac:dyDescent="0.4">
      <c r="A60" s="6">
        <v>44593</v>
      </c>
      <c r="B60">
        <f>B59*(1+mpf_monthly_return!B59)</f>
        <v>0.93737264600076753</v>
      </c>
      <c r="C60">
        <f>C59*(1+mpf_monthly_return!C59)</f>
        <v>1.377047393796204</v>
      </c>
      <c r="D60">
        <f>D59*(1+mpf_monthly_return!D59)</f>
        <v>1.0907167629790844</v>
      </c>
      <c r="E60">
        <f>E59*(1+mpf_monthly_return!E59)</f>
        <v>1.3432957030007784</v>
      </c>
      <c r="F60">
        <f>F59*(1+mpf_monthly_return!F59)</f>
        <v>1.2562993530535982</v>
      </c>
      <c r="G60">
        <f>G59*(1+mpf_monthly_return!G59)</f>
        <v>1.5672105127868063</v>
      </c>
      <c r="H60">
        <f>H59*(1+mpf_monthly_return!H59)</f>
        <v>1.2281527667781276</v>
      </c>
      <c r="I60">
        <f>I59*(1+mpf_monthly_return!I59)</f>
        <v>1.5003387027011117</v>
      </c>
      <c r="J60">
        <f>J59*(1+mpf_monthly_return!J59)</f>
        <v>1.024805084621832</v>
      </c>
      <c r="K60">
        <f>K59*(1+mpf_monthly_return!K59)</f>
        <v>1.1669612938146487</v>
      </c>
    </row>
    <row r="61" spans="1:11" x14ac:dyDescent="0.4">
      <c r="A61" s="6">
        <v>44621</v>
      </c>
      <c r="B61">
        <f>B60*(1+mpf_monthly_return!B60)</f>
        <v>0.90798510551479161</v>
      </c>
      <c r="C61">
        <f>C60*(1+mpf_monthly_return!C60)</f>
        <v>1.3992746134687273</v>
      </c>
      <c r="D61">
        <f>D60*(1+mpf_monthly_return!D60)</f>
        <v>1.0693181337864188</v>
      </c>
      <c r="E61">
        <f>E60*(1+mpf_monthly_return!E60)</f>
        <v>1.3559711157149834</v>
      </c>
      <c r="F61">
        <f>F60*(1+mpf_monthly_return!F60)</f>
        <v>1.2523660661761993</v>
      </c>
      <c r="G61">
        <f>G60*(1+mpf_monthly_return!G60)</f>
        <v>1.6474924683311276</v>
      </c>
      <c r="H61">
        <f>H60*(1+mpf_monthly_return!H60)</f>
        <v>1.1985968620980234</v>
      </c>
      <c r="I61">
        <f>I60*(1+mpf_monthly_return!I60)</f>
        <v>1.5825060090947043</v>
      </c>
      <c r="J61">
        <f>J60*(1+mpf_monthly_return!J60)</f>
        <v>1.0248946694013481</v>
      </c>
      <c r="K61">
        <f>K60*(1+mpf_monthly_return!K60)</f>
        <v>1.1457266838513853</v>
      </c>
    </row>
    <row r="62" spans="1:11" x14ac:dyDescent="0.4">
      <c r="A62" s="6">
        <v>44652</v>
      </c>
      <c r="B62">
        <f>B61*(1+mpf_monthly_return!B61)</f>
        <v>0.86806942000136245</v>
      </c>
      <c r="C62">
        <f>C61*(1+mpf_monthly_return!C61)</f>
        <v>1.3048425836525901</v>
      </c>
      <c r="D62">
        <f>D61*(1+mpf_monthly_return!D61)</f>
        <v>1.0303482551794949</v>
      </c>
      <c r="E62">
        <f>E61*(1+mpf_monthly_return!E61)</f>
        <v>1.27466401549213</v>
      </c>
      <c r="F62">
        <f>F61*(1+mpf_monthly_return!F61)</f>
        <v>1.1796046214259475</v>
      </c>
      <c r="G62">
        <f>G61*(1+mpf_monthly_return!G61)</f>
        <v>1.5042334405044535</v>
      </c>
      <c r="H62">
        <f>H61*(1+mpf_monthly_return!H61)</f>
        <v>1.1420798385901882</v>
      </c>
      <c r="I62">
        <f>I61*(1+mpf_monthly_return!I61)</f>
        <v>1.4332938838748486</v>
      </c>
      <c r="J62">
        <f>J61*(1+mpf_monthly_return!J61)</f>
        <v>1.024984254180864</v>
      </c>
      <c r="K62">
        <f>K61*(1+mpf_monthly_return!K61)</f>
        <v>1.0904124288888166</v>
      </c>
    </row>
    <row r="63" spans="1:11" x14ac:dyDescent="0.4">
      <c r="A63" s="6">
        <v>44682</v>
      </c>
      <c r="B63">
        <f>B62*(1+mpf_monthly_return!B62)</f>
        <v>0.87940851981676915</v>
      </c>
      <c r="C63">
        <f>C62*(1+mpf_monthly_return!C62)</f>
        <v>1.3036143768423607</v>
      </c>
      <c r="D63">
        <f>D62*(1+mpf_monthly_return!D62)</f>
        <v>1.0331102015946525</v>
      </c>
      <c r="E63">
        <f>E62*(1+mpf_monthly_return!E62)</f>
        <v>1.2646097307041075</v>
      </c>
      <c r="F63">
        <f>F62*(1+mpf_monthly_return!F62)</f>
        <v>1.1851311055429727</v>
      </c>
      <c r="G63">
        <f>G62*(1+mpf_monthly_return!G62)</f>
        <v>1.4972407133988777</v>
      </c>
      <c r="H63">
        <f>H62*(1+mpf_monthly_return!H62)</f>
        <v>1.1402783557434706</v>
      </c>
      <c r="I63">
        <f>I62*(1+mpf_monthly_return!I62)</f>
        <v>1.4241992163610186</v>
      </c>
      <c r="J63">
        <f>J62*(1+mpf_monthly_return!J62)</f>
        <v>1.0250738389603802</v>
      </c>
      <c r="K63">
        <f>K62*(1+mpf_monthly_return!K62)</f>
        <v>1.0888603113874753</v>
      </c>
    </row>
    <row r="64" spans="1:11" x14ac:dyDescent="0.4">
      <c r="A64" s="6">
        <v>44713</v>
      </c>
      <c r="B64">
        <f>B63*(1+mpf_monthly_return!B63)</f>
        <v>0.90938945869909593</v>
      </c>
      <c r="C64">
        <f>C63*(1+mpf_monthly_return!C63)</f>
        <v>1.1446143598406493</v>
      </c>
      <c r="D64">
        <f>D63*(1+mpf_monthly_return!D63)</f>
        <v>1.0057625647436719</v>
      </c>
      <c r="E64">
        <f>E63*(1+mpf_monthly_return!E63)</f>
        <v>1.1995055117672726</v>
      </c>
      <c r="F64">
        <f>F63*(1+mpf_monthly_return!F63)</f>
        <v>1.1299642931140641</v>
      </c>
      <c r="G64">
        <f>G63*(1+mpf_monthly_return!G63)</f>
        <v>1.3670300594618405</v>
      </c>
      <c r="H64">
        <f>H63*(1+mpf_monthly_return!H63)</f>
        <v>1.1066666926326452</v>
      </c>
      <c r="I64">
        <f>I63*(1+mpf_monthly_return!I63)</f>
        <v>1.3104108462598925</v>
      </c>
      <c r="J64">
        <f>J63*(1+mpf_monthly_return!J63)</f>
        <v>1.0251634237398963</v>
      </c>
      <c r="K64">
        <f>K63*(1+mpf_monthly_return!K63)</f>
        <v>1.054450183784255</v>
      </c>
    </row>
    <row r="65" spans="1:11" x14ac:dyDescent="0.4">
      <c r="A65" s="6">
        <v>44743</v>
      </c>
      <c r="B65">
        <f>B64*(1+mpf_monthly_return!B64)</f>
        <v>0.84088540594629724</v>
      </c>
      <c r="C65">
        <f>C64*(1+mpf_monthly_return!C64)</f>
        <v>1.2056094940522815</v>
      </c>
      <c r="D65">
        <f>D64*(1+mpf_monthly_return!D64)</f>
        <v>1.0295971394930317</v>
      </c>
      <c r="E65">
        <f>E64*(1+mpf_monthly_return!E64)</f>
        <v>1.2600701109053059</v>
      </c>
      <c r="F65">
        <f>F64*(1+mpf_monthly_return!F64)</f>
        <v>1.1382760096962694</v>
      </c>
      <c r="G65">
        <f>G64*(1+mpf_monthly_return!G64)</f>
        <v>1.475888286668682</v>
      </c>
      <c r="H65">
        <f>H64*(1+mpf_monthly_return!H64)</f>
        <v>1.1232745941997739</v>
      </c>
      <c r="I65">
        <f>I64*(1+mpf_monthly_return!I64)</f>
        <v>1.4211820823384729</v>
      </c>
      <c r="J65">
        <f>J64*(1+mpf_monthly_return!J64)</f>
        <v>1.0252530085194123</v>
      </c>
      <c r="K65">
        <f>K64*(1+mpf_monthly_return!K64)</f>
        <v>1.067273728463473</v>
      </c>
    </row>
    <row r="66" spans="1:11" x14ac:dyDescent="0.4">
      <c r="A66" s="6">
        <v>44774</v>
      </c>
      <c r="B66">
        <f>B65*(1+mpf_monthly_return!B65)</f>
        <v>0.82026790120026927</v>
      </c>
      <c r="C66">
        <f>C65*(1+mpf_monthly_return!C65)</f>
        <v>1.1670069242739887</v>
      </c>
      <c r="D66">
        <f>D65*(1+mpf_monthly_return!D65)</f>
        <v>0.9951949005675359</v>
      </c>
      <c r="E66">
        <f>E65*(1+mpf_monthly_return!E65)</f>
        <v>1.2035993081838363</v>
      </c>
      <c r="F66">
        <f>F65*(1+mpf_monthly_return!F65)</f>
        <v>1.0923748909962834</v>
      </c>
      <c r="G66">
        <f>G65*(1+mpf_monthly_return!G65)</f>
        <v>1.4244725333703001</v>
      </c>
      <c r="H66">
        <f>H65*(1+mpf_monthly_return!H65)</f>
        <v>1.0748712217079774</v>
      </c>
      <c r="I66">
        <f>I65*(1+mpf_monthly_return!I65)</f>
        <v>1.36873398726517</v>
      </c>
      <c r="J66">
        <f>J65*(1+mpf_monthly_return!J65)</f>
        <v>1.0253425932989282</v>
      </c>
      <c r="K66">
        <f>K65*(1+mpf_monthly_return!K65)</f>
        <v>1.0205631480078947</v>
      </c>
    </row>
    <row r="67" spans="1:11" x14ac:dyDescent="0.4">
      <c r="A67" s="6">
        <v>44805</v>
      </c>
      <c r="B67">
        <f>B66*(1+mpf_monthly_return!B66)</f>
        <v>0.72068633464259335</v>
      </c>
      <c r="C67">
        <f>C66*(1+mpf_monthly_return!C66)</f>
        <v>1.0543660343028725</v>
      </c>
      <c r="D67">
        <f>D66*(1+mpf_monthly_return!D66)</f>
        <v>0.94928842220940013</v>
      </c>
      <c r="E67">
        <f>E66*(1+mpf_monthly_return!E66)</f>
        <v>1.1235711023088559</v>
      </c>
      <c r="F67">
        <f>F66*(1+mpf_monthly_return!F66)</f>
        <v>0.99330939575192068</v>
      </c>
      <c r="G67">
        <f>G66*(1+mpf_monthly_return!G66)</f>
        <v>1.2863553828526662</v>
      </c>
      <c r="H67">
        <f>H66*(1+mpf_monthly_return!H66)</f>
        <v>1.0135425323219336</v>
      </c>
      <c r="I67">
        <f>I66*(1+mpf_monthly_return!I66)</f>
        <v>1.2290954515701014</v>
      </c>
      <c r="J67">
        <f>J66*(1+mpf_monthly_return!J66)</f>
        <v>1.0257904389462746</v>
      </c>
      <c r="K67">
        <f>K66*(1+mpf_monthly_return!K66)</f>
        <v>0.95437109244249707</v>
      </c>
    </row>
    <row r="68" spans="1:11" x14ac:dyDescent="0.4">
      <c r="A68" s="6">
        <v>44835</v>
      </c>
      <c r="B68">
        <f>B67*(1+mpf_monthly_return!B67)</f>
        <v>0.64447829727507577</v>
      </c>
      <c r="C68">
        <f>C67*(1+mpf_monthly_return!C67)</f>
        <v>1.0881404780518804</v>
      </c>
      <c r="D68">
        <f>D67*(1+mpf_monthly_return!D67)</f>
        <v>0.94795541919087234</v>
      </c>
      <c r="E68">
        <f>E67*(1+mpf_monthly_return!E67)</f>
        <v>1.1614066215492953</v>
      </c>
      <c r="F68">
        <f>F67*(1+mpf_monthly_return!F67)</f>
        <v>0.99504384329662565</v>
      </c>
      <c r="G68">
        <f>G67*(1+mpf_monthly_return!G67)</f>
        <v>1.3851595174316884</v>
      </c>
      <c r="H68">
        <f>H67*(1+mpf_monthly_return!H67)</f>
        <v>1.0091068905276641</v>
      </c>
      <c r="I68">
        <f>I67*(1+mpf_monthly_return!I67)</f>
        <v>1.3183910093581042</v>
      </c>
      <c r="J68">
        <f>J67*(1+mpf_monthly_return!J67)</f>
        <v>1.0269544311897332</v>
      </c>
      <c r="K68">
        <f>K67*(1+mpf_monthly_return!K67)</f>
        <v>0.95037518523920961</v>
      </c>
    </row>
    <row r="69" spans="1:11" x14ac:dyDescent="0.4">
      <c r="A69" s="6">
        <v>44866</v>
      </c>
      <c r="B69">
        <f>B68*(1+mpf_monthly_return!B68)</f>
        <v>0.76649307049845661</v>
      </c>
      <c r="C69">
        <f>C68*(1+mpf_monthly_return!C68)</f>
        <v>1.2088602283131717</v>
      </c>
      <c r="D69">
        <f>D68*(1+mpf_monthly_return!D68)</f>
        <v>1.0034807356019215</v>
      </c>
      <c r="E69">
        <f>E68*(1+mpf_monthly_return!E68)</f>
        <v>1.2237977688451558</v>
      </c>
      <c r="F69">
        <f>F68*(1+mpf_monthly_return!F68)</f>
        <v>1.1064444353240983</v>
      </c>
      <c r="G69">
        <f>G68*(1+mpf_monthly_return!G68)</f>
        <v>1.4504478990839678</v>
      </c>
      <c r="H69">
        <f>H68*(1+mpf_monthly_return!H68)</f>
        <v>1.0802261862422584</v>
      </c>
      <c r="I69">
        <f>I68*(1+mpf_monthly_return!I68)</f>
        <v>1.3854948574389683</v>
      </c>
      <c r="J69">
        <f>J68*(1+mpf_monthly_return!J68)</f>
        <v>1.0287446424531363</v>
      </c>
      <c r="K69">
        <f>K68*(1+mpf_monthly_return!K68)</f>
        <v>1.0266796428927145</v>
      </c>
    </row>
    <row r="70" spans="1:11" x14ac:dyDescent="0.4">
      <c r="A70" s="6">
        <v>44896</v>
      </c>
      <c r="B70">
        <f>B69*(1+mpf_monthly_return!B69)</f>
        <v>0.80555965779930039</v>
      </c>
      <c r="C70">
        <f>C69*(1+mpf_monthly_return!C69)</f>
        <v>1.1484864411027806</v>
      </c>
      <c r="D70">
        <f>D69*(1+mpf_monthly_return!D69)</f>
        <v>1.0063264149896294</v>
      </c>
      <c r="E70">
        <f>E69*(1+mpf_monthly_return!E69)</f>
        <v>1.1795387841938643</v>
      </c>
      <c r="F70">
        <f>F69*(1+mpf_monthly_return!F69)</f>
        <v>1.101762092328203</v>
      </c>
      <c r="G70">
        <f>G69*(1+mpf_monthly_return!G69)</f>
        <v>1.3661040920343082</v>
      </c>
      <c r="H70">
        <f>H69*(1+mpf_monthly_return!H69)</f>
        <v>1.0702756388322379</v>
      </c>
      <c r="I70">
        <f>I69*(1+mpf_monthly_return!I69)</f>
        <v>1.3038257030490903</v>
      </c>
      <c r="J70">
        <f>J69*(1+mpf_monthly_return!J69)</f>
        <v>1.0313394335336119</v>
      </c>
      <c r="K70">
        <f>K69*(1+mpf_monthly_return!K69)</f>
        <v>1.0172948460415634</v>
      </c>
    </row>
    <row r="71" spans="1:11" x14ac:dyDescent="0.4">
      <c r="A71" s="6">
        <v>44927</v>
      </c>
      <c r="B71">
        <f>B70*(1+mpf_monthly_return!B70)</f>
        <v>0.8908383845737079</v>
      </c>
      <c r="C71">
        <f>C70*(1+mpf_monthly_return!C70)</f>
        <v>1.2505956287891871</v>
      </c>
      <c r="D71">
        <f>D70*(1+mpf_monthly_return!D70)</f>
        <v>1.0488267177077777</v>
      </c>
      <c r="E71">
        <f>E70*(1+mpf_monthly_return!E70)</f>
        <v>1.248872512931736</v>
      </c>
      <c r="F71">
        <f>F70*(1+mpf_monthly_return!F70)</f>
        <v>1.1972630560927664</v>
      </c>
      <c r="G71">
        <f>G70*(1+mpf_monthly_return!G70)</f>
        <v>1.4710286270001083</v>
      </c>
      <c r="H71">
        <f>H70*(1+mpf_monthly_return!H70)</f>
        <v>1.1276022045599836</v>
      </c>
      <c r="I71">
        <f>I70*(1+mpf_monthly_return!I70)</f>
        <v>1.4013916868790608</v>
      </c>
      <c r="J71">
        <f>J70*(1+mpf_monthly_return!J70)</f>
        <v>1.0341129353082812</v>
      </c>
      <c r="K71">
        <f>K70*(1+mpf_monthly_return!K70)</f>
        <v>1.0795961944225496</v>
      </c>
    </row>
    <row r="72" spans="1:11" x14ac:dyDescent="0.4">
      <c r="A72" s="6">
        <v>44958</v>
      </c>
      <c r="B72">
        <f>B71*(1+mpf_monthly_return!B71)</f>
        <v>0.83176235210136706</v>
      </c>
      <c r="C72">
        <f>C71*(1+mpf_monthly_return!C71)</f>
        <v>1.2011372515263186</v>
      </c>
      <c r="D72">
        <f>D71*(1+mpf_monthly_return!D71)</f>
        <v>1.0069048542738972</v>
      </c>
      <c r="E72">
        <f>E71*(1+mpf_monthly_return!E71)</f>
        <v>1.2072993444520665</v>
      </c>
      <c r="F72">
        <f>F71*(1+mpf_monthly_return!F71)</f>
        <v>1.1485089744667851</v>
      </c>
      <c r="G72">
        <f>G71*(1+mpf_monthly_return!G71)</f>
        <v>1.4210814990958767</v>
      </c>
      <c r="H72">
        <f>H71*(1+mpf_monthly_return!H71)</f>
        <v>1.085845626912427</v>
      </c>
      <c r="I72">
        <f>I71*(1+mpf_monthly_return!I71)</f>
        <v>1.3446111782907928</v>
      </c>
      <c r="J72">
        <f>J71*(1+mpf_monthly_return!J71)</f>
        <v>1.0361714064983527</v>
      </c>
      <c r="K72">
        <f>K71*(1+mpf_monthly_return!K71)</f>
        <v>1.0375710558621334</v>
      </c>
    </row>
    <row r="73" spans="1:11" x14ac:dyDescent="0.4">
      <c r="A73" s="6">
        <v>44986</v>
      </c>
      <c r="B73">
        <f>B72*(1+mpf_monthly_return!B72)</f>
        <v>0.82431479583353096</v>
      </c>
      <c r="C73">
        <f>C72*(1+mpf_monthly_return!C72)</f>
        <v>1.223263982331559</v>
      </c>
      <c r="D73">
        <f>D72*(1+mpf_monthly_return!D72)</f>
        <v>1.0329283859978431</v>
      </c>
      <c r="E73">
        <f>E72*(1+mpf_monthly_return!E72)</f>
        <v>1.2431502763454245</v>
      </c>
      <c r="F73">
        <f>F72*(1+mpf_monthly_return!F72)</f>
        <v>1.1640355087937087</v>
      </c>
      <c r="G73">
        <f>G72*(1+mpf_monthly_return!G72)</f>
        <v>1.4648402789080297</v>
      </c>
      <c r="H73">
        <f>H72*(1+mpf_monthly_return!H72)</f>
        <v>1.1034453811175138</v>
      </c>
      <c r="I73">
        <f>I72*(1+mpf_monthly_return!I72)</f>
        <v>1.3959554342880902</v>
      </c>
      <c r="J73">
        <f>J72*(1+mpf_monthly_return!J72)</f>
        <v>1.0381404639228151</v>
      </c>
      <c r="K73">
        <f>K72*(1+mpf_monthly_return!K72)</f>
        <v>1.0550666295771369</v>
      </c>
    </row>
    <row r="74" spans="1:11" x14ac:dyDescent="0.4">
      <c r="A74" s="6">
        <v>45017</v>
      </c>
      <c r="B74">
        <f>B73*(1+mpf_monthly_return!B73)</f>
        <v>0.80461958455171734</v>
      </c>
      <c r="C74">
        <f>C73*(1+mpf_monthly_return!C73)</f>
        <v>1.2216975446675129</v>
      </c>
      <c r="D74">
        <f>D73*(1+mpf_monthly_return!D73)</f>
        <v>1.0316003485843059</v>
      </c>
      <c r="E74">
        <f>E73*(1+mpf_monthly_return!E73)</f>
        <v>1.2542410191913809</v>
      </c>
      <c r="F74">
        <f>F73*(1+mpf_monthly_return!F73)</f>
        <v>1.1569319425599427</v>
      </c>
      <c r="G74">
        <f>G73*(1+mpf_monthly_return!G73)</f>
        <v>1.4764783955311471</v>
      </c>
      <c r="H74">
        <f>H73*(1+mpf_monthly_return!H73)</f>
        <v>1.0985528392397899</v>
      </c>
      <c r="I74">
        <f>I73*(1+mpf_monthly_return!I73)</f>
        <v>1.4166298937127146</v>
      </c>
      <c r="J74">
        <f>J73*(1+mpf_monthly_return!J73)</f>
        <v>1.0401989352787657</v>
      </c>
      <c r="K74">
        <f>K73*(1+mpf_monthly_return!K73)</f>
        <v>1.0500497076414996</v>
      </c>
    </row>
    <row r="75" spans="1:11" x14ac:dyDescent="0.4">
      <c r="A75" s="6">
        <v>45047</v>
      </c>
      <c r="B75">
        <f>B74*(1+mpf_monthly_return!B74)</f>
        <v>0.73841213994133026</v>
      </c>
      <c r="C75">
        <f>C74*(1+mpf_monthly_return!C74)</f>
        <v>1.2345649707990187</v>
      </c>
      <c r="D75">
        <f>D74*(1+mpf_monthly_return!D74)</f>
        <v>1.0173777358922154</v>
      </c>
      <c r="E75">
        <f>E74*(1+mpf_monthly_return!E74)</f>
        <v>1.2489933407700802</v>
      </c>
      <c r="F75">
        <f>F74*(1+mpf_monthly_return!F74)</f>
        <v>1.1229133369891413</v>
      </c>
      <c r="G75">
        <f>G74*(1+mpf_monthly_return!G74)</f>
        <v>1.489178026354659</v>
      </c>
      <c r="H75">
        <f>H74*(1+mpf_monthly_return!H74)</f>
        <v>1.0738083917104135</v>
      </c>
      <c r="I75">
        <f>I74*(1+mpf_monthly_return!I74)</f>
        <v>1.432428339138403</v>
      </c>
      <c r="J75">
        <f>J74*(1+mpf_monthly_return!J74)</f>
        <v>1.0427043618825067</v>
      </c>
      <c r="K75">
        <f>K74*(1+mpf_monthly_return!K74)</f>
        <v>1.0256352591789919</v>
      </c>
    </row>
    <row r="76" spans="1:11" x14ac:dyDescent="0.4">
      <c r="A76" s="6">
        <v>45078</v>
      </c>
      <c r="B76">
        <f>B75*(1+mpf_monthly_return!B75)</f>
        <v>0.76991816673207281</v>
      </c>
      <c r="C76">
        <f>C75*(1+mpf_monthly_return!C75)</f>
        <v>1.2722524610848829</v>
      </c>
      <c r="D76">
        <f>D75*(1+mpf_monthly_return!D75)</f>
        <v>1.0109115316743456</v>
      </c>
      <c r="E76">
        <f>E75*(1+mpf_monthly_return!E75)</f>
        <v>1.2794672803374685</v>
      </c>
      <c r="F76">
        <f>F75*(1+mpf_monthly_return!F75)</f>
        <v>1.1610446682807232</v>
      </c>
      <c r="G76">
        <f>G75*(1+mpf_monthly_return!G75)</f>
        <v>1.567908907871205</v>
      </c>
      <c r="H76">
        <f>H75*(1+mpf_monthly_return!H75)</f>
        <v>1.0906382004067352</v>
      </c>
      <c r="I76">
        <f>I75*(1+mpf_monthly_return!I75)</f>
        <v>1.5065462540895547</v>
      </c>
      <c r="J76">
        <f>J75*(1+mpf_monthly_return!J75)</f>
        <v>1.0447628321723799</v>
      </c>
      <c r="K76">
        <f>K75*(1+mpf_monthly_return!K75)</f>
        <v>1.0429268997107404</v>
      </c>
    </row>
    <row r="77" spans="1:11" x14ac:dyDescent="0.4">
      <c r="A77" s="6">
        <v>45108</v>
      </c>
      <c r="B77">
        <f>B76*(1+mpf_monthly_return!B76)</f>
        <v>0.8188731578074685</v>
      </c>
      <c r="C77">
        <f>C76*(1+mpf_monthly_return!C76)</f>
        <v>1.3065777182137623</v>
      </c>
      <c r="D77">
        <f>D76*(1+mpf_monthly_return!D76)</f>
        <v>1.0173366382787017</v>
      </c>
      <c r="E77">
        <f>E76*(1+mpf_monthly_return!E76)</f>
        <v>1.294700903230819</v>
      </c>
      <c r="F77">
        <f>F76*(1+mpf_monthly_return!F76)</f>
        <v>1.19820324631292</v>
      </c>
      <c r="G77">
        <f>G76*(1+mpf_monthly_return!G76)</f>
        <v>1.6095253904613909</v>
      </c>
      <c r="H77">
        <f>H76*(1+mpf_monthly_return!H76)</f>
        <v>1.1098094349965866</v>
      </c>
      <c r="I77">
        <f>I76*(1+mpf_monthly_return!I76)</f>
        <v>1.5436141039765425</v>
      </c>
      <c r="J77">
        <f>J76*(1+mpf_monthly_return!J76)</f>
        <v>1.0479829941358811</v>
      </c>
      <c r="K77">
        <f>K76*(1+mpf_monthly_return!K76)</f>
        <v>1.0607056094649199</v>
      </c>
    </row>
    <row r="78" spans="1:11" x14ac:dyDescent="0.4">
      <c r="A78" s="6">
        <v>45139</v>
      </c>
      <c r="B78">
        <f>B77*(1+mpf_monthly_return!B77)</f>
        <v>0.75215633159571471</v>
      </c>
      <c r="C78">
        <f>C77*(1+mpf_monthly_return!C77)</f>
        <v>1.2460504764551814</v>
      </c>
      <c r="D78">
        <f>D77*(1+mpf_monthly_return!D77)</f>
        <v>1.0098208614087674</v>
      </c>
      <c r="E78">
        <f>E77*(1+mpf_monthly_return!E77)</f>
        <v>1.2822683126880823</v>
      </c>
      <c r="F78">
        <f>F77*(1+mpf_monthly_return!F77)</f>
        <v>1.153096915716151</v>
      </c>
      <c r="G78">
        <f>G77*(1+mpf_monthly_return!G77)</f>
        <v>1.5926537599161523</v>
      </c>
      <c r="H78">
        <f>H77*(1+mpf_monthly_return!H77)</f>
        <v>1.0863580731873677</v>
      </c>
      <c r="I78">
        <f>I77*(1+mpf_monthly_return!I77)</f>
        <v>1.5274659758828324</v>
      </c>
      <c r="J78">
        <f>J77*(1+mpf_monthly_return!J77)</f>
        <v>1.0506671490928612</v>
      </c>
      <c r="K78">
        <f>K77*(1+mpf_monthly_return!K77)</f>
        <v>1.0366625206510161</v>
      </c>
    </row>
    <row r="79" spans="1:11" x14ac:dyDescent="0.4">
      <c r="A79" s="6">
        <v>45170</v>
      </c>
      <c r="B79">
        <f>B78*(1+mpf_monthly_return!B78)</f>
        <v>0.7316991954458999</v>
      </c>
      <c r="C79">
        <f>C78*(1+mpf_monthly_return!C78)</f>
        <v>1.2151640256108365</v>
      </c>
      <c r="D79">
        <f>D78*(1+mpf_monthly_return!D78)</f>
        <v>0.9908771954524036</v>
      </c>
      <c r="E79">
        <f>E78*(1+mpf_monthly_return!E78)</f>
        <v>1.2388072726874297</v>
      </c>
      <c r="F79">
        <f>F78*(1+mpf_monthly_return!F78)</f>
        <v>1.1147531654721936</v>
      </c>
      <c r="G79">
        <f>G78*(1+mpf_monthly_return!G78)</f>
        <v>1.5164273956101628</v>
      </c>
      <c r="H79">
        <f>H78*(1+mpf_monthly_return!H78)</f>
        <v>1.0560161263999603</v>
      </c>
      <c r="I79">
        <f>I78*(1+mpf_monthly_return!I78)</f>
        <v>1.4480172305722694</v>
      </c>
      <c r="J79">
        <f>J78*(1+mpf_monthly_return!J78)</f>
        <v>1.0539766214172495</v>
      </c>
      <c r="K79">
        <f>K78*(1+mpf_monthly_return!K78)</f>
        <v>1.0047348437388002</v>
      </c>
    </row>
    <row r="80" spans="1:11" x14ac:dyDescent="0.4">
      <c r="A80" s="6">
        <v>45200</v>
      </c>
      <c r="B80">
        <f>B79*(1+mpf_monthly_return!B79)</f>
        <v>0.70276908943602467</v>
      </c>
      <c r="C80">
        <f>C79*(1+mpf_monthly_return!C79)</f>
        <v>1.1773436258571177</v>
      </c>
      <c r="D80">
        <f>D79*(1+mpf_monthly_return!D79)</f>
        <v>0.98250246319479351</v>
      </c>
      <c r="E80">
        <f>E79*(1+mpf_monthly_return!E79)</f>
        <v>1.222048908461197</v>
      </c>
      <c r="F80">
        <f>F79*(1+mpf_monthly_return!F79)</f>
        <v>1.0830498780594779</v>
      </c>
      <c r="G80">
        <f>G79*(1+mpf_monthly_return!G79)</f>
        <v>1.4941213210681878</v>
      </c>
      <c r="H80">
        <f>H79*(1+mpf_monthly_return!H79)</f>
        <v>1.0369958620976523</v>
      </c>
      <c r="I80">
        <f>I79*(1+mpf_monthly_return!I79)</f>
        <v>1.4300894853724466</v>
      </c>
      <c r="J80">
        <f>J79*(1+mpf_monthly_return!J79)</f>
        <v>1.0571967850331576</v>
      </c>
      <c r="K80">
        <f>K79*(1+mpf_monthly_return!K79)</f>
        <v>0.9844889978043202</v>
      </c>
    </row>
    <row r="81" spans="1:11" x14ac:dyDescent="0.4">
      <c r="A81" s="6">
        <v>45231</v>
      </c>
      <c r="B81">
        <f>B80*(1+mpf_monthly_return!B80)</f>
        <v>0.69360815359893635</v>
      </c>
      <c r="C81">
        <f>C80*(1+mpf_monthly_return!C80)</f>
        <v>1.234592730610454</v>
      </c>
      <c r="D81">
        <f>D80*(1+mpf_monthly_return!D80)</f>
        <v>1.0159466387567011</v>
      </c>
      <c r="E81">
        <f>E80*(1+mpf_monthly_return!E80)</f>
        <v>1.2941586641888785</v>
      </c>
      <c r="F81">
        <f>F80*(1+mpf_monthly_return!F80)</f>
        <v>1.1358343757337355</v>
      </c>
      <c r="G81">
        <f>G80*(1+mpf_monthly_return!G80)</f>
        <v>1.604552260776164</v>
      </c>
      <c r="H81">
        <f>H80*(1+mpf_monthly_return!H80)</f>
        <v>1.0827043402610177</v>
      </c>
      <c r="I81">
        <f>I80*(1+mpf_monthly_return!I80)</f>
        <v>1.5443273409758829</v>
      </c>
      <c r="J81">
        <f>J80*(1+mpf_monthly_return!J80)</f>
        <v>1.0605062577680198</v>
      </c>
      <c r="K81">
        <f>K80*(1+mpf_monthly_return!K80)</f>
        <v>1.0288469912037821</v>
      </c>
    </row>
    <row r="82" spans="1:11" x14ac:dyDescent="0.4">
      <c r="A82" s="6">
        <v>45261</v>
      </c>
      <c r="B82">
        <f>B81*(1+mpf_monthly_return!B81)</f>
        <v>0.70216720410986144</v>
      </c>
      <c r="C82">
        <f>C81*(1+mpf_monthly_return!C81)</f>
        <v>1.2923113442235925</v>
      </c>
      <c r="D82">
        <f>D81*(1+mpf_monthly_return!D81)</f>
        <v>1.0427709452823457</v>
      </c>
      <c r="E82">
        <f>E81*(1+mpf_monthly_return!E81)</f>
        <v>1.3381244320672245</v>
      </c>
      <c r="F82">
        <f>F81*(1+mpf_monthly_return!F81)</f>
        <v>1.1677982164593022</v>
      </c>
      <c r="G82">
        <f>G81*(1+mpf_monthly_return!G81)</f>
        <v>1.662384931325112</v>
      </c>
      <c r="H82">
        <f>H81*(1+mpf_monthly_return!H81)</f>
        <v>1.1140247812125366</v>
      </c>
      <c r="I82">
        <f>I81*(1+mpf_monthly_return!I81)</f>
        <v>1.6024270772938791</v>
      </c>
      <c r="J82">
        <f>J81*(1+mpf_monthly_return!J81)</f>
        <v>1.0631904056391939</v>
      </c>
      <c r="K82">
        <f>K81*(1+mpf_monthly_return!K81)</f>
        <v>1.0590463347347183</v>
      </c>
    </row>
    <row r="83" spans="1:11" x14ac:dyDescent="0.4">
      <c r="A83" s="6">
        <v>45292</v>
      </c>
      <c r="B83">
        <f>B82*(1+mpf_monthly_return!B82)</f>
        <v>0.64027625823569612</v>
      </c>
      <c r="C83">
        <f>C82*(1+mpf_monthly_return!C82)</f>
        <v>1.256190361044778</v>
      </c>
      <c r="D83">
        <f>D82*(1+mpf_monthly_return!D82)</f>
        <v>1.0375506729691459</v>
      </c>
      <c r="E83">
        <f>E82*(1+mpf_monthly_return!E82)</f>
        <v>1.3485224560982148</v>
      </c>
      <c r="F83">
        <f>F82*(1+mpf_monthly_return!F82)</f>
        <v>1.1426307218667546</v>
      </c>
      <c r="G83">
        <f>G82*(1+mpf_monthly_return!G82)</f>
        <v>1.7137420348887002</v>
      </c>
      <c r="H83">
        <f>H82*(1+mpf_monthly_return!H82)</f>
        <v>1.0983592969754805</v>
      </c>
      <c r="I83">
        <f>I82*(1+mpf_monthly_return!I82)</f>
        <v>1.6478947086233926</v>
      </c>
      <c r="J83">
        <f>J82*(1+mpf_monthly_return!J82)</f>
        <v>1.0670355830877447</v>
      </c>
      <c r="K83">
        <f>K82*(1+mpf_monthly_return!K82)</f>
        <v>1.0424135822774039</v>
      </c>
    </row>
    <row r="84" spans="1:11" x14ac:dyDescent="0.4">
      <c r="A84" s="6">
        <v>45323</v>
      </c>
      <c r="B84">
        <f>B83*(1+mpf_monthly_return!B83)</f>
        <v>0.67829442139245777</v>
      </c>
      <c r="C84">
        <f>C83*(1+mpf_monthly_return!C83)</f>
        <v>1.3063522803295564</v>
      </c>
      <c r="D84">
        <f>D83*(1+mpf_monthly_return!D83)</f>
        <v>1.0324255494543813</v>
      </c>
      <c r="E84">
        <f>E83*(1+mpf_monthly_return!E83)</f>
        <v>1.3775301137617038</v>
      </c>
      <c r="F84">
        <f>F83*(1+mpf_monthly_return!F83)</f>
        <v>1.1896020349730381</v>
      </c>
      <c r="G84">
        <f>G83*(1+mpf_monthly_return!G83)</f>
        <v>1.7917148270875731</v>
      </c>
      <c r="H84">
        <f>H83*(1+mpf_monthly_return!H83)</f>
        <v>1.1181861340128088</v>
      </c>
      <c r="I84">
        <f>I83*(1+mpf_monthly_return!I83)</f>
        <v>1.7246811636815005</v>
      </c>
      <c r="J84">
        <f>J83*(1+mpf_monthly_return!J83)</f>
        <v>1.0703450552553269</v>
      </c>
      <c r="K84">
        <f>K83*(1+mpf_monthly_return!K83)</f>
        <v>1.060340226729781</v>
      </c>
    </row>
    <row r="85" spans="1:11" x14ac:dyDescent="0.4">
      <c r="A85" s="6">
        <v>45352</v>
      </c>
      <c r="B85">
        <f>B84*(1+mpf_monthly_return!B84)</f>
        <v>0.67920459877292505</v>
      </c>
      <c r="C85">
        <f>C84*(1+mpf_monthly_return!C84)</f>
        <v>1.3298856782588491</v>
      </c>
      <c r="D85">
        <f>D84*(1+mpf_monthly_return!D84)</f>
        <v>1.036394241242089</v>
      </c>
      <c r="E85">
        <f>E84*(1+mpf_monthly_return!E84)</f>
        <v>1.3979648484486378</v>
      </c>
      <c r="F85">
        <f>F84*(1+mpf_monthly_return!F84)</f>
        <v>1.2062331532867612</v>
      </c>
      <c r="G85">
        <f>G84*(1+mpf_monthly_return!G84)</f>
        <v>1.8339581203438111</v>
      </c>
      <c r="H85">
        <f>H84*(1+mpf_monthly_return!H84)</f>
        <v>1.1289374385833484</v>
      </c>
      <c r="I85">
        <f>I84*(1+mpf_monthly_return!I84)</f>
        <v>1.7603634271166282</v>
      </c>
      <c r="J85">
        <f>J84*(1+mpf_monthly_return!J84)</f>
        <v>1.0730291953945419</v>
      </c>
      <c r="K85">
        <f>K84*(1+mpf_monthly_return!K84)</f>
        <v>1.0705651908572476</v>
      </c>
    </row>
    <row r="86" spans="1:11" x14ac:dyDescent="0.4">
      <c r="A86" s="6">
        <v>45383</v>
      </c>
      <c r="B86">
        <f>B85*(1+mpf_monthly_return!B85)</f>
        <v>0.72742362370732216</v>
      </c>
      <c r="C86">
        <f>C85*(1+mpf_monthly_return!C85)</f>
        <v>1.326729869969453</v>
      </c>
      <c r="D86">
        <f>D85*(1+mpf_monthly_return!D85)</f>
        <v>1.0198848728769943</v>
      </c>
      <c r="E86">
        <f>E85*(1+mpf_monthly_return!E85)</f>
        <v>1.3596910306197481</v>
      </c>
      <c r="F86">
        <f>F85*(1+mpf_monthly_return!F85)</f>
        <v>1.2044405515436041</v>
      </c>
      <c r="G86">
        <f>G85*(1+mpf_monthly_return!G85)</f>
        <v>1.7543527499831255</v>
      </c>
      <c r="H86">
        <f>H85*(1+mpf_monthly_return!H85)</f>
        <v>1.1170035278934121</v>
      </c>
      <c r="I86">
        <f>I85*(1+mpf_monthly_return!I85)</f>
        <v>1.6865423913010706</v>
      </c>
      <c r="J86">
        <f>J85*(1+mpf_monthly_return!J85)</f>
        <v>1.076160040168227</v>
      </c>
      <c r="K86">
        <f>K85*(1+mpf_monthly_return!K85)</f>
        <v>1.0588942186911008</v>
      </c>
    </row>
    <row r="87" spans="1:11" x14ac:dyDescent="0.4">
      <c r="A87" s="6">
        <v>45413</v>
      </c>
      <c r="B87">
        <f>B86*(1+mpf_monthly_return!B86)</f>
        <v>0.74507677227573421</v>
      </c>
      <c r="C87">
        <f>C86*(1+mpf_monthly_return!C86)</f>
        <v>1.3463963227144018</v>
      </c>
      <c r="D87">
        <f>D86*(1+mpf_monthly_return!D86)</f>
        <v>1.032397800288877</v>
      </c>
      <c r="E87">
        <f>E86*(1+mpf_monthly_return!E86)</f>
        <v>1.3949780579054818</v>
      </c>
      <c r="F87">
        <f>F86*(1+mpf_monthly_return!F86)</f>
        <v>1.2356912316244826</v>
      </c>
      <c r="G87">
        <f>G86*(1+mpf_monthly_return!G86)</f>
        <v>1.8330399531252828</v>
      </c>
      <c r="H87">
        <f>H86*(1+mpf_monthly_return!H86)</f>
        <v>1.1388088720838299</v>
      </c>
      <c r="I87">
        <f>I86*(1+mpf_monthly_return!I86)</f>
        <v>1.7662402646625661</v>
      </c>
      <c r="J87">
        <f>J86*(1+mpf_monthly_return!J86)</f>
        <v>1.0787548151658941</v>
      </c>
      <c r="K87">
        <f>K86*(1+mpf_monthly_return!K86)</f>
        <v>1.0790018026683403</v>
      </c>
    </row>
    <row r="88" spans="1:11" x14ac:dyDescent="0.4">
      <c r="A88" s="6">
        <v>45444</v>
      </c>
      <c r="B88">
        <f>B87*(1+mpf_monthly_return!B87)</f>
        <v>0.73710144939292688</v>
      </c>
      <c r="C88">
        <f>C87*(1+mpf_monthly_return!C87)</f>
        <v>1.3960601607082523</v>
      </c>
      <c r="D88">
        <f>D87*(1+mpf_monthly_return!D87)</f>
        <v>1.0402243909462208</v>
      </c>
      <c r="E88">
        <f>E87*(1+mpf_monthly_return!E87)</f>
        <v>1.4136219841199991</v>
      </c>
      <c r="F88">
        <f>F87*(1+mpf_monthly_return!F87)</f>
        <v>1.2417977309005552</v>
      </c>
      <c r="G88">
        <f>G87*(1+mpf_monthly_return!G87)</f>
        <v>1.8915676923238514</v>
      </c>
      <c r="H88">
        <f>H87*(1+mpf_monthly_return!H87)</f>
        <v>1.1444913856531524</v>
      </c>
      <c r="I88">
        <f>I87*(1+mpf_monthly_return!I87)</f>
        <v>1.8228623700049937</v>
      </c>
      <c r="J88">
        <f>J87*(1+mpf_monthly_return!J87)</f>
        <v>1.0814389539360312</v>
      </c>
      <c r="K88">
        <f>K87*(1+mpf_monthly_return!K87)</f>
        <v>1.08274834046951</v>
      </c>
    </row>
    <row r="89" spans="1:11" x14ac:dyDescent="0.4">
      <c r="A89" s="6">
        <v>45474</v>
      </c>
      <c r="B89">
        <f>B88*(1+mpf_monthly_return!B88)</f>
        <v>0.72575181542591416</v>
      </c>
      <c r="C89">
        <f>C88*(1+mpf_monthly_return!C88)</f>
        <v>1.3899520931194631</v>
      </c>
      <c r="D89">
        <f>D88*(1+mpf_monthly_return!D88)</f>
        <v>1.060749327430379</v>
      </c>
      <c r="E89">
        <f>E88*(1+mpf_monthly_return!E88)</f>
        <v>1.4278625341556941</v>
      </c>
      <c r="F89">
        <f>F88*(1+mpf_monthly_return!F88)</f>
        <v>1.2402976730605275</v>
      </c>
      <c r="G89">
        <f>G88*(1+mpf_monthly_return!G88)</f>
        <v>1.887282278288408</v>
      </c>
      <c r="H89">
        <f>H88*(1+mpf_monthly_return!H88)</f>
        <v>1.1568854419556096</v>
      </c>
      <c r="I89">
        <f>I88*(1+mpf_monthly_return!I88)</f>
        <v>1.8183243721617153</v>
      </c>
      <c r="J89">
        <f>J88*(1+mpf_monthly_return!J88)</f>
        <v>1.0845698021782706</v>
      </c>
      <c r="K89">
        <f>K88*(1+mpf_monthly_return!K88)</f>
        <v>1.0939004104404384</v>
      </c>
    </row>
    <row r="90" spans="1:11" x14ac:dyDescent="0.4">
      <c r="A90" s="6">
        <v>45505</v>
      </c>
      <c r="B90">
        <f>B89*(1+mpf_monthly_return!B89)</f>
        <v>0.75912015258438303</v>
      </c>
      <c r="C90">
        <f>C89*(1+mpf_monthly_return!C89)</f>
        <v>1.4178929903994544</v>
      </c>
      <c r="D90">
        <f>D89*(1+mpf_monthly_return!D89)</f>
        <v>1.0719513812172852</v>
      </c>
      <c r="E90">
        <f>E89*(1+mpf_monthly_return!E89)</f>
        <v>1.4625074558662048</v>
      </c>
      <c r="F90">
        <f>F89*(1+mpf_monthly_return!F89)</f>
        <v>1.2740644443117559</v>
      </c>
      <c r="G90">
        <f>G89*(1+mpf_monthly_return!G89)</f>
        <v>1.9476036718470153</v>
      </c>
      <c r="H90">
        <f>H89*(1+mpf_monthly_return!H89)</f>
        <v>1.178634259156556</v>
      </c>
      <c r="I90">
        <f>I89*(1+mpf_monthly_return!I89)</f>
        <v>1.8804031067512865</v>
      </c>
      <c r="J90">
        <f>J89*(1+mpf_monthly_return!J89)</f>
        <v>1.0871645750418166</v>
      </c>
      <c r="K90">
        <f>K89*(1+mpf_monthly_return!K89)</f>
        <v>1.1155111955842454</v>
      </c>
    </row>
    <row r="91" spans="1:11" x14ac:dyDescent="0.4">
      <c r="A91" s="6">
        <v>45536</v>
      </c>
      <c r="B91">
        <f>B90*(1+mpf_monthly_return!B90)</f>
        <v>0.87614768053269498</v>
      </c>
      <c r="C91">
        <f>C90*(1+mpf_monthly_return!C90)</f>
        <v>1.4724085967956628</v>
      </c>
      <c r="D91">
        <f>D90*(1+mpf_monthly_return!D90)</f>
        <v>1.0824040140727591</v>
      </c>
      <c r="E91">
        <f>E90*(1+mpf_monthly_return!E90)</f>
        <v>1.4821778870946059</v>
      </c>
      <c r="F91">
        <f>F90*(1+mpf_monthly_return!F90)</f>
        <v>1.3465988314258768</v>
      </c>
      <c r="G91">
        <f>G90*(1+mpf_monthly_return!G90)</f>
        <v>1.974629518261698</v>
      </c>
      <c r="H91">
        <f>H90*(1+mpf_monthly_return!H90)</f>
        <v>1.2199634045033958</v>
      </c>
      <c r="I91">
        <f>I90*(1+mpf_monthly_return!I90)</f>
        <v>1.9114015213048701</v>
      </c>
      <c r="J91">
        <f>J90*(1+mpf_monthly_return!J90)</f>
        <v>1.0896699759943507</v>
      </c>
      <c r="K91">
        <f>K90*(1+mpf_monthly_return!K90)</f>
        <v>1.1581794763186557</v>
      </c>
    </row>
    <row r="92" spans="1:11" x14ac:dyDescent="0.4">
      <c r="A92" s="6">
        <v>45566</v>
      </c>
      <c r="B92">
        <f>B91*(1+mpf_monthly_return!B91)</f>
        <v>0.85218866908445889</v>
      </c>
      <c r="C92">
        <f>C91*(1+mpf_monthly_return!C91)</f>
        <v>1.4116717859681469</v>
      </c>
      <c r="D92">
        <f>D91*(1+mpf_monthly_return!D91)</f>
        <v>1.0650439723596565</v>
      </c>
      <c r="E92">
        <f>E91*(1+mpf_monthly_return!E91)</f>
        <v>1.454926808340365</v>
      </c>
      <c r="F92">
        <f>F91*(1+mpf_monthly_return!F91)</f>
        <v>1.3006015945949669</v>
      </c>
      <c r="G92">
        <f>G91*(1+mpf_monthly_return!G91)</f>
        <v>1.9725997313155921</v>
      </c>
      <c r="H92">
        <f>H91*(1+mpf_monthly_return!H91)</f>
        <v>1.1833713880025503</v>
      </c>
      <c r="I92">
        <f>I91*(1+mpf_monthly_return!I91)</f>
        <v>1.9015630881840442</v>
      </c>
      <c r="J92">
        <f>J91*(1+mpf_monthly_return!J91)</f>
        <v>1.0923541139210391</v>
      </c>
      <c r="K92">
        <f>K91*(1+mpf_monthly_return!K91)</f>
        <v>1.1212368973353344</v>
      </c>
    </row>
    <row r="93" spans="1:11" x14ac:dyDescent="0.4">
      <c r="A93" s="6">
        <v>45597</v>
      </c>
      <c r="B93">
        <f>B92*(1+mpf_monthly_return!B92)</f>
        <v>0.80963476486308028</v>
      </c>
      <c r="C93">
        <f>C92*(1+mpf_monthly_return!C92)</f>
        <v>1.3946246350959266</v>
      </c>
      <c r="D93">
        <f>D92*(1+mpf_monthly_return!D92)</f>
        <v>1.073900546166668</v>
      </c>
      <c r="E93">
        <f>E92*(1+mpf_monthly_return!E92)</f>
        <v>1.4915942140513263</v>
      </c>
      <c r="F93">
        <f>F92*(1+mpf_monthly_return!F92)</f>
        <v>1.2933537960071415</v>
      </c>
      <c r="G93">
        <f>G92*(1+mpf_monthly_return!G92)</f>
        <v>2.0691224959599244</v>
      </c>
      <c r="H93">
        <f>H92*(1+mpf_monthly_return!H92)</f>
        <v>1.185207128507705</v>
      </c>
      <c r="I93">
        <f>I92*(1+mpf_monthly_return!I92)</f>
        <v>2.0012129244868073</v>
      </c>
      <c r="J93">
        <f>J92*(1+mpf_monthly_return!J92)</f>
        <v>1.0946807476311227</v>
      </c>
      <c r="K93">
        <f>K92*(1+mpf_monthly_return!K92)</f>
        <v>1.1223704307009812</v>
      </c>
    </row>
    <row r="94" spans="1:11" x14ac:dyDescent="0.4">
      <c r="A94" s="6">
        <v>45627</v>
      </c>
      <c r="B94">
        <f>B93*(1+mpf_monthly_return!B93)</f>
        <v>0.8361362983486863</v>
      </c>
      <c r="C94">
        <f>C93*(1+mpf_monthly_return!C93)</f>
        <v>1.3802200682116703</v>
      </c>
      <c r="D94">
        <f>D93*(1+mpf_monthly_return!D93)</f>
        <v>1.0618175509787215</v>
      </c>
      <c r="E94">
        <f>E93*(1+mpf_monthly_return!E93)</f>
        <v>1.462524466415652</v>
      </c>
      <c r="F94">
        <f>F93*(1+mpf_monthly_return!F93)</f>
        <v>1.2817125944516277</v>
      </c>
      <c r="G94">
        <f>G93*(1+mpf_monthly_return!G93)</f>
        <v>2.0062394445009426</v>
      </c>
      <c r="H94">
        <f>H93*(1+mpf_monthly_return!H93)</f>
        <v>1.1692171799410229</v>
      </c>
      <c r="I94">
        <f>I93*(1+mpf_monthly_return!I93)</f>
        <v>1.946857727134254</v>
      </c>
      <c r="J94">
        <f>J93*(1+mpf_monthly_return!J93)</f>
        <v>1.097454244531908</v>
      </c>
      <c r="K94">
        <f>K93*(1+mpf_monthly_return!K93)</f>
        <v>1.1066796311736384</v>
      </c>
    </row>
    <row r="95" spans="1:11" x14ac:dyDescent="0.4">
      <c r="A95" s="6">
        <v>45658</v>
      </c>
      <c r="B95">
        <f>B94*(1+mpf_monthly_return!B94)</f>
        <v>0.84332929653896316</v>
      </c>
      <c r="C95">
        <f>C94*(1+mpf_monthly_return!C94)</f>
        <v>1.4054627800765469</v>
      </c>
      <c r="D95">
        <f>D94*(1+mpf_monthly_return!D94)</f>
        <v>1.0687011665102861</v>
      </c>
      <c r="E95">
        <f>E94*(1+mpf_monthly_return!E94)</f>
        <v>1.4927908124307663</v>
      </c>
      <c r="F95">
        <f>F94*(1+mpf_monthly_return!F94)</f>
        <v>1.3050088694640929</v>
      </c>
      <c r="G95">
        <f>G94*(1+mpf_monthly_return!G94)</f>
        <v>2.0693885984109248</v>
      </c>
      <c r="H95">
        <f>H94*(1+mpf_monthly_return!H94)</f>
        <v>1.1835288949462672</v>
      </c>
      <c r="I95">
        <f>I94*(1+mpf_monthly_return!I94)</f>
        <v>2.0110464785143014</v>
      </c>
      <c r="J95">
        <f>J94*(1+mpf_monthly_return!J94)</f>
        <v>1.0998702644731764</v>
      </c>
      <c r="K95">
        <f>K94*(1+mpf_monthly_return!K94)</f>
        <v>1.1201558708729187</v>
      </c>
    </row>
    <row r="96" spans="1:11" x14ac:dyDescent="0.4">
      <c r="A96" s="6">
        <v>45689</v>
      </c>
      <c r="B96">
        <f>B95*(1+mpf_monthly_return!B95)</f>
        <v>0.94785697396714286</v>
      </c>
      <c r="C96">
        <f>C95*(1+mpf_monthly_return!C95)</f>
        <v>1.4181003476836265</v>
      </c>
      <c r="D96">
        <f>D95*(1+mpf_monthly_return!D95)</f>
        <v>1.0854087619850676</v>
      </c>
      <c r="E96">
        <f>E95*(1+mpf_monthly_return!E95)</f>
        <v>1.492885469595278</v>
      </c>
      <c r="F96">
        <f>F95*(1+mpf_monthly_return!F95)</f>
        <v>1.3448842323439867</v>
      </c>
      <c r="G96">
        <f>G95*(1+mpf_monthly_return!G95)</f>
        <v>2.0186893385824818</v>
      </c>
      <c r="H96">
        <f>H95*(1+mpf_monthly_return!H95)</f>
        <v>1.2119813233438419</v>
      </c>
      <c r="I96">
        <f>I95*(1+mpf_monthly_return!I95)</f>
        <v>1.9718028287397935</v>
      </c>
      <c r="J96">
        <f>J95*(1+mpf_monthly_return!J95)</f>
        <v>1.1023756647922236</v>
      </c>
      <c r="K96">
        <f>K95*(1+mpf_monthly_return!K95)</f>
        <v>1.1471887939373484</v>
      </c>
    </row>
    <row r="97" spans="1:11" x14ac:dyDescent="0.4">
      <c r="A97" s="6">
        <v>45717</v>
      </c>
      <c r="B97">
        <f>B96*(1+mpf_monthly_return!B96)</f>
        <v>0.96127693174790507</v>
      </c>
      <c r="C97">
        <f>C96*(1+mpf_monthly_return!C96)</f>
        <v>1.4245347925558527</v>
      </c>
      <c r="D97">
        <f>D96*(1+mpf_monthly_return!D96)</f>
        <v>1.0862597293057905</v>
      </c>
      <c r="E97">
        <f>E96*(1+mpf_monthly_return!E96)</f>
        <v>1.4609293823241918</v>
      </c>
      <c r="F97">
        <f>F96*(1+mpf_monthly_return!F96)</f>
        <v>1.3387266696496745</v>
      </c>
      <c r="G97">
        <f>G96*(1+mpf_monthly_return!G96)</f>
        <v>1.9106537989088033</v>
      </c>
      <c r="H97">
        <f>H96*(1+mpf_monthly_return!H96)</f>
        <v>1.2101435954354929</v>
      </c>
      <c r="I97">
        <f>I96*(1+mpf_monthly_return!I96)</f>
        <v>1.8625025410225642</v>
      </c>
      <c r="J97">
        <f>J96*(1+mpf_monthly_return!J96)</f>
        <v>1.1049704384652859</v>
      </c>
      <c r="K97">
        <f>K96*(1+mpf_monthly_return!K96)</f>
        <v>1.1451168978959687</v>
      </c>
    </row>
    <row r="98" spans="1:11" x14ac:dyDescent="0.4">
      <c r="A98" s="6">
        <v>45748</v>
      </c>
      <c r="B98">
        <f>B97*(1+mpf_monthly_return!B97)</f>
        <v>0.91781068186428616</v>
      </c>
      <c r="C98">
        <f>C97*(1+mpf_monthly_return!C97)</f>
        <v>1.4331617042878269</v>
      </c>
      <c r="D98">
        <f>D97*(1+mpf_monthly_return!D97)</f>
        <v>1.0838924273853128</v>
      </c>
      <c r="E98">
        <f>E97*(1+mpf_monthly_return!E97)</f>
        <v>1.4677274890473899</v>
      </c>
      <c r="F98">
        <f>F97*(1+mpf_monthly_return!F97)</f>
        <v>1.3341528071540696</v>
      </c>
      <c r="G98">
        <f>G97*(1+mpf_monthly_return!G97)</f>
        <v>1.8816154100197275</v>
      </c>
      <c r="H98">
        <f>H97*(1+mpf_monthly_return!H97)</f>
        <v>1.2126880903757198</v>
      </c>
      <c r="I98">
        <f>I97*(1+mpf_monthly_return!I97)</f>
        <v>1.839201411905848</v>
      </c>
      <c r="J98">
        <f>J97*(1+mpf_monthly_return!J97)</f>
        <v>1.10738645771657</v>
      </c>
      <c r="K98">
        <f>K97*(1+mpf_monthly_return!K97)</f>
        <v>1.1469390389200345</v>
      </c>
    </row>
    <row r="99" spans="1:11" x14ac:dyDescent="0.4">
      <c r="A99" s="6">
        <v>45778</v>
      </c>
      <c r="B99">
        <f>B98*(1+mpf_monthly_return!B98)</f>
        <v>0.96893809695812183</v>
      </c>
      <c r="C99">
        <f>C98*(1+mpf_monthly_return!C98)</f>
        <v>1.5347391010696538</v>
      </c>
      <c r="D99">
        <f>D98*(1+mpf_monthly_return!D98)</f>
        <v>1.0921844380611674</v>
      </c>
      <c r="E99">
        <f>E98*(1+mpf_monthly_return!E98)</f>
        <v>1.5239855052636184</v>
      </c>
      <c r="F99">
        <f>F98*(1+mpf_monthly_return!F98)</f>
        <v>1.4079133546154896</v>
      </c>
      <c r="G99">
        <f>G98*(1+mpf_monthly_return!G98)</f>
        <v>2.0029395221139681</v>
      </c>
      <c r="H99">
        <f>H98*(1+mpf_monthly_return!H98)</f>
        <v>1.2508801792044375</v>
      </c>
      <c r="I99">
        <f>I98*(1+mpf_monthly_return!I98)</f>
        <v>1.9581106049530739</v>
      </c>
      <c r="J99">
        <f>J98*(1+mpf_monthly_return!J98)</f>
        <v>1.1096236932298653</v>
      </c>
      <c r="K99">
        <f>K98*(1+mpf_monthly_return!K98)</f>
        <v>1.1829384735273867</v>
      </c>
    </row>
    <row r="100" spans="1:11" x14ac:dyDescent="0.4">
      <c r="A100" s="6">
        <v>45809</v>
      </c>
      <c r="B100">
        <f>B99*(1+mpf_monthly_return!B99)</f>
        <v>1.0067381424125734</v>
      </c>
      <c r="C100">
        <f>C99*(1+mpf_monthly_return!C99)</f>
        <v>1.6317338085732394</v>
      </c>
      <c r="D100">
        <f>D99*(1+mpf_monthly_return!D99)</f>
        <v>1.105253387254568</v>
      </c>
      <c r="E100">
        <f>E99*(1+mpf_monthly_return!E99)</f>
        <v>1.5671539185362633</v>
      </c>
      <c r="F100">
        <f>F99*(1+mpf_monthly_return!F99)</f>
        <v>1.4581533266110058</v>
      </c>
      <c r="G100">
        <f>G99*(1+mpf_monthly_return!G99)</f>
        <v>2.0940787640598337</v>
      </c>
      <c r="H100">
        <f>H99*(1+mpf_monthly_return!H99)</f>
        <v>1.284584810445413</v>
      </c>
      <c r="I100">
        <f>I99*(1+mpf_monthly_return!I99)</f>
        <v>2.052482117679213</v>
      </c>
      <c r="J100">
        <f>J99*(1+mpf_monthly_return!J99)</f>
        <v>1.1110560434966608</v>
      </c>
      <c r="K100">
        <f>K99*(1+mpf_monthly_return!K99)</f>
        <v>1.2141495590838369</v>
      </c>
    </row>
    <row r="101" spans="1:11" x14ac:dyDescent="0.4">
      <c r="A101" s="6">
        <v>45839</v>
      </c>
      <c r="B101">
        <f>B100*(1+mpf_monthly_return!B100)</f>
        <v>1.0246554393183165</v>
      </c>
      <c r="C101">
        <f>C100*(1+mpf_monthly_return!C100)</f>
        <v>1.6267274249591439</v>
      </c>
      <c r="D101">
        <f>D100*(1+mpf_monthly_return!D100)</f>
        <v>1.1130757205789286</v>
      </c>
      <c r="E101">
        <f>E100*(1+mpf_monthly_return!E100)</f>
        <v>1.5652621342426354</v>
      </c>
      <c r="F101">
        <f>F100*(1+mpf_monthly_return!F100)</f>
        <v>1.4624549109970479</v>
      </c>
      <c r="G101">
        <f>G100*(1+mpf_monthly_return!G100)</f>
        <v>2.0996332948916847</v>
      </c>
      <c r="H101">
        <f>H100*(1+mpf_monthly_return!H100)</f>
        <v>1.2861818540438663</v>
      </c>
      <c r="I101">
        <f>I100*(1+mpf_monthly_return!I100)</f>
        <v>2.0616543462252652</v>
      </c>
      <c r="J101">
        <f>J100*(1+mpf_monthly_return!J100)</f>
        <v>1.1123094509308764</v>
      </c>
      <c r="K101">
        <f>K100*(1+mpf_monthly_return!K100)</f>
        <v>1.2150356559470195</v>
      </c>
    </row>
    <row r="102" spans="1:11" x14ac:dyDescent="0.4">
      <c r="A102" s="6">
        <v>45870</v>
      </c>
      <c r="B102">
        <f>B101*(1+mpf_monthly_return!B101)</f>
        <v>1.0710785553296707</v>
      </c>
      <c r="C102">
        <f>C101*(1+mpf_monthly_return!C101)</f>
        <v>1.6697596406282678</v>
      </c>
      <c r="D102">
        <f>D101*(1+mpf_monthly_return!D101)</f>
        <v>1.1176061800334844</v>
      </c>
      <c r="E102">
        <f>E101*(1+mpf_monthly_return!E101)</f>
        <v>1.5917886641222661</v>
      </c>
      <c r="F102">
        <f>F101*(1+mpf_monthly_return!F101)</f>
        <v>1.5194055285677932</v>
      </c>
      <c r="G102">
        <f>G101*(1+mpf_monthly_return!G101)</f>
        <v>2.1636385757115058</v>
      </c>
      <c r="H102">
        <f>H101*(1+mpf_monthly_return!H101)</f>
        <v>1.3126597303203638</v>
      </c>
      <c r="I102">
        <f>I101*(1+mpf_monthly_return!I101)</f>
        <v>2.1240015133014762</v>
      </c>
      <c r="J102">
        <f>J101*(1+mpf_monthly_return!J101)</f>
        <v>1.1135628583649424</v>
      </c>
      <c r="K102">
        <f>K101*(1+mpf_monthly_return!K101)</f>
        <v>1.2406665692689443</v>
      </c>
    </row>
    <row r="103" spans="1:11" x14ac:dyDescent="0.4">
      <c r="A103" s="6">
        <v>45901</v>
      </c>
      <c r="B103">
        <f>B102*(1+mpf_monthly_return!B102)</f>
        <v>1.141472331352259</v>
      </c>
      <c r="C103">
        <f>C102*(1+mpf_monthly_return!C102)</f>
        <v>1.7900802696269276</v>
      </c>
      <c r="D103">
        <f>D102*(1+mpf_monthly_return!D102)</f>
        <v>1.128242508964268</v>
      </c>
      <c r="E103">
        <f>E102*(1+mpf_monthly_return!E102)</f>
        <v>1.6330270852015796</v>
      </c>
      <c r="F103">
        <f>F102*(1+mpf_monthly_return!F102)</f>
        <v>1.5858151892045362</v>
      </c>
      <c r="G103">
        <f>G102*(1+mpf_monthly_return!G102)</f>
        <v>2.2327799254673444</v>
      </c>
      <c r="H103">
        <f>H102*(1+mpf_monthly_return!H102)</f>
        <v>1.3502251850824452</v>
      </c>
      <c r="I103">
        <f>I102*(1+mpf_monthly_return!I102)</f>
        <v>2.2006060749809158</v>
      </c>
      <c r="J103">
        <f>J102*(1+mpf_monthly_return!J102)</f>
        <v>1.1152635696242612</v>
      </c>
      <c r="K103">
        <f>K102*(1+mpf_monthly_return!K102)</f>
        <v>1.2763364005350972</v>
      </c>
    </row>
    <row r="104" spans="1:11" x14ac:dyDescent="0.4">
      <c r="A104" s="6">
        <v>45931</v>
      </c>
      <c r="B104">
        <f>B103*(1+mpf_monthly_return!B103)</f>
        <v>1.0924410038730616</v>
      </c>
      <c r="C104">
        <f>C103*(1+mpf_monthly_return!C103)</f>
        <v>1.8505641307939171</v>
      </c>
      <c r="D104">
        <f>D103*(1+mpf_monthly_return!D103)</f>
        <v>1.131830529005619</v>
      </c>
      <c r="E104">
        <f>E103*(1+mpf_monthly_return!E103)</f>
        <v>1.6516292517666578</v>
      </c>
      <c r="F104">
        <f>F103*(1+mpf_monthly_return!F103)</f>
        <v>1.5890374682916366</v>
      </c>
      <c r="G104">
        <f>G103*(1+mpf_monthly_return!G103)</f>
        <v>2.2693619963138683</v>
      </c>
      <c r="H104">
        <f>H103*(1+mpf_monthly_return!H103)</f>
        <v>1.3501660334304049</v>
      </c>
      <c r="I104">
        <f>I103*(1+mpf_monthly_return!I103)</f>
        <v>2.2429162703447254</v>
      </c>
      <c r="J104">
        <f>J103*(1+mpf_monthly_return!J103)</f>
        <v>1.1173219951254583</v>
      </c>
      <c r="K104">
        <f>K103*(1+mpf_monthly_return!K103)</f>
        <v>1.276385614377689</v>
      </c>
    </row>
    <row r="105" spans="1:11" x14ac:dyDescent="0.4">
      <c r="A105" s="6">
        <v>45962</v>
      </c>
      <c r="B105">
        <f>B104*(1+mpf_monthly_return!B104)</f>
        <v>1.0884331230214148</v>
      </c>
      <c r="C105">
        <f>C104*(1+mpf_monthly_return!C104)</f>
        <v>1.7835904651306924</v>
      </c>
      <c r="D105">
        <f>D104*(1+mpf_monthly_return!D104)</f>
        <v>1.134664121061469</v>
      </c>
      <c r="E105">
        <f>E104*(1+mpf_monthly_return!E104)</f>
        <v>1.6482244144465616</v>
      </c>
      <c r="F105">
        <f>F104*(1+mpf_monthly_return!F104)</f>
        <v>1.5773745271496125</v>
      </c>
      <c r="G105">
        <f>G104*(1+mpf_monthly_return!G104)</f>
        <v>2.2529855160911083</v>
      </c>
      <c r="H105">
        <f>H104*(1+mpf_monthly_return!H104)</f>
        <v>1.3442974123624318</v>
      </c>
      <c r="I105">
        <f>I104*(1+mpf_monthly_return!I104)</f>
        <v>2.2332153198214986</v>
      </c>
      <c r="J105">
        <f>J104*(1+mpf_monthly_return!J104)</f>
        <v>1.1190227058810092</v>
      </c>
      <c r="K105">
        <f>K104*(1+mpf_monthly_return!K104)</f>
        <v>1.271602829935534</v>
      </c>
    </row>
    <row r="106" spans="1:11" x14ac:dyDescent="0.4">
      <c r="A106" s="6">
        <v>45992</v>
      </c>
      <c r="B106">
        <f>B105*(1+mpf_monthly_return!B105)</f>
        <v>1.1019970566567627</v>
      </c>
      <c r="C106">
        <f>C105*(1+mpf_monthly_return!C105)</f>
        <v>1.8685177493986802</v>
      </c>
      <c r="D106">
        <f>D105*(1+mpf_monthly_return!D105)</f>
        <v>1.1354204377840631</v>
      </c>
      <c r="E106">
        <f>E105*(1+mpf_monthly_return!E105)</f>
        <v>1.6654244147352848</v>
      </c>
      <c r="F106">
        <f>F105*(1+mpf_monthly_return!F105)</f>
        <v>1.6149668921483187</v>
      </c>
      <c r="G106">
        <f>G105*(1+mpf_monthly_return!G105)</f>
        <v>2.2555213328563246</v>
      </c>
      <c r="H106">
        <f>H105*(1+mpf_monthly_return!H105)</f>
        <v>1.3625682713600347</v>
      </c>
      <c r="I106">
        <f>I105*(1+mpf_monthly_return!I105)</f>
        <v>2.2453073605216924</v>
      </c>
      <c r="J106">
        <f>J105*(1+mpf_monthly_return!J105)</f>
        <v>1.121170542828082</v>
      </c>
      <c r="K106">
        <f>K105*(1+mpf_monthly_return!K105)</f>
        <v>1.287789351750531</v>
      </c>
    </row>
    <row r="107" spans="1:11" x14ac:dyDescent="0.4">
      <c r="A107" s="6">
        <v>46023</v>
      </c>
      <c r="B107">
        <f>B106*(1+mpf_monthly_return!B106)</f>
        <v>1.1176508530861469</v>
      </c>
      <c r="C107">
        <f>C106*(1+mpf_monthly_return!C106)</f>
        <v>1.9433334327382572</v>
      </c>
      <c r="D107">
        <f>D106*(1+mpf_monthly_return!D106)</f>
        <v>1.1379709901956772</v>
      </c>
      <c r="E107">
        <f>E106*(1+mpf_monthly_return!E106)</f>
        <v>1.6917628234034581</v>
      </c>
      <c r="F107">
        <f>F106*(1+mpf_monthly_return!F106)</f>
        <v>1.6575194774871183</v>
      </c>
      <c r="G107">
        <f>G106*(1+mpf_monthly_return!G106)</f>
        <v>2.3026641353008173</v>
      </c>
      <c r="H107">
        <f>H106*(1+mpf_monthly_return!H106)</f>
        <v>1.3908396726031753</v>
      </c>
      <c r="I107">
        <f>I106*(1+mpf_monthly_return!I106)</f>
        <v>2.2873231436223582</v>
      </c>
      <c r="J107">
        <f>J106*(1+mpf_monthly_return!J106)</f>
        <v>1.1232289686695105</v>
      </c>
      <c r="K107">
        <f>K106*(1+mpf_monthly_return!K106)</f>
        <v>1.3093103476463588</v>
      </c>
    </row>
    <row r="108" spans="1:11" x14ac:dyDescent="0.4">
      <c r="A108" s="6">
        <v>46054</v>
      </c>
      <c r="B108">
        <f>B107*(1+mpf_monthly_return!B107)</f>
        <v>1.089174890639302</v>
      </c>
      <c r="C108">
        <f>C107*(1+mpf_monthly_return!C107)</f>
        <v>2.1151270667562212</v>
      </c>
      <c r="D108">
        <f>D107*(1+mpf_monthly_return!D107)</f>
        <v>1.1502928198612281</v>
      </c>
      <c r="E108">
        <f>E107*(1+mpf_monthly_return!E107)</f>
        <v>1.7095230428146906</v>
      </c>
      <c r="F108">
        <f>F107*(1+mpf_monthly_return!F107)</f>
        <v>1.7009176436476998</v>
      </c>
      <c r="G108">
        <f>G107*(1+mpf_monthly_return!G107)</f>
        <v>2.2710011513366495</v>
      </c>
      <c r="H108">
        <f>H107*(1+mpf_monthly_return!H107)</f>
        <v>1.4213111085368497</v>
      </c>
      <c r="I108">
        <f>I107*(1+mpf_monthly_return!I107)</f>
        <v>2.2571427650586453</v>
      </c>
      <c r="J108">
        <f>J107*(1+mpf_monthly_return!J107)</f>
        <v>1.1249296782747975</v>
      </c>
      <c r="K108">
        <f>K107*(1+mpf_monthly_return!K107)</f>
        <v>1.3334907181240188</v>
      </c>
    </row>
    <row r="109" spans="1:11" x14ac:dyDescent="0.4">
      <c r="A109" s="6">
        <v>46082</v>
      </c>
      <c r="B109">
        <f>B108*(1+mpf_monthly_return!B108)</f>
        <v>1.0574951623135722</v>
      </c>
      <c r="C109">
        <f>C108*(1+mpf_monthly_return!C108)</f>
        <v>1.9461854397059675</v>
      </c>
      <c r="D109">
        <f>D108*(1+mpf_monthly_return!D108)</f>
        <v>1.1354452134309332</v>
      </c>
      <c r="E109">
        <f>E108*(1+mpf_monthly_return!E108)</f>
        <v>1.6489532749763782</v>
      </c>
      <c r="F109">
        <f>F108*(1+mpf_monthly_return!F108)</f>
        <v>1.6160012724879884</v>
      </c>
      <c r="G109">
        <f>G108*(1+mpf_monthly_return!G108)</f>
        <v>2.1649626032728144</v>
      </c>
      <c r="H109">
        <f>H108*(1+mpf_monthly_return!H108)</f>
        <v>1.3622233694948325</v>
      </c>
      <c r="I109">
        <f>I108*(1+mpf_monthly_return!I108)</f>
        <v>2.1570876632488956</v>
      </c>
      <c r="J109">
        <f>J108*(1+mpf_monthly_return!J108)</f>
        <v>1.1264514868489572</v>
      </c>
      <c r="K109">
        <f>K108*(1+mpf_monthly_return!K108)</f>
        <v>1.2865790460902937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2BE64-DE90-4AB3-81D2-41B28B9196C7}">
  <dimension ref="A1:F109"/>
  <sheetViews>
    <sheetView topLeftCell="A97" workbookViewId="0">
      <selection activeCell="C3" sqref="C3"/>
    </sheetView>
  </sheetViews>
  <sheetFormatPr defaultRowHeight="17" x14ac:dyDescent="0.4"/>
  <cols>
    <col min="1" max="1" width="13.7265625" style="6" bestFit="1" customWidth="1"/>
    <col min="2" max="2" width="8.08984375" bestFit="1" customWidth="1"/>
  </cols>
  <sheetData>
    <row r="1" spans="1:6" x14ac:dyDescent="0.4">
      <c r="A1" s="6" t="s">
        <v>10</v>
      </c>
      <c r="B1" t="s">
        <v>41</v>
      </c>
      <c r="C1" t="s">
        <v>18</v>
      </c>
      <c r="D1" t="s">
        <v>25</v>
      </c>
      <c r="E1" t="s">
        <v>27</v>
      </c>
      <c r="F1" t="s">
        <v>31</v>
      </c>
    </row>
    <row r="2" spans="1:6" x14ac:dyDescent="0.4">
      <c r="A2" s="6">
        <v>42856</v>
      </c>
      <c r="B2" s="11">
        <v>189.17189025878901</v>
      </c>
      <c r="D2">
        <v>1</v>
      </c>
    </row>
    <row r="3" spans="1:6" x14ac:dyDescent="0.4">
      <c r="A3" s="6">
        <v>42887</v>
      </c>
      <c r="B3" s="11">
        <v>192.858154296875</v>
      </c>
      <c r="C3">
        <f t="shared" ref="C3:C33" si="0">LN(B3/B2)</f>
        <v>1.9298892856678063E-2</v>
      </c>
      <c r="D3">
        <f>D2*(1+C3)</f>
        <v>1.019298892856678</v>
      </c>
      <c r="E3">
        <f>(B3-MAX(B$2:B3))/MAX(B$2:B3)</f>
        <v>0</v>
      </c>
      <c r="F3">
        <f t="shared" ref="F3:F33" si="1">IF(C3 &lt; 0, C3, 0)</f>
        <v>0</v>
      </c>
    </row>
    <row r="4" spans="1:6" x14ac:dyDescent="0.4">
      <c r="A4" s="6">
        <v>42919</v>
      </c>
      <c r="B4" s="11">
        <v>192.9945068359375</v>
      </c>
      <c r="C4">
        <f t="shared" si="0"/>
        <v>7.0675964414997625E-4</v>
      </c>
      <c r="D4">
        <f t="shared" ref="D4:D67" si="2">D3*(1+C4)</f>
        <v>1.0200192921794757</v>
      </c>
      <c r="E4">
        <f>(B4-MAX(B$2:B4))/MAX(B$2:B4)</f>
        <v>0</v>
      </c>
      <c r="F4">
        <f t="shared" si="1"/>
        <v>0</v>
      </c>
    </row>
    <row r="5" spans="1:6" x14ac:dyDescent="0.4">
      <c r="A5" s="6">
        <v>42948</v>
      </c>
      <c r="B5" s="11">
        <v>196.98359680175781</v>
      </c>
      <c r="C5">
        <f t="shared" si="0"/>
        <v>2.0458733795698202E-2</v>
      </c>
      <c r="D5">
        <f t="shared" si="2"/>
        <v>1.0408875953446521</v>
      </c>
      <c r="E5">
        <f>(B5-MAX(B$2:B5))/MAX(B$2:B5)</f>
        <v>0</v>
      </c>
      <c r="F5">
        <f t="shared" si="1"/>
        <v>0</v>
      </c>
    </row>
    <row r="6" spans="1:6" x14ac:dyDescent="0.4">
      <c r="A6" s="6">
        <v>42979</v>
      </c>
      <c r="B6" s="11">
        <v>197.45191955566409</v>
      </c>
      <c r="C6">
        <f t="shared" si="0"/>
        <v>2.3746491102130617E-3</v>
      </c>
      <c r="D6">
        <f t="shared" si="2"/>
        <v>1.0433593381467692</v>
      </c>
      <c r="E6">
        <f>(B6-MAX(B$2:B6))/MAX(B$2:B6)</f>
        <v>0</v>
      </c>
      <c r="F6">
        <f t="shared" si="1"/>
        <v>0</v>
      </c>
    </row>
    <row r="7" spans="1:6" x14ac:dyDescent="0.4">
      <c r="A7" s="6">
        <v>43010</v>
      </c>
      <c r="B7" s="11">
        <v>201.9847106933594</v>
      </c>
      <c r="C7">
        <f t="shared" si="0"/>
        <v>2.2696895483979414E-2</v>
      </c>
      <c r="D7">
        <f t="shared" si="2"/>
        <v>1.0670403559969204</v>
      </c>
      <c r="E7">
        <f>(B7-MAX(B$2:B7))/MAX(B$2:B7)</f>
        <v>0</v>
      </c>
      <c r="F7">
        <f t="shared" si="1"/>
        <v>0</v>
      </c>
    </row>
    <row r="8" spans="1:6" x14ac:dyDescent="0.4">
      <c r="A8" s="6">
        <v>43040</v>
      </c>
      <c r="B8" s="11">
        <v>206.17726135253909</v>
      </c>
      <c r="C8">
        <f t="shared" si="0"/>
        <v>2.0544285881435528E-2</v>
      </c>
      <c r="D8">
        <f t="shared" si="2"/>
        <v>1.0889619381175499</v>
      </c>
      <c r="E8">
        <f>(B8-MAX(B$2:B8))/MAX(B$2:B8)</f>
        <v>0</v>
      </c>
      <c r="F8">
        <f t="shared" si="1"/>
        <v>0</v>
      </c>
    </row>
    <row r="9" spans="1:6" x14ac:dyDescent="0.4">
      <c r="A9" s="6">
        <v>43070</v>
      </c>
      <c r="B9" s="11">
        <v>211.72090148925781</v>
      </c>
      <c r="C9">
        <f t="shared" si="0"/>
        <v>2.6532614131024188E-2</v>
      </c>
      <c r="D9">
        <f t="shared" si="2"/>
        <v>1.1178549450249953</v>
      </c>
      <c r="E9">
        <f>(B9-MAX(B$2:B9))/MAX(B$2:B9)</f>
        <v>0</v>
      </c>
      <c r="F9">
        <f t="shared" si="1"/>
        <v>0</v>
      </c>
    </row>
    <row r="10" spans="1:6" x14ac:dyDescent="0.4">
      <c r="A10" s="6">
        <v>43102</v>
      </c>
      <c r="B10" s="11">
        <v>216.41033935546881</v>
      </c>
      <c r="C10">
        <f t="shared" si="0"/>
        <v>2.1907419825698229E-2</v>
      </c>
      <c r="D10">
        <f t="shared" si="2"/>
        <v>1.1423442626098907</v>
      </c>
      <c r="E10">
        <f>(B10-MAX(B$2:B10))/MAX(B$2:B10)</f>
        <v>0</v>
      </c>
      <c r="F10">
        <f t="shared" si="1"/>
        <v>0</v>
      </c>
    </row>
    <row r="11" spans="1:6" x14ac:dyDescent="0.4">
      <c r="A11" s="6">
        <v>43132</v>
      </c>
      <c r="B11" s="11">
        <v>226.6051330566406</v>
      </c>
      <c r="C11">
        <f t="shared" si="0"/>
        <v>4.6032676100039256E-2</v>
      </c>
      <c r="D11">
        <f t="shared" si="2"/>
        <v>1.1949294260453502</v>
      </c>
      <c r="E11">
        <f>(B11-MAX(B$2:B11))/MAX(B$2:B11)</f>
        <v>0</v>
      </c>
      <c r="F11">
        <f t="shared" si="1"/>
        <v>0</v>
      </c>
    </row>
    <row r="12" spans="1:6" x14ac:dyDescent="0.4">
      <c r="A12" s="6">
        <v>43160</v>
      </c>
      <c r="B12" s="11">
        <v>215.49952697753909</v>
      </c>
      <c r="C12">
        <f t="shared" si="0"/>
        <v>-5.0250286296387468E-2</v>
      </c>
      <c r="D12">
        <f t="shared" si="2"/>
        <v>1.1348838802825933</v>
      </c>
      <c r="E12">
        <f>(B12-MAX(B$2:B12))/MAX(B$2:B12)</f>
        <v>-4.900862539740275E-2</v>
      </c>
      <c r="F12">
        <f t="shared" si="1"/>
        <v>-5.0250286296387468E-2</v>
      </c>
    </row>
    <row r="13" spans="1:6" x14ac:dyDescent="0.4">
      <c r="A13" s="6">
        <v>43192</v>
      </c>
      <c r="B13" s="11">
        <v>208.06501770019531</v>
      </c>
      <c r="C13">
        <f t="shared" si="0"/>
        <v>-3.5108098587707054E-2</v>
      </c>
      <c r="D13">
        <f t="shared" si="2"/>
        <v>1.0950402651280327</v>
      </c>
      <c r="E13">
        <f>(B13-MAX(B$2:B13))/MAX(B$2:B13)</f>
        <v>-8.1816837537440637E-2</v>
      </c>
      <c r="F13">
        <f t="shared" si="1"/>
        <v>-3.5108098587707054E-2</v>
      </c>
    </row>
    <row r="14" spans="1:6" x14ac:dyDescent="0.4">
      <c r="A14" s="6">
        <v>43221</v>
      </c>
      <c r="B14" s="11">
        <v>214.1887512207031</v>
      </c>
      <c r="C14">
        <f t="shared" si="0"/>
        <v>2.9007025371294147E-2</v>
      </c>
      <c r="D14">
        <f t="shared" si="2"/>
        <v>1.1268041258811903</v>
      </c>
      <c r="E14">
        <f>(B14-MAX(B$2:B14))/MAX(B$2:B14)</f>
        <v>-5.4793029921497809E-2</v>
      </c>
      <c r="F14">
        <f t="shared" si="1"/>
        <v>0</v>
      </c>
    </row>
    <row r="15" spans="1:6" x14ac:dyDescent="0.4">
      <c r="A15" s="6">
        <v>43252</v>
      </c>
      <c r="B15" s="11">
        <v>221.20111083984381</v>
      </c>
      <c r="C15">
        <f t="shared" si="0"/>
        <v>3.2214650190353168E-2</v>
      </c>
      <c r="D15">
        <f t="shared" si="2"/>
        <v>1.1631037266294995</v>
      </c>
      <c r="E15">
        <f>(B15-MAX(B$2:B15))/MAX(B$2:B15)</f>
        <v>-2.3847748477286431E-2</v>
      </c>
      <c r="F15">
        <f t="shared" si="1"/>
        <v>0</v>
      </c>
    </row>
    <row r="16" spans="1:6" x14ac:dyDescent="0.4">
      <c r="A16" s="6">
        <v>43283</v>
      </c>
      <c r="B16" s="11">
        <v>220.81257629394531</v>
      </c>
      <c r="C16">
        <f t="shared" si="0"/>
        <v>-1.7580208815985087E-3</v>
      </c>
      <c r="D16">
        <f t="shared" si="2"/>
        <v>1.1610589659906199</v>
      </c>
      <c r="E16">
        <f>(B16-MAX(B$2:B16))/MAX(B$2:B16)</f>
        <v>-2.5562336936327996E-2</v>
      </c>
      <c r="F16">
        <f t="shared" si="1"/>
        <v>-1.7580208815985087E-3</v>
      </c>
    </row>
    <row r="17" spans="1:6" x14ac:dyDescent="0.4">
      <c r="A17" s="6">
        <v>43313</v>
      </c>
      <c r="B17" s="11">
        <v>228.13166809082031</v>
      </c>
      <c r="C17">
        <f t="shared" si="0"/>
        <v>3.2608683262809121E-2</v>
      </c>
      <c r="D17">
        <f t="shared" si="2"/>
        <v>1.1989195700620527</v>
      </c>
      <c r="E17">
        <f>(B17-MAX(B$2:B17))/MAX(B$2:B17)</f>
        <v>0</v>
      </c>
      <c r="F17">
        <f t="shared" si="1"/>
        <v>0</v>
      </c>
    </row>
    <row r="18" spans="1:6" x14ac:dyDescent="0.4">
      <c r="A18" s="6">
        <v>43347</v>
      </c>
      <c r="B18" s="11">
        <v>235.4420471191406</v>
      </c>
      <c r="C18">
        <f t="shared" si="0"/>
        <v>3.1541844856222467E-2</v>
      </c>
      <c r="D18">
        <f t="shared" si="2"/>
        <v>1.236735705136039</v>
      </c>
      <c r="E18">
        <f>(B18-MAX(B$2:B18))/MAX(B$2:B18)</f>
        <v>0</v>
      </c>
      <c r="F18">
        <f t="shared" si="1"/>
        <v>0</v>
      </c>
    </row>
    <row r="19" spans="1:6" x14ac:dyDescent="0.4">
      <c r="A19" s="6">
        <v>43374</v>
      </c>
      <c r="B19" s="11">
        <v>238.00648498535159</v>
      </c>
      <c r="C19">
        <f t="shared" si="0"/>
        <v>1.0833122384922785E-2</v>
      </c>
      <c r="D19">
        <f t="shared" si="2"/>
        <v>1.2501334143875815</v>
      </c>
      <c r="E19">
        <f>(B19-MAX(B$2:B19))/MAX(B$2:B19)</f>
        <v>0</v>
      </c>
      <c r="F19">
        <f t="shared" si="1"/>
        <v>0</v>
      </c>
    </row>
    <row r="20" spans="1:6" x14ac:dyDescent="0.4">
      <c r="A20" s="6">
        <v>43405</v>
      </c>
      <c r="B20" s="11">
        <v>223.20433044433591</v>
      </c>
      <c r="C20">
        <f t="shared" si="0"/>
        <v>-6.4210289186594882E-2</v>
      </c>
      <c r="D20">
        <f t="shared" si="2"/>
        <v>1.1698619863279296</v>
      </c>
      <c r="E20">
        <f>(B20-MAX(B$2:B20))/MAX(B$2:B20)</f>
        <v>-6.2192232039083722E-2</v>
      </c>
      <c r="F20">
        <f t="shared" si="1"/>
        <v>-6.4210289186594882E-2</v>
      </c>
    </row>
    <row r="21" spans="1:6" x14ac:dyDescent="0.4">
      <c r="A21" s="6">
        <v>43437</v>
      </c>
      <c r="B21" s="11">
        <v>227.857177734375</v>
      </c>
      <c r="C21">
        <f t="shared" si="0"/>
        <v>2.0631387278566476E-2</v>
      </c>
      <c r="D21">
        <f t="shared" si="2"/>
        <v>1.193997862030334</v>
      </c>
      <c r="E21">
        <f>(B21-MAX(B$2:B21))/MAX(B$2:B21)</f>
        <v>-4.2642986184184196E-2</v>
      </c>
      <c r="F21">
        <f t="shared" si="1"/>
        <v>0</v>
      </c>
    </row>
    <row r="22" spans="1:6" x14ac:dyDescent="0.4">
      <c r="A22" s="6">
        <v>43467</v>
      </c>
      <c r="B22" s="11">
        <v>205.32560729980469</v>
      </c>
      <c r="C22">
        <f t="shared" si="0"/>
        <v>-0.10412197185900315</v>
      </c>
      <c r="D22">
        <f t="shared" si="2"/>
        <v>1.0696764502403016</v>
      </c>
      <c r="E22">
        <f>(B22-MAX(B$2:B22))/MAX(B$2:B22)</f>
        <v>-0.13731087069983949</v>
      </c>
      <c r="F22">
        <f t="shared" si="1"/>
        <v>-0.10412197185900315</v>
      </c>
    </row>
    <row r="23" spans="1:6" x14ac:dyDescent="0.4">
      <c r="A23" s="6">
        <v>43497</v>
      </c>
      <c r="B23" s="11">
        <v>221.60052490234381</v>
      </c>
      <c r="C23">
        <f t="shared" si="0"/>
        <v>7.6279276192371334E-2</v>
      </c>
      <c r="D23">
        <f t="shared" si="2"/>
        <v>1.1512705956246569</v>
      </c>
      <c r="E23">
        <f>(B23-MAX(B$2:B23))/MAX(B$2:B23)</f>
        <v>-6.893072717752842E-2</v>
      </c>
      <c r="F23">
        <f t="shared" si="1"/>
        <v>0</v>
      </c>
    </row>
    <row r="24" spans="1:6" x14ac:dyDescent="0.4">
      <c r="A24" s="6">
        <v>43525</v>
      </c>
      <c r="B24" s="11">
        <v>230.1799621582031</v>
      </c>
      <c r="C24">
        <f t="shared" si="0"/>
        <v>3.7985123576230767E-2</v>
      </c>
      <c r="D24">
        <f t="shared" si="2"/>
        <v>1.1950017514691402</v>
      </c>
      <c r="E24">
        <f>(B24-MAX(B$2:B24))/MAX(B$2:B24)</f>
        <v>-3.2883653685445532E-2</v>
      </c>
      <c r="F24">
        <f t="shared" si="1"/>
        <v>0</v>
      </c>
    </row>
    <row r="25" spans="1:6" x14ac:dyDescent="0.4">
      <c r="A25" s="6">
        <v>43556</v>
      </c>
      <c r="B25" s="11">
        <v>235.69525146484381</v>
      </c>
      <c r="C25">
        <f t="shared" si="0"/>
        <v>2.3678216078036361E-2</v>
      </c>
      <c r="D25">
        <f t="shared" si="2"/>
        <v>1.2232972611540585</v>
      </c>
      <c r="E25">
        <f>(B25-MAX(B$2:B25))/MAX(B$2:B25)</f>
        <v>-9.7108006138993726E-3</v>
      </c>
      <c r="F25">
        <f t="shared" si="1"/>
        <v>0</v>
      </c>
    </row>
    <row r="26" spans="1:6" x14ac:dyDescent="0.4">
      <c r="A26" s="6">
        <v>43586</v>
      </c>
      <c r="B26" s="11">
        <v>240.64207458496091</v>
      </c>
      <c r="C26">
        <f t="shared" si="0"/>
        <v>2.0770998621201343E-2</v>
      </c>
      <c r="D26">
        <f t="shared" si="2"/>
        <v>1.2487063668788088</v>
      </c>
      <c r="E26">
        <f>(B26-MAX(B$2:B26))/MAX(B$2:B26)</f>
        <v>0</v>
      </c>
      <c r="F26">
        <f t="shared" si="1"/>
        <v>0</v>
      </c>
    </row>
    <row r="27" spans="1:6" x14ac:dyDescent="0.4">
      <c r="A27" s="6">
        <v>43619</v>
      </c>
      <c r="B27" s="11">
        <v>226.34930419921881</v>
      </c>
      <c r="C27">
        <f t="shared" si="0"/>
        <v>-6.1231261965329069E-2</v>
      </c>
      <c r="D27">
        <f t="shared" si="2"/>
        <v>1.1722465002106781</v>
      </c>
      <c r="E27">
        <f>(B27-MAX(B$2:B27))/MAX(B$2:B27)</f>
        <v>-5.9394311698787769E-2</v>
      </c>
      <c r="F27">
        <f t="shared" si="1"/>
        <v>-6.1231261965329069E-2</v>
      </c>
    </row>
    <row r="28" spans="1:6" x14ac:dyDescent="0.4">
      <c r="A28" s="6">
        <v>43647</v>
      </c>
      <c r="B28" s="11">
        <v>244.9608459472656</v>
      </c>
      <c r="C28">
        <f t="shared" si="0"/>
        <v>7.9018985439864881E-2</v>
      </c>
      <c r="D28">
        <f t="shared" si="2"/>
        <v>1.2648762293427582</v>
      </c>
      <c r="E28">
        <f>(B28-MAX(B$2:B28))/MAX(B$2:B28)</f>
        <v>0</v>
      </c>
      <c r="F28">
        <f t="shared" si="1"/>
        <v>0</v>
      </c>
    </row>
    <row r="29" spans="1:6" x14ac:dyDescent="0.4">
      <c r="A29" s="6">
        <v>43678</v>
      </c>
      <c r="B29" s="11">
        <v>244.37425231933591</v>
      </c>
      <c r="C29">
        <f t="shared" si="0"/>
        <v>-2.3975141410847011E-3</v>
      </c>
      <c r="D29">
        <f t="shared" si="2"/>
        <v>1.2618436706961871</v>
      </c>
      <c r="E29">
        <f>(B29-MAX(B$2:B29))/MAX(B$2:B29)</f>
        <v>-2.3946423995284843E-3</v>
      </c>
      <c r="F29">
        <f t="shared" si="1"/>
        <v>-2.3975141410847011E-3</v>
      </c>
    </row>
    <row r="30" spans="1:6" x14ac:dyDescent="0.4">
      <c r="A30" s="6">
        <v>43711</v>
      </c>
      <c r="B30" s="11">
        <v>241.05320739746091</v>
      </c>
      <c r="C30">
        <f t="shared" si="0"/>
        <v>-1.3683184466433676E-2</v>
      </c>
      <c r="D30">
        <f t="shared" si="2"/>
        <v>1.2445776309822494</v>
      </c>
      <c r="E30">
        <f>(B30-MAX(B$2:B30))/MAX(B$2:B30)</f>
        <v>-1.5952094444701224E-2</v>
      </c>
      <c r="F30">
        <f t="shared" si="1"/>
        <v>-1.3683184466433676E-2</v>
      </c>
    </row>
    <row r="31" spans="1:6" x14ac:dyDescent="0.4">
      <c r="A31" s="6">
        <v>43739</v>
      </c>
      <c r="B31" s="11">
        <v>244.20451354980469</v>
      </c>
      <c r="C31">
        <f t="shared" si="0"/>
        <v>1.2988357805032638E-2</v>
      </c>
      <c r="D31">
        <f t="shared" si="2"/>
        <v>1.2607426505695869</v>
      </c>
      <c r="E31">
        <f>(B31-MAX(B$2:B31))/MAX(B$2:B31)</f>
        <v>-3.0875644413137352E-3</v>
      </c>
      <c r="F31">
        <f t="shared" si="1"/>
        <v>0</v>
      </c>
    </row>
    <row r="32" spans="1:6" x14ac:dyDescent="0.4">
      <c r="A32" s="6">
        <v>43770</v>
      </c>
      <c r="B32" s="11">
        <v>254.9765930175781</v>
      </c>
      <c r="C32">
        <f t="shared" si="0"/>
        <v>4.3165704346616804E-2</v>
      </c>
      <c r="D32">
        <f t="shared" si="2"/>
        <v>1.3151634950812436</v>
      </c>
      <c r="E32">
        <f>(B32-MAX(B$2:B32))/MAX(B$2:B32)</f>
        <v>0</v>
      </c>
      <c r="F32">
        <f t="shared" si="1"/>
        <v>0</v>
      </c>
    </row>
    <row r="33" spans="1:6" x14ac:dyDescent="0.4">
      <c r="A33" s="6">
        <v>43801</v>
      </c>
      <c r="B33" s="11">
        <v>259.60104370117188</v>
      </c>
      <c r="C33">
        <f t="shared" si="0"/>
        <v>1.797425638504634E-2</v>
      </c>
      <c r="D33">
        <f t="shared" si="2"/>
        <v>1.3388025809300874</v>
      </c>
      <c r="E33">
        <f>(B33-MAX(B$2:B33))/MAX(B$2:B33)</f>
        <v>0</v>
      </c>
      <c r="F33">
        <f t="shared" si="1"/>
        <v>0</v>
      </c>
    </row>
    <row r="34" spans="1:6" x14ac:dyDescent="0.4">
      <c r="A34" s="6">
        <v>43832</v>
      </c>
      <c r="B34" s="11">
        <v>271.90203857421881</v>
      </c>
      <c r="C34">
        <f t="shared" ref="C34:C65" si="3">LN(B34/B33)</f>
        <v>4.6295843882523592E-2</v>
      </c>
      <c r="D34">
        <f t="shared" si="2"/>
        <v>1.4007835762063465</v>
      </c>
      <c r="E34">
        <f>(B34-MAX(B$2:B34))/MAX(B$2:B34)</f>
        <v>0</v>
      </c>
      <c r="F34">
        <f t="shared" ref="F34:F65" si="4">IF(C34 &lt; 0, C34, 0)</f>
        <v>0</v>
      </c>
    </row>
    <row r="35" spans="1:6" x14ac:dyDescent="0.4">
      <c r="A35" s="6">
        <v>43864</v>
      </c>
      <c r="B35" s="11">
        <v>271.37362670898438</v>
      </c>
      <c r="C35">
        <f t="shared" si="3"/>
        <v>-1.9452814312605415E-3</v>
      </c>
      <c r="D35">
        <f t="shared" si="2"/>
        <v>1.3980586579263377</v>
      </c>
      <c r="E35">
        <f>(B35-MAX(B$2:B35))/MAX(B$2:B35)</f>
        <v>-1.9433905976037607E-3</v>
      </c>
      <c r="F35">
        <f t="shared" si="4"/>
        <v>-1.9452814312605415E-3</v>
      </c>
    </row>
    <row r="36" spans="1:6" x14ac:dyDescent="0.4">
      <c r="A36" s="6">
        <v>43892</v>
      </c>
      <c r="B36" s="11">
        <v>258.64498901367188</v>
      </c>
      <c r="C36">
        <f t="shared" si="3"/>
        <v>-4.8040145049927048E-2</v>
      </c>
      <c r="D36">
        <f t="shared" si="2"/>
        <v>1.3308957172112501</v>
      </c>
      <c r="E36">
        <f>(B36-MAX(B$2:B36))/MAX(B$2:B36)</f>
        <v>-4.8756712638358048E-2</v>
      </c>
      <c r="F36">
        <f t="shared" si="4"/>
        <v>-4.8040145049927048E-2</v>
      </c>
    </row>
    <row r="37" spans="1:6" x14ac:dyDescent="0.4">
      <c r="A37" s="6">
        <v>43922</v>
      </c>
      <c r="B37" s="11">
        <v>207.02140808105469</v>
      </c>
      <c r="C37">
        <f t="shared" si="3"/>
        <v>-0.22263421404448502</v>
      </c>
      <c r="D37">
        <f t="shared" si="2"/>
        <v>1.0345927952347522</v>
      </c>
      <c r="E37">
        <f>(B37-MAX(B$2:B37))/MAX(B$2:B37)</f>
        <v>-0.23861766845655408</v>
      </c>
      <c r="F37">
        <f t="shared" si="4"/>
        <v>-0.22263421404448502</v>
      </c>
    </row>
    <row r="38" spans="1:6" x14ac:dyDescent="0.4">
      <c r="A38" s="6">
        <v>43952</v>
      </c>
      <c r="B38" s="11">
        <v>237.84346008300781</v>
      </c>
      <c r="C38">
        <f t="shared" si="3"/>
        <v>0.13879051792880809</v>
      </c>
      <c r="D38">
        <f t="shared" si="2"/>
        <v>1.1781844651307967</v>
      </c>
      <c r="E38">
        <f>(B38-MAX(B$2:B38))/MAX(B$2:B38)</f>
        <v>-0.12526047494827558</v>
      </c>
      <c r="F38">
        <f t="shared" si="4"/>
        <v>0</v>
      </c>
    </row>
    <row r="39" spans="1:6" x14ac:dyDescent="0.4">
      <c r="A39" s="6">
        <v>43983</v>
      </c>
      <c r="B39" s="11">
        <v>257.20452880859381</v>
      </c>
      <c r="C39">
        <f t="shared" si="3"/>
        <v>7.8258873800897119E-2</v>
      </c>
      <c r="D39">
        <f t="shared" si="2"/>
        <v>1.2703878545016452</v>
      </c>
      <c r="E39">
        <f>(B39-MAX(B$2:B39))/MAX(B$2:B39)</f>
        <v>-5.4054430201019417E-2</v>
      </c>
      <c r="F39">
        <f t="shared" si="4"/>
        <v>0</v>
      </c>
    </row>
    <row r="40" spans="1:6" x14ac:dyDescent="0.4">
      <c r="A40" s="6">
        <v>44013</v>
      </c>
      <c r="B40" s="11">
        <v>262.59024047851563</v>
      </c>
      <c r="C40">
        <f t="shared" si="3"/>
        <v>2.0723195877733316E-2</v>
      </c>
      <c r="D40">
        <f t="shared" si="2"/>
        <v>1.2967143508511763</v>
      </c>
      <c r="E40">
        <f>(B40-MAX(B$2:B40))/MAX(B$2:B40)</f>
        <v>-3.4246885917191897E-2</v>
      </c>
      <c r="F40">
        <f t="shared" si="4"/>
        <v>0</v>
      </c>
    </row>
    <row r="41" spans="1:6" x14ac:dyDescent="0.4">
      <c r="A41" s="6">
        <v>44046</v>
      </c>
      <c r="B41" s="11">
        <v>277.883544921875</v>
      </c>
      <c r="C41">
        <f t="shared" si="3"/>
        <v>5.6607326560793952E-2</v>
      </c>
      <c r="D41">
        <f t="shared" si="2"/>
        <v>1.3701178835658769</v>
      </c>
      <c r="E41">
        <f>(B41-MAX(B$2:B41))/MAX(B$2:B41)</f>
        <v>0</v>
      </c>
      <c r="F41">
        <f t="shared" si="4"/>
        <v>0</v>
      </c>
    </row>
    <row r="42" spans="1:6" x14ac:dyDescent="0.4">
      <c r="A42" s="6">
        <v>44075</v>
      </c>
      <c r="B42" s="11">
        <v>298.15505981445313</v>
      </c>
      <c r="C42">
        <f t="shared" si="3"/>
        <v>7.041156335847136E-2</v>
      </c>
      <c r="D42">
        <f t="shared" si="2"/>
        <v>1.4665900257331506</v>
      </c>
      <c r="E42">
        <f>(B42-MAX(B$2:B42))/MAX(B$2:B42)</f>
        <v>0</v>
      </c>
      <c r="F42">
        <f t="shared" si="4"/>
        <v>0</v>
      </c>
    </row>
    <row r="43" spans="1:6" x14ac:dyDescent="0.4">
      <c r="A43" s="6">
        <v>44105</v>
      </c>
      <c r="B43" s="11">
        <v>286.10061645507813</v>
      </c>
      <c r="C43">
        <f t="shared" si="3"/>
        <v>-4.1270131388253084E-2</v>
      </c>
      <c r="D43">
        <f t="shared" si="2"/>
        <v>1.406063662678442</v>
      </c>
      <c r="E43">
        <f>(B43-MAX(B$2:B43))/MAX(B$2:B43)</f>
        <v>-4.0430115010882867E-2</v>
      </c>
      <c r="F43">
        <f t="shared" si="4"/>
        <v>-4.1270131388253084E-2</v>
      </c>
    </row>
    <row r="44" spans="1:6" x14ac:dyDescent="0.4">
      <c r="A44" s="6">
        <v>44137</v>
      </c>
      <c r="B44" s="11">
        <v>280.28805541992188</v>
      </c>
      <c r="C44">
        <f t="shared" si="3"/>
        <v>-2.0525711032116239E-2</v>
      </c>
      <c r="D44">
        <f t="shared" si="2"/>
        <v>1.3772032062455453</v>
      </c>
      <c r="E44">
        <f>(B44-MAX(B$2:B44))/MAX(B$2:B44)</f>
        <v>-5.9925209404965943E-2</v>
      </c>
      <c r="F44">
        <f t="shared" si="4"/>
        <v>-2.0525711032116239E-2</v>
      </c>
    </row>
    <row r="45" spans="1:6" x14ac:dyDescent="0.4">
      <c r="A45" s="6">
        <v>44166</v>
      </c>
      <c r="B45" s="11">
        <v>310.77392578125</v>
      </c>
      <c r="C45">
        <f t="shared" si="3"/>
        <v>0.1032478773859046</v>
      </c>
      <c r="D45">
        <f t="shared" si="2"/>
        <v>1.5193965140194601</v>
      </c>
      <c r="E45">
        <f>(B45-MAX(B$2:B45))/MAX(B$2:B45)</f>
        <v>0</v>
      </c>
      <c r="F45">
        <f t="shared" si="4"/>
        <v>0</v>
      </c>
    </row>
    <row r="46" spans="1:6" x14ac:dyDescent="0.4">
      <c r="A46" s="6">
        <v>44200</v>
      </c>
      <c r="B46" s="11">
        <v>314.57791137695313</v>
      </c>
      <c r="C46">
        <f t="shared" si="3"/>
        <v>1.2166055297082735E-2</v>
      </c>
      <c r="D46">
        <f t="shared" si="2"/>
        <v>1.5378815760272158</v>
      </c>
      <c r="E46">
        <f>(B46-MAX(B$2:B46))/MAX(B$2:B46)</f>
        <v>0</v>
      </c>
      <c r="F46">
        <f t="shared" si="4"/>
        <v>0</v>
      </c>
    </row>
    <row r="47" spans="1:6" x14ac:dyDescent="0.4">
      <c r="A47" s="6">
        <v>44228</v>
      </c>
      <c r="B47" s="11">
        <v>320.831787109375</v>
      </c>
      <c r="C47">
        <f t="shared" si="3"/>
        <v>1.9685181694301061E-2</v>
      </c>
      <c r="D47">
        <f t="shared" si="2"/>
        <v>1.5681550542756297</v>
      </c>
      <c r="E47">
        <f>(B47-MAX(B$2:B47))/MAX(B$2:B47)</f>
        <v>0</v>
      </c>
      <c r="F47">
        <f t="shared" si="4"/>
        <v>0</v>
      </c>
    </row>
    <row r="48" spans="1:6" x14ac:dyDescent="0.4">
      <c r="A48" s="6">
        <v>44256</v>
      </c>
      <c r="B48" s="11">
        <v>332.29110717773438</v>
      </c>
      <c r="C48">
        <f t="shared" si="3"/>
        <v>3.5094455492368358E-2</v>
      </c>
      <c r="D48">
        <f t="shared" si="2"/>
        <v>1.6231886020330384</v>
      </c>
      <c r="E48">
        <f>(B48-MAX(B$2:B48))/MAX(B$2:B48)</f>
        <v>0</v>
      </c>
      <c r="F48">
        <f t="shared" si="4"/>
        <v>0</v>
      </c>
    </row>
    <row r="49" spans="1:6" x14ac:dyDescent="0.4">
      <c r="A49" s="6">
        <v>44287</v>
      </c>
      <c r="B49" s="11">
        <v>342.81155395507813</v>
      </c>
      <c r="C49">
        <f t="shared" si="3"/>
        <v>3.1169477233488341E-2</v>
      </c>
      <c r="D49">
        <f t="shared" si="2"/>
        <v>1.6737825422097647</v>
      </c>
      <c r="E49">
        <f>(B49-MAX(B$2:B49))/MAX(B$2:B49)</f>
        <v>0</v>
      </c>
      <c r="F49">
        <f t="shared" si="4"/>
        <v>0</v>
      </c>
    </row>
    <row r="50" spans="1:6" x14ac:dyDescent="0.4">
      <c r="A50" s="6">
        <v>44319</v>
      </c>
      <c r="B50" s="11">
        <v>357.970703125</v>
      </c>
      <c r="C50">
        <f t="shared" si="3"/>
        <v>4.3270257396955454E-2</v>
      </c>
      <c r="D50">
        <f t="shared" si="2"/>
        <v>1.7462075436377118</v>
      </c>
      <c r="E50">
        <f>(B50-MAX(B$2:B50))/MAX(B$2:B50)</f>
        <v>0</v>
      </c>
      <c r="F50">
        <f t="shared" si="4"/>
        <v>0</v>
      </c>
    </row>
    <row r="51" spans="1:6" x14ac:dyDescent="0.4">
      <c r="A51" s="6">
        <v>44348</v>
      </c>
      <c r="B51" s="11">
        <v>359.26498413085938</v>
      </c>
      <c r="C51">
        <f t="shared" si="3"/>
        <v>3.6090853641117054E-3</v>
      </c>
      <c r="D51">
        <f t="shared" si="2"/>
        <v>1.7525097557261562</v>
      </c>
      <c r="E51">
        <f>(B51-MAX(B$2:B51))/MAX(B$2:B51)</f>
        <v>0</v>
      </c>
      <c r="F51">
        <f t="shared" si="4"/>
        <v>0</v>
      </c>
    </row>
    <row r="52" spans="1:6" x14ac:dyDescent="0.4">
      <c r="A52" s="6">
        <v>44378</v>
      </c>
      <c r="B52" s="11">
        <v>369.74246215820313</v>
      </c>
      <c r="C52">
        <f t="shared" si="3"/>
        <v>2.8746481493378318E-2</v>
      </c>
      <c r="D52">
        <f t="shared" si="2"/>
        <v>1.802888244986103</v>
      </c>
      <c r="E52">
        <f>(B52-MAX(B$2:B52))/MAX(B$2:B52)</f>
        <v>0</v>
      </c>
      <c r="F52">
        <f t="shared" si="4"/>
        <v>0</v>
      </c>
    </row>
    <row r="53" spans="1:6" x14ac:dyDescent="0.4">
      <c r="A53" s="6">
        <v>44410</v>
      </c>
      <c r="B53" s="11">
        <v>375.899658203125</v>
      </c>
      <c r="C53">
        <f t="shared" si="3"/>
        <v>1.65155262304802E-2</v>
      </c>
      <c r="D53">
        <f t="shared" si="2"/>
        <v>1.8326638930867953</v>
      </c>
      <c r="E53">
        <f>(B53-MAX(B$2:B53))/MAX(B$2:B53)</f>
        <v>0</v>
      </c>
      <c r="F53">
        <f t="shared" si="4"/>
        <v>0</v>
      </c>
    </row>
    <row r="54" spans="1:6" x14ac:dyDescent="0.4">
      <c r="A54" s="6">
        <v>44440</v>
      </c>
      <c r="B54" s="11">
        <v>388.195068359375</v>
      </c>
      <c r="C54">
        <f t="shared" si="3"/>
        <v>3.2185725494969328E-2</v>
      </c>
      <c r="D54">
        <f t="shared" si="2"/>
        <v>1.8916495100742288</v>
      </c>
      <c r="E54">
        <f>(B54-MAX(B$2:B54))/MAX(B$2:B54)</f>
        <v>0</v>
      </c>
      <c r="F54">
        <f t="shared" si="4"/>
        <v>0</v>
      </c>
    </row>
    <row r="55" spans="1:6" x14ac:dyDescent="0.4">
      <c r="A55" s="6">
        <v>44470</v>
      </c>
      <c r="B55" s="11">
        <v>374.12347412109381</v>
      </c>
      <c r="C55">
        <f t="shared" si="3"/>
        <v>-3.6922079151051099E-2</v>
      </c>
      <c r="D55">
        <f t="shared" si="2"/>
        <v>1.8218058771372212</v>
      </c>
      <c r="E55">
        <f>(B55-MAX(B$2:B55))/MAX(B$2:B55)</f>
        <v>-3.624877126273611E-2</v>
      </c>
      <c r="F55">
        <f t="shared" si="4"/>
        <v>-3.6922079151051099E-2</v>
      </c>
    </row>
    <row r="56" spans="1:6" x14ac:dyDescent="0.4">
      <c r="A56" s="6">
        <v>44501</v>
      </c>
      <c r="B56" s="11">
        <v>396.55465698242188</v>
      </c>
      <c r="C56">
        <f t="shared" si="3"/>
        <v>5.8227992568667744E-2</v>
      </c>
      <c r="D56">
        <f t="shared" si="2"/>
        <v>1.9278859762127225</v>
      </c>
      <c r="E56">
        <f>(B56-MAX(B$2:B56))/MAX(B$2:B56)</f>
        <v>0</v>
      </c>
      <c r="F56">
        <f t="shared" si="4"/>
        <v>0</v>
      </c>
    </row>
    <row r="57" spans="1:6" x14ac:dyDescent="0.4">
      <c r="A57" s="6">
        <v>44531</v>
      </c>
      <c r="B57" s="11">
        <v>388.29644775390619</v>
      </c>
      <c r="C57">
        <f t="shared" si="3"/>
        <v>-2.1044791710544609E-2</v>
      </c>
      <c r="D57">
        <f t="shared" si="2"/>
        <v>1.8873140174016458</v>
      </c>
      <c r="E57">
        <f>(B57-MAX(B$2:B57))/MAX(B$2:B57)</f>
        <v>-2.0824895340673669E-2</v>
      </c>
      <c r="F57">
        <f t="shared" si="4"/>
        <v>-2.1044791710544609E-2</v>
      </c>
    </row>
    <row r="58" spans="1:6" x14ac:dyDescent="0.4">
      <c r="A58" s="6">
        <v>44564</v>
      </c>
      <c r="B58" s="11">
        <v>413.24923706054688</v>
      </c>
      <c r="C58">
        <f t="shared" si="3"/>
        <v>6.2281802010265896E-2</v>
      </c>
      <c r="D58">
        <f t="shared" si="2"/>
        <v>2.0048593353646544</v>
      </c>
      <c r="E58">
        <f>(B58-MAX(B$2:B58))/MAX(B$2:B58)</f>
        <v>0</v>
      </c>
      <c r="F58">
        <f t="shared" si="4"/>
        <v>0</v>
      </c>
    </row>
    <row r="59" spans="1:6" x14ac:dyDescent="0.4">
      <c r="A59" s="6">
        <v>44593</v>
      </c>
      <c r="B59" s="11">
        <v>391.74237060546881</v>
      </c>
      <c r="C59">
        <f t="shared" si="3"/>
        <v>-5.3446484621003168E-2</v>
      </c>
      <c r="D59">
        <f t="shared" si="2"/>
        <v>1.8977066517298127</v>
      </c>
      <c r="E59">
        <f>(B59-MAX(B$2:B59))/MAX(B$2:B59)</f>
        <v>-5.2043330093134589E-2</v>
      </c>
      <c r="F59">
        <f t="shared" si="4"/>
        <v>-5.3446484621003168E-2</v>
      </c>
    </row>
    <row r="60" spans="1:6" x14ac:dyDescent="0.4">
      <c r="A60" s="6">
        <v>44621</v>
      </c>
      <c r="B60" s="11">
        <v>371.93841552734381</v>
      </c>
      <c r="C60">
        <f t="shared" si="3"/>
        <v>-5.1876114974340658E-2</v>
      </c>
      <c r="D60">
        <f t="shared" si="2"/>
        <v>1.7992610032771059</v>
      </c>
      <c r="E60">
        <f>(B60-MAX(B$2:B60))/MAX(B$2:B60)</f>
        <v>-9.9965874896825152E-2</v>
      </c>
      <c r="F60">
        <f t="shared" si="4"/>
        <v>-5.1876114974340658E-2</v>
      </c>
    </row>
    <row r="61" spans="1:6" x14ac:dyDescent="0.4">
      <c r="A61" s="6">
        <v>44652</v>
      </c>
      <c r="B61" s="11">
        <v>392.99569702148438</v>
      </c>
      <c r="C61">
        <f t="shared" si="3"/>
        <v>5.5070371843961248E-2</v>
      </c>
      <c r="D61">
        <f t="shared" si="2"/>
        <v>1.8983469757719151</v>
      </c>
      <c r="E61">
        <f>(B61-MAX(B$2:B61))/MAX(B$2:B61)</f>
        <v>-4.9010471702564978E-2</v>
      </c>
      <c r="F61">
        <f t="shared" si="4"/>
        <v>0</v>
      </c>
    </row>
    <row r="62" spans="1:6" x14ac:dyDescent="0.4">
      <c r="A62" s="6">
        <v>44683</v>
      </c>
      <c r="B62" s="11">
        <v>359.72994995117188</v>
      </c>
      <c r="C62">
        <f t="shared" si="3"/>
        <v>-8.8445051824000129E-2</v>
      </c>
      <c r="D62">
        <f t="shared" si="2"/>
        <v>1.7304475791198342</v>
      </c>
      <c r="E62">
        <f>(B62-MAX(B$2:B62))/MAX(B$2:B62)</f>
        <v>-0.12950849586573748</v>
      </c>
      <c r="F62">
        <f t="shared" si="4"/>
        <v>-8.8445051824000129E-2</v>
      </c>
    </row>
    <row r="63" spans="1:6" x14ac:dyDescent="0.4">
      <c r="A63" s="6">
        <v>44713</v>
      </c>
      <c r="B63" s="11">
        <v>355.40655517578119</v>
      </c>
      <c r="C63">
        <f t="shared" si="3"/>
        <v>-1.2091250878765418E-2</v>
      </c>
      <c r="D63">
        <f t="shared" si="2"/>
        <v>1.709524303308144</v>
      </c>
      <c r="E63">
        <f>(B63-MAX(B$2:B63))/MAX(B$2:B63)</f>
        <v>-0.13997045051117882</v>
      </c>
      <c r="F63">
        <f t="shared" si="4"/>
        <v>-1.2091250878765418E-2</v>
      </c>
    </row>
    <row r="64" spans="1:6" x14ac:dyDescent="0.4">
      <c r="A64" s="6">
        <v>44743</v>
      </c>
      <c r="B64" s="11">
        <v>332.16213989257813</v>
      </c>
      <c r="C64">
        <f t="shared" si="3"/>
        <v>-6.7639137180266623E-2</v>
      </c>
      <c r="D64">
        <f t="shared" si="2"/>
        <v>1.5938935544436847</v>
      </c>
      <c r="E64">
        <f>(B64-MAX(B$2:B64))/MAX(B$2:B64)</f>
        <v>-0.1962183832322196</v>
      </c>
      <c r="F64">
        <f t="shared" si="4"/>
        <v>-6.7639137180266623E-2</v>
      </c>
    </row>
    <row r="65" spans="1:6" x14ac:dyDescent="0.4">
      <c r="A65" s="6">
        <v>44774</v>
      </c>
      <c r="B65" s="11">
        <v>357.95297241210938</v>
      </c>
      <c r="C65">
        <f t="shared" si="3"/>
        <v>7.4778392923071438E-2</v>
      </c>
      <c r="D65">
        <f t="shared" si="2"/>
        <v>1.7130823529354255</v>
      </c>
      <c r="E65">
        <f>(B65-MAX(B$2:B65))/MAX(B$2:B65)</f>
        <v>-0.1338085099485273</v>
      </c>
      <c r="F65">
        <f t="shared" si="4"/>
        <v>0</v>
      </c>
    </row>
    <row r="66" spans="1:6" x14ac:dyDescent="0.4">
      <c r="A66" s="6">
        <v>44805</v>
      </c>
      <c r="B66" s="11">
        <v>345.27078247070313</v>
      </c>
      <c r="C66">
        <f t="shared" ref="C66:C97" si="5">LN(B66/B65)</f>
        <v>-3.6072629891239764E-2</v>
      </c>
      <c r="D66">
        <f t="shared" si="2"/>
        <v>1.6512869672447719</v>
      </c>
      <c r="E66">
        <f>(B66-MAX(B$2:B66))/MAX(B$2:B66)</f>
        <v>-0.16449747148567376</v>
      </c>
      <c r="F66">
        <f t="shared" ref="F66:F97" si="6">IF(C66 &lt; 0, C66, 0)</f>
        <v>-3.6072629891239764E-2</v>
      </c>
    </row>
    <row r="67" spans="1:6" x14ac:dyDescent="0.4">
      <c r="A67" s="6">
        <v>44837</v>
      </c>
      <c r="B67" s="11">
        <v>320.80929565429688</v>
      </c>
      <c r="C67">
        <f t="shared" si="5"/>
        <v>-7.34821338523413E-2</v>
      </c>
      <c r="D67">
        <f t="shared" si="2"/>
        <v>1.529946877289065</v>
      </c>
      <c r="E67">
        <f>(B67-MAX(B$2:B67))/MAX(B$2:B67)</f>
        <v>-0.22369053132143166</v>
      </c>
      <c r="F67">
        <f t="shared" si="6"/>
        <v>-7.34821338523413E-2</v>
      </c>
    </row>
    <row r="68" spans="1:6" x14ac:dyDescent="0.4">
      <c r="A68" s="6">
        <v>44866</v>
      </c>
      <c r="B68" s="11">
        <v>336.5555419921875</v>
      </c>
      <c r="C68">
        <f t="shared" si="5"/>
        <v>4.7916341339453862E-2</v>
      </c>
      <c r="D68">
        <f t="shared" ref="D68:D109" si="7">D67*(1+C68)</f>
        <v>1.6032563340924795</v>
      </c>
      <c r="E68">
        <f>(B68-MAX(B$2:B68))/MAX(B$2:B68)</f>
        <v>-0.18558702156084722</v>
      </c>
      <c r="F68">
        <f t="shared" si="6"/>
        <v>0</v>
      </c>
    </row>
    <row r="69" spans="1:6" x14ac:dyDescent="0.4">
      <c r="A69" s="6">
        <v>44896</v>
      </c>
      <c r="B69" s="11">
        <v>356.56692504882813</v>
      </c>
      <c r="C69">
        <f t="shared" si="5"/>
        <v>5.7758756892364815E-2</v>
      </c>
      <c r="D69">
        <f t="shared" si="7"/>
        <v>1.695858426929471</v>
      </c>
      <c r="E69">
        <f>(B69-MAX(B$2:B69))/MAX(B$2:B69)</f>
        <v>-0.13716253274876339</v>
      </c>
      <c r="F69">
        <f t="shared" si="6"/>
        <v>0</v>
      </c>
    </row>
    <row r="70" spans="1:6" x14ac:dyDescent="0.4">
      <c r="A70" s="6">
        <v>44929</v>
      </c>
      <c r="B70" s="11">
        <v>334.7906494140625</v>
      </c>
      <c r="C70">
        <f t="shared" si="5"/>
        <v>-6.3016540928328452E-2</v>
      </c>
      <c r="D70">
        <f t="shared" si="7"/>
        <v>1.5889912949602194</v>
      </c>
      <c r="E70">
        <f>(B70-MAX(B$2:B70))/MAX(B$2:B70)</f>
        <v>-0.18985779188501944</v>
      </c>
      <c r="F70">
        <f t="shared" si="6"/>
        <v>-6.3016540928328452E-2</v>
      </c>
    </row>
    <row r="71" spans="1:6" x14ac:dyDescent="0.4">
      <c r="A71" s="6">
        <v>44958</v>
      </c>
      <c r="B71" s="11">
        <v>361.13470458984381</v>
      </c>
      <c r="C71">
        <f t="shared" si="5"/>
        <v>7.5745622286012934E-2</v>
      </c>
      <c r="D71">
        <f t="shared" si="7"/>
        <v>1.7093504294040387</v>
      </c>
      <c r="E71">
        <f>(B71-MAX(B$2:B71))/MAX(B$2:B71)</f>
        <v>-0.1261092043179442</v>
      </c>
      <c r="F71">
        <f t="shared" si="6"/>
        <v>0</v>
      </c>
    </row>
    <row r="72" spans="1:6" x14ac:dyDescent="0.4">
      <c r="A72" s="6">
        <v>44986</v>
      </c>
      <c r="B72" s="11">
        <v>347.02520751953119</v>
      </c>
      <c r="C72">
        <f t="shared" si="5"/>
        <v>-3.9853610183628319E-2</v>
      </c>
      <c r="D72">
        <f t="shared" si="7"/>
        <v>1.6412266437233525</v>
      </c>
      <c r="E72">
        <f>(B72-MAX(B$2:B72))/MAX(B$2:B72)</f>
        <v>-0.16025203098272853</v>
      </c>
      <c r="F72">
        <f t="shared" si="6"/>
        <v>-3.9853610183628319E-2</v>
      </c>
    </row>
    <row r="73" spans="1:6" x14ac:dyDescent="0.4">
      <c r="A73" s="6">
        <v>45019</v>
      </c>
      <c r="B73" s="11">
        <v>362.65045166015619</v>
      </c>
      <c r="C73">
        <f t="shared" si="5"/>
        <v>4.4042005795435754E-2</v>
      </c>
      <c r="D73">
        <f t="shared" si="7"/>
        <v>1.71350955707784</v>
      </c>
      <c r="E73">
        <f>(B73-MAX(B$2:B73))/MAX(B$2:B73)</f>
        <v>-0.12244132804769642</v>
      </c>
      <c r="F73">
        <f t="shared" si="6"/>
        <v>0</v>
      </c>
    </row>
    <row r="74" spans="1:6" x14ac:dyDescent="0.4">
      <c r="A74" s="6">
        <v>45047</v>
      </c>
      <c r="B74" s="11">
        <v>366.71334838867188</v>
      </c>
      <c r="C74">
        <f t="shared" si="5"/>
        <v>1.1141048549585381E-2</v>
      </c>
      <c r="D74">
        <f t="shared" si="7"/>
        <v>1.7325998502434226</v>
      </c>
      <c r="E74">
        <f>(B74-MAX(B$2:B74))/MAX(B$2:B74)</f>
        <v>-0.11260973886578968</v>
      </c>
      <c r="F74">
        <f t="shared" si="6"/>
        <v>0</v>
      </c>
    </row>
    <row r="75" spans="1:6" x14ac:dyDescent="0.4">
      <c r="A75" s="6">
        <v>45078</v>
      </c>
      <c r="B75" s="11">
        <v>372.26513671875</v>
      </c>
      <c r="C75">
        <f t="shared" si="5"/>
        <v>1.5025857712514957E-2</v>
      </c>
      <c r="D75">
        <f t="shared" si="7"/>
        <v>1.7586336490659047</v>
      </c>
      <c r="E75">
        <f>(B75-MAX(B$2:B75))/MAX(B$2:B75)</f>
        <v>-9.9175259543896319E-2</v>
      </c>
      <c r="F75">
        <f t="shared" si="6"/>
        <v>0</v>
      </c>
    </row>
    <row r="76" spans="1:6" x14ac:dyDescent="0.4">
      <c r="A76" s="6">
        <v>45110</v>
      </c>
      <c r="B76" s="11">
        <v>393.48648071289063</v>
      </c>
      <c r="C76">
        <f t="shared" si="5"/>
        <v>5.5440377241739489E-2</v>
      </c>
      <c r="D76">
        <f t="shared" si="7"/>
        <v>1.8561329620001354</v>
      </c>
      <c r="E76">
        <f>(B76-MAX(B$2:B76))/MAX(B$2:B76)</f>
        <v>-4.7822850172039702E-2</v>
      </c>
      <c r="F76">
        <f t="shared" si="6"/>
        <v>0</v>
      </c>
    </row>
    <row r="77" spans="1:6" x14ac:dyDescent="0.4">
      <c r="A77" s="6">
        <v>45139</v>
      </c>
      <c r="B77" s="11">
        <v>404.4022216796875</v>
      </c>
      <c r="C77">
        <f t="shared" si="5"/>
        <v>2.7363270142817822E-2</v>
      </c>
      <c r="D77">
        <f t="shared" si="7"/>
        <v>1.906922829660334</v>
      </c>
      <c r="E77">
        <f>(B77-MAX(B$2:B77))/MAX(B$2:B77)</f>
        <v>-2.1408425200705603E-2</v>
      </c>
      <c r="F77">
        <f t="shared" si="6"/>
        <v>0</v>
      </c>
    </row>
    <row r="78" spans="1:6" x14ac:dyDescent="0.4">
      <c r="A78" s="6">
        <v>45170</v>
      </c>
      <c r="B78" s="11">
        <v>399.89898681640619</v>
      </c>
      <c r="C78">
        <f t="shared" si="5"/>
        <v>-1.1197998641818366E-2</v>
      </c>
      <c r="D78">
        <f t="shared" si="7"/>
        <v>1.8855691104037451</v>
      </c>
      <c r="E78">
        <f>(B78-MAX(B$2:B78))/MAX(B$2:B78)</f>
        <v>-3.230556537527178E-2</v>
      </c>
      <c r="F78">
        <f t="shared" si="6"/>
        <v>-1.1197998641818366E-2</v>
      </c>
    </row>
    <row r="79" spans="1:6" x14ac:dyDescent="0.4">
      <c r="A79" s="6">
        <v>45201</v>
      </c>
      <c r="B79" s="11">
        <v>380.0906982421875</v>
      </c>
      <c r="C79">
        <f t="shared" si="5"/>
        <v>-5.0802078431485688E-2</v>
      </c>
      <c r="D79">
        <f t="shared" si="7"/>
        <v>1.7897782805690274</v>
      </c>
      <c r="E79">
        <f>(B79-MAX(B$2:B79))/MAX(B$2:B79)</f>
        <v>-8.0238596577254365E-2</v>
      </c>
      <c r="F79">
        <f t="shared" si="6"/>
        <v>-5.0802078431485688E-2</v>
      </c>
    </row>
    <row r="80" spans="1:6" x14ac:dyDescent="0.4">
      <c r="A80" s="6">
        <v>45231</v>
      </c>
      <c r="B80" s="11">
        <v>375.95742797851563</v>
      </c>
      <c r="C80">
        <f t="shared" si="5"/>
        <v>-1.093399030745492E-2</v>
      </c>
      <c r="D80">
        <f t="shared" si="7"/>
        <v>1.7702088621967924</v>
      </c>
      <c r="E80">
        <f>(B80-MAX(B$2:B80))/MAX(B$2:B80)</f>
        <v>-9.024047895959568E-2</v>
      </c>
      <c r="F80">
        <f t="shared" si="6"/>
        <v>-1.093399030745492E-2</v>
      </c>
    </row>
    <row r="81" spans="1:6" x14ac:dyDescent="0.4">
      <c r="A81" s="6">
        <v>45261</v>
      </c>
      <c r="B81" s="11">
        <v>408.34548950195313</v>
      </c>
      <c r="C81">
        <f t="shared" si="5"/>
        <v>8.2637690558218665E-2</v>
      </c>
      <c r="D81">
        <f t="shared" si="7"/>
        <v>1.9164948343744272</v>
      </c>
      <c r="E81">
        <f>(B81-MAX(B$2:B81))/MAX(B$2:B81)</f>
        <v>-1.1866319689962988E-2</v>
      </c>
      <c r="F81">
        <f t="shared" si="6"/>
        <v>0</v>
      </c>
    </row>
    <row r="82" spans="1:6" x14ac:dyDescent="0.4">
      <c r="A82" s="6">
        <v>45293</v>
      </c>
      <c r="B82" s="11">
        <v>421.84017944335938</v>
      </c>
      <c r="C82">
        <f t="shared" si="5"/>
        <v>3.2512916528178462E-2</v>
      </c>
      <c r="D82">
        <f t="shared" si="7"/>
        <v>1.9788056709511284</v>
      </c>
      <c r="E82">
        <f>(B82-MAX(B$2:B82))/MAX(B$2:B82)</f>
        <v>0</v>
      </c>
      <c r="F82">
        <f t="shared" si="6"/>
        <v>0</v>
      </c>
    </row>
    <row r="83" spans="1:6" x14ac:dyDescent="0.4">
      <c r="A83" s="6">
        <v>45323</v>
      </c>
      <c r="B83" s="11">
        <v>437.05133056640619</v>
      </c>
      <c r="C83">
        <f t="shared" si="5"/>
        <v>3.5424128843277933E-2</v>
      </c>
      <c r="D83">
        <f t="shared" si="7"/>
        <v>2.04890313799471</v>
      </c>
      <c r="E83">
        <f>(B83-MAX(B$2:B83))/MAX(B$2:B83)</f>
        <v>0</v>
      </c>
      <c r="F83">
        <f t="shared" si="6"/>
        <v>0</v>
      </c>
    </row>
    <row r="84" spans="1:6" x14ac:dyDescent="0.4">
      <c r="A84" s="6">
        <v>45352</v>
      </c>
      <c r="B84" s="11">
        <v>458.21084594726563</v>
      </c>
      <c r="C84">
        <f t="shared" si="5"/>
        <v>4.7278791062317409E-2</v>
      </c>
      <c r="D84">
        <f t="shared" si="7"/>
        <v>2.1457728013628885</v>
      </c>
      <c r="E84">
        <f>(B84-MAX(B$2:B84))/MAX(B$2:B84)</f>
        <v>0</v>
      </c>
      <c r="F84">
        <f t="shared" si="6"/>
        <v>0</v>
      </c>
    </row>
    <row r="85" spans="1:6" x14ac:dyDescent="0.4">
      <c r="A85" s="6">
        <v>45383</v>
      </c>
      <c r="B85" s="11">
        <v>468.109130859375</v>
      </c>
      <c r="C85">
        <f t="shared" si="5"/>
        <v>2.1372013820833893E-2</v>
      </c>
      <c r="D85">
        <f t="shared" si="7"/>
        <v>2.1916322873299858</v>
      </c>
      <c r="E85">
        <f>(B85-MAX(B$2:B85))/MAX(B$2:B85)</f>
        <v>0</v>
      </c>
      <c r="F85">
        <f t="shared" si="6"/>
        <v>0</v>
      </c>
    </row>
    <row r="86" spans="1:6" x14ac:dyDescent="0.4">
      <c r="A86" s="6">
        <v>45413</v>
      </c>
      <c r="B86" s="11">
        <v>448.47091674804688</v>
      </c>
      <c r="C86">
        <f t="shared" si="5"/>
        <v>-4.285762053556972E-2</v>
      </c>
      <c r="D86">
        <f t="shared" si="7"/>
        <v>2.0977041424060947</v>
      </c>
      <c r="E86">
        <f>(B86-MAX(B$2:B86))/MAX(B$2:B86)</f>
        <v>-4.1952213312471481E-2</v>
      </c>
      <c r="F86">
        <f t="shared" si="6"/>
        <v>-4.285762053556972E-2</v>
      </c>
    </row>
    <row r="87" spans="1:6" x14ac:dyDescent="0.4">
      <c r="A87" s="6">
        <v>45446</v>
      </c>
      <c r="B87" s="11">
        <v>473.06253051757813</v>
      </c>
      <c r="C87">
        <f t="shared" si="5"/>
        <v>5.3383745784555986E-2</v>
      </c>
      <c r="D87">
        <f t="shared" si="7"/>
        <v>2.2096874470755119</v>
      </c>
      <c r="E87">
        <f>(B87-MAX(B$2:B87))/MAX(B$2:B87)</f>
        <v>0</v>
      </c>
      <c r="F87">
        <f t="shared" si="6"/>
        <v>0</v>
      </c>
    </row>
    <row r="88" spans="1:6" x14ac:dyDescent="0.4">
      <c r="A88" s="6">
        <v>45474</v>
      </c>
      <c r="B88" s="11">
        <v>490.52749633789063</v>
      </c>
      <c r="C88">
        <f t="shared" si="5"/>
        <v>3.6253755627664266E-2</v>
      </c>
      <c r="D88">
        <f t="shared" si="7"/>
        <v>2.2897969157953049</v>
      </c>
      <c r="E88">
        <f>(B88-MAX(B$2:B88))/MAX(B$2:B88)</f>
        <v>0</v>
      </c>
      <c r="F88">
        <f t="shared" si="6"/>
        <v>0</v>
      </c>
    </row>
    <row r="89" spans="1:6" x14ac:dyDescent="0.4">
      <c r="A89" s="6">
        <v>45505</v>
      </c>
      <c r="B89" s="11">
        <v>488.3258056640625</v>
      </c>
      <c r="C89">
        <f t="shared" si="5"/>
        <v>-4.4985175658691029E-3</v>
      </c>
      <c r="D89">
        <f t="shared" si="7"/>
        <v>2.2794962241473269</v>
      </c>
      <c r="E89">
        <f>(B89-MAX(B$2:B89))/MAX(B$2:B89)</f>
        <v>-4.4884143911711159E-3</v>
      </c>
      <c r="F89">
        <f t="shared" si="6"/>
        <v>-4.4985175658691029E-3</v>
      </c>
    </row>
    <row r="90" spans="1:6" x14ac:dyDescent="0.4">
      <c r="A90" s="6">
        <v>45538</v>
      </c>
      <c r="B90" s="11">
        <v>496.67279052734381</v>
      </c>
      <c r="C90">
        <f t="shared" si="5"/>
        <v>1.6948622474361113E-2</v>
      </c>
      <c r="D90">
        <f t="shared" si="7"/>
        <v>2.3181305450821315</v>
      </c>
      <c r="E90">
        <f>(B90-MAX(B$2:B90))/MAX(B$2:B90)</f>
        <v>0</v>
      </c>
      <c r="F90">
        <f t="shared" si="6"/>
        <v>0</v>
      </c>
    </row>
    <row r="91" spans="1:6" x14ac:dyDescent="0.4">
      <c r="A91" s="6">
        <v>45566</v>
      </c>
      <c r="B91" s="11">
        <v>513.120849609375</v>
      </c>
      <c r="C91">
        <f t="shared" si="5"/>
        <v>3.257995159857615E-2</v>
      </c>
      <c r="D91">
        <f t="shared" si="7"/>
        <v>2.393655126040088</v>
      </c>
      <c r="E91">
        <f>(B91-MAX(B$2:B91))/MAX(B$2:B91)</f>
        <v>0</v>
      </c>
      <c r="F91">
        <f t="shared" si="6"/>
        <v>0</v>
      </c>
    </row>
    <row r="92" spans="1:6" x14ac:dyDescent="0.4">
      <c r="A92" s="6">
        <v>45597</v>
      </c>
      <c r="B92" s="11">
        <v>515.28045654296875</v>
      </c>
      <c r="C92">
        <f t="shared" si="5"/>
        <v>4.1999365329456221E-3</v>
      </c>
      <c r="D92">
        <f t="shared" si="7"/>
        <v>2.4037083256512166</v>
      </c>
      <c r="E92">
        <f>(B92-MAX(B$2:B92))/MAX(B$2:B92)</f>
        <v>0</v>
      </c>
      <c r="F92">
        <f t="shared" si="6"/>
        <v>0</v>
      </c>
    </row>
    <row r="93" spans="1:6" x14ac:dyDescent="0.4">
      <c r="A93" s="6">
        <v>45628</v>
      </c>
      <c r="B93" s="11">
        <v>544.79718017578125</v>
      </c>
      <c r="C93">
        <f t="shared" si="5"/>
        <v>5.5702250685376348E-2</v>
      </c>
      <c r="D93">
        <f t="shared" si="7"/>
        <v>2.5376002893811669</v>
      </c>
      <c r="E93">
        <f>(B93-MAX(B$2:B93))/MAX(B$2:B93)</f>
        <v>0</v>
      </c>
      <c r="F93">
        <f t="shared" si="6"/>
        <v>0</v>
      </c>
    </row>
    <row r="94" spans="1:6" x14ac:dyDescent="0.4">
      <c r="A94" s="6">
        <v>45659</v>
      </c>
      <c r="B94" s="11">
        <v>529.2586669921875</v>
      </c>
      <c r="C94">
        <f t="shared" si="5"/>
        <v>-2.893629306319969E-2</v>
      </c>
      <c r="D94">
        <f t="shared" si="7"/>
        <v>2.4641715437303731</v>
      </c>
      <c r="E94">
        <f>(B94-MAX(B$2:B94))/MAX(B$2:B94)</f>
        <v>-2.8521647594762108E-2</v>
      </c>
      <c r="F94">
        <f t="shared" si="6"/>
        <v>-2.893629306319969E-2</v>
      </c>
    </row>
    <row r="95" spans="1:6" x14ac:dyDescent="0.4">
      <c r="A95" s="6">
        <v>45691</v>
      </c>
      <c r="B95" s="11">
        <v>541.3118896484375</v>
      </c>
      <c r="C95">
        <f t="shared" si="5"/>
        <v>2.2518332680598531E-2</v>
      </c>
      <c r="D95">
        <f t="shared" si="7"/>
        <v>2.5196605783341575</v>
      </c>
      <c r="E95">
        <f>(B95-MAX(B$2:B95))/MAX(B$2:B95)</f>
        <v>-6.3974092637909862E-3</v>
      </c>
      <c r="F95">
        <f t="shared" si="6"/>
        <v>0</v>
      </c>
    </row>
    <row r="96" spans="1:6" x14ac:dyDescent="0.4">
      <c r="A96" s="6">
        <v>45719</v>
      </c>
      <c r="B96" s="11">
        <v>528.7269287109375</v>
      </c>
      <c r="C96">
        <f t="shared" si="5"/>
        <v>-2.352352278560986E-2</v>
      </c>
      <c r="D96">
        <f t="shared" si="7"/>
        <v>2.4603892853077109</v>
      </c>
      <c r="E96">
        <f>(B96-MAX(B$2:B96))/MAX(B$2:B96)</f>
        <v>-2.9497677391903187E-2</v>
      </c>
      <c r="F96">
        <f t="shared" si="6"/>
        <v>-2.352352278560986E-2</v>
      </c>
    </row>
    <row r="97" spans="1:6" x14ac:dyDescent="0.4">
      <c r="A97" s="6">
        <v>45748</v>
      </c>
      <c r="B97" s="11">
        <v>509.69012451171881</v>
      </c>
      <c r="C97">
        <f t="shared" si="5"/>
        <v>-3.6669153706228814E-2</v>
      </c>
      <c r="D97">
        <f t="shared" si="7"/>
        <v>2.3701688924276039</v>
      </c>
      <c r="E97">
        <f>(B97-MAX(B$2:B97))/MAX(B$2:B97)</f>
        <v>-6.4440597237920713E-2</v>
      </c>
      <c r="F97">
        <f t="shared" si="6"/>
        <v>-3.6669153706228814E-2</v>
      </c>
    </row>
    <row r="98" spans="1:6" x14ac:dyDescent="0.4">
      <c r="A98" s="6">
        <v>45778</v>
      </c>
      <c r="B98" s="11">
        <v>507.26919555664063</v>
      </c>
      <c r="C98">
        <f t="shared" ref="C98:C109" si="8">LN(B98/B97)</f>
        <v>-4.7611216702451564E-3</v>
      </c>
      <c r="D98">
        <f t="shared" si="7"/>
        <v>2.3588842299517259</v>
      </c>
      <c r="E98">
        <f>(B98-MAX(B$2:B98))/MAX(B$2:B98)</f>
        <v>-6.8884322431757183E-2</v>
      </c>
      <c r="F98">
        <f t="shared" ref="F98:F109" si="9">IF(C98 &lt; 0, C98, 0)</f>
        <v>-4.7611216702451564E-3</v>
      </c>
    </row>
    <row r="99" spans="1:6" x14ac:dyDescent="0.4">
      <c r="A99" s="6">
        <v>45810</v>
      </c>
      <c r="B99" s="11">
        <v>538.45526123046875</v>
      </c>
      <c r="C99">
        <f t="shared" si="8"/>
        <v>5.9662592404696575E-2</v>
      </c>
      <c r="D99">
        <f t="shared" si="7"/>
        <v>2.499621378293202</v>
      </c>
      <c r="E99">
        <f>(B99-MAX(B$2:B99))/MAX(B$2:B99)</f>
        <v>-1.1640880636104342E-2</v>
      </c>
      <c r="F99">
        <f t="shared" si="9"/>
        <v>0</v>
      </c>
    </row>
    <row r="100" spans="1:6" x14ac:dyDescent="0.4">
      <c r="A100" s="6">
        <v>45839</v>
      </c>
      <c r="B100" s="11">
        <v>562.77679443359375</v>
      </c>
      <c r="C100">
        <f t="shared" si="8"/>
        <v>4.417867924734778E-2</v>
      </c>
      <c r="D100">
        <f t="shared" si="7"/>
        <v>2.6100513494046305</v>
      </c>
      <c r="E100">
        <f>(B100-MAX(B$2:B100))/MAX(B$2:B100)</f>
        <v>0</v>
      </c>
      <c r="F100">
        <f t="shared" si="9"/>
        <v>0</v>
      </c>
    </row>
    <row r="101" spans="1:6" x14ac:dyDescent="0.4">
      <c r="A101" s="6">
        <v>45870</v>
      </c>
      <c r="B101" s="11">
        <v>566.42437744140625</v>
      </c>
      <c r="C101">
        <f t="shared" si="8"/>
        <v>6.4604886809006782E-3</v>
      </c>
      <c r="D101">
        <f t="shared" si="7"/>
        <v>2.6269135566040287</v>
      </c>
      <c r="E101">
        <f>(B101-MAX(B$2:B101))/MAX(B$2:B101)</f>
        <v>0</v>
      </c>
      <c r="F101">
        <f t="shared" si="9"/>
        <v>0</v>
      </c>
    </row>
    <row r="102" spans="1:6" x14ac:dyDescent="0.4">
      <c r="A102" s="6">
        <v>45902</v>
      </c>
      <c r="B102" s="11">
        <v>583.53253173828125</v>
      </c>
      <c r="C102">
        <f t="shared" si="8"/>
        <v>2.9756622215951302E-2</v>
      </c>
      <c r="D102">
        <f t="shared" si="7"/>
        <v>2.7050816309018559</v>
      </c>
      <c r="E102">
        <f>(B102-MAX(B$2:B102))/MAX(B$2:B102)</f>
        <v>0</v>
      </c>
      <c r="F102">
        <f t="shared" si="9"/>
        <v>0</v>
      </c>
    </row>
    <row r="103" spans="1:6" x14ac:dyDescent="0.4">
      <c r="A103" s="6">
        <v>45931</v>
      </c>
      <c r="B103" s="11">
        <v>610.90728759765625</v>
      </c>
      <c r="C103">
        <f t="shared" si="8"/>
        <v>4.584500592807534E-2</v>
      </c>
      <c r="D103">
        <f t="shared" si="7"/>
        <v>2.8290961143064792</v>
      </c>
      <c r="E103">
        <f>(B103-MAX(B$2:B103))/MAX(B$2:B103)</f>
        <v>0</v>
      </c>
      <c r="F103">
        <f t="shared" si="9"/>
        <v>0</v>
      </c>
    </row>
    <row r="104" spans="1:6" x14ac:dyDescent="0.4">
      <c r="A104" s="6">
        <v>45964</v>
      </c>
      <c r="B104" s="11">
        <v>624.52569580078125</v>
      </c>
      <c r="C104">
        <f t="shared" si="8"/>
        <v>2.2047266051965969E-2</v>
      </c>
      <c r="D104">
        <f t="shared" si="7"/>
        <v>2.8914699490251774</v>
      </c>
      <c r="E104">
        <f>(B104-MAX(B$2:B104))/MAX(B$2:B104)</f>
        <v>0</v>
      </c>
      <c r="F104">
        <f t="shared" si="9"/>
        <v>0</v>
      </c>
    </row>
    <row r="105" spans="1:6" x14ac:dyDescent="0.4">
      <c r="A105" s="6">
        <v>45992</v>
      </c>
      <c r="B105" s="11">
        <v>621.79205322265625</v>
      </c>
      <c r="C105">
        <f t="shared" si="8"/>
        <v>-4.3867576531517244E-3</v>
      </c>
      <c r="D105">
        <f t="shared" si="7"/>
        <v>2.8787857710974327</v>
      </c>
      <c r="E105">
        <f>(B105-MAX(B$2:B105))/MAX(B$2:B105)</f>
        <v>-4.3771498859143986E-3</v>
      </c>
      <c r="F105">
        <f t="shared" si="9"/>
        <v>-4.3867576531517244E-3</v>
      </c>
    </row>
    <row r="106" spans="1:6" x14ac:dyDescent="0.4">
      <c r="A106" s="6">
        <v>46024</v>
      </c>
      <c r="B106" s="11">
        <v>626.32293701171875</v>
      </c>
      <c r="C106">
        <f t="shared" si="8"/>
        <v>7.2603946393732573E-3</v>
      </c>
      <c r="D106">
        <f t="shared" si="7"/>
        <v>2.8996868918778125</v>
      </c>
      <c r="E106">
        <f>(B106-MAX(B$2:B106))/MAX(B$2:B106)</f>
        <v>0</v>
      </c>
      <c r="F106">
        <f t="shared" si="9"/>
        <v>0</v>
      </c>
    </row>
    <row r="107" spans="1:6" x14ac:dyDescent="0.4">
      <c r="A107" s="6">
        <v>46055</v>
      </c>
      <c r="B107" s="11">
        <v>637.6671142578125</v>
      </c>
      <c r="C107">
        <f t="shared" si="8"/>
        <v>1.795027078856562E-2</v>
      </c>
      <c r="D107">
        <f t="shared" si="7"/>
        <v>2.9517370567890735</v>
      </c>
      <c r="E107">
        <f>(B107-MAX(B$2:B107))/MAX(B$2:B107)</f>
        <v>0</v>
      </c>
      <c r="F107">
        <f t="shared" si="9"/>
        <v>0</v>
      </c>
    </row>
    <row r="108" spans="1:6" x14ac:dyDescent="0.4">
      <c r="A108" s="6">
        <v>46083</v>
      </c>
      <c r="B108" s="11">
        <v>629.29364013671875</v>
      </c>
      <c r="C108">
        <f t="shared" si="8"/>
        <v>-1.321839846057528E-2</v>
      </c>
      <c r="D108">
        <f t="shared" si="7"/>
        <v>2.9127198202215898</v>
      </c>
      <c r="E108">
        <f>(B108-MAX(B$2:B108))/MAX(B$2:B108)</f>
        <v>-1.3131419096058803E-2</v>
      </c>
      <c r="F108">
        <f t="shared" si="9"/>
        <v>-1.321839846057528E-2</v>
      </c>
    </row>
    <row r="109" spans="1:6" x14ac:dyDescent="0.4">
      <c r="A109" s="6">
        <v>46113</v>
      </c>
      <c r="B109" s="11">
        <v>602.29998779296875</v>
      </c>
      <c r="C109">
        <f t="shared" si="8"/>
        <v>-4.3842344449256464E-2</v>
      </c>
      <c r="D109">
        <f t="shared" si="7"/>
        <v>2.7850193545792585</v>
      </c>
      <c r="E109">
        <f>(B109-MAX(B$2:B109))/MAX(B$2:B109)</f>
        <v>-5.5463306283260232E-2</v>
      </c>
      <c r="F109">
        <f t="shared" si="9"/>
        <v>-4.3842344449256464E-2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BFBB-8E7A-4C7A-98AC-45338D677EB7}">
  <dimension ref="A1:F109"/>
  <sheetViews>
    <sheetView workbookViewId="0">
      <selection activeCell="F115" sqref="F115"/>
    </sheetView>
  </sheetViews>
  <sheetFormatPr defaultRowHeight="17" x14ac:dyDescent="0.4"/>
  <cols>
    <col min="1" max="1" width="13.7265625" style="6" bestFit="1" customWidth="1"/>
    <col min="2" max="2" width="8.08984375" bestFit="1" customWidth="1"/>
    <col min="5" max="5" width="13.26953125" bestFit="1" customWidth="1"/>
  </cols>
  <sheetData>
    <row r="1" spans="1:6" x14ac:dyDescent="0.4">
      <c r="A1" s="6" t="s">
        <v>40</v>
      </c>
      <c r="B1" t="s">
        <v>41</v>
      </c>
      <c r="C1" t="s">
        <v>18</v>
      </c>
      <c r="D1" t="s">
        <v>25</v>
      </c>
      <c r="E1" t="s">
        <v>27</v>
      </c>
      <c r="F1" t="s">
        <v>31</v>
      </c>
    </row>
    <row r="2" spans="1:6" x14ac:dyDescent="0.4">
      <c r="A2" s="6">
        <v>42857</v>
      </c>
      <c r="B2" s="11">
        <v>18.306339263916019</v>
      </c>
      <c r="D2">
        <v>1</v>
      </c>
      <c r="E2">
        <v>0</v>
      </c>
      <c r="F2">
        <f t="shared" ref="F2:F33" si="0">IF(C2 &lt; 0, C2, 0)</f>
        <v>0</v>
      </c>
    </row>
    <row r="3" spans="1:6" x14ac:dyDescent="0.4">
      <c r="A3" s="6">
        <v>42887</v>
      </c>
      <c r="B3" s="11">
        <v>19.192136764526371</v>
      </c>
      <c r="C3">
        <f t="shared" ref="C3:C33" si="1">LN(B3/B2)</f>
        <v>4.725324390734837E-2</v>
      </c>
      <c r="D3">
        <f t="shared" ref="D3:D33" si="2">D2*(1+C3)</f>
        <v>1.0472532439073483</v>
      </c>
      <c r="E3">
        <f>(B3-MAX(B$2:B3))/MAX(B$2:B3)</f>
        <v>0</v>
      </c>
      <c r="F3">
        <f t="shared" si="0"/>
        <v>0</v>
      </c>
    </row>
    <row r="4" spans="1:6" x14ac:dyDescent="0.4">
      <c r="A4" s="6">
        <v>42919</v>
      </c>
      <c r="B4" s="11">
        <v>19.376674652099609</v>
      </c>
      <c r="C4">
        <f t="shared" si="1"/>
        <v>9.5693535273562585E-3</v>
      </c>
      <c r="D4">
        <f t="shared" si="2"/>
        <v>1.0572747804309683</v>
      </c>
      <c r="E4">
        <f>(B4-MAX(B$2:B4))/MAX(B$2:B4)</f>
        <v>0</v>
      </c>
      <c r="F4">
        <f t="shared" si="0"/>
        <v>0</v>
      </c>
    </row>
    <row r="5" spans="1:6" x14ac:dyDescent="0.4">
      <c r="A5" s="6">
        <v>42948</v>
      </c>
      <c r="B5" s="11">
        <v>20.816085815429691</v>
      </c>
      <c r="C5">
        <f t="shared" si="1"/>
        <v>7.1656039171264077E-2</v>
      </c>
      <c r="D5">
        <f t="shared" si="2"/>
        <v>1.1330349035123195</v>
      </c>
      <c r="E5">
        <f>(B5-MAX(B$2:B5))/MAX(B$2:B5)</f>
        <v>0</v>
      </c>
      <c r="F5">
        <f t="shared" si="0"/>
        <v>0</v>
      </c>
    </row>
    <row r="6" spans="1:6" x14ac:dyDescent="0.4">
      <c r="A6" s="6">
        <v>42979</v>
      </c>
      <c r="B6" s="11">
        <v>21.22207069396973</v>
      </c>
      <c r="C6">
        <f t="shared" si="1"/>
        <v>1.9315666277939663E-2</v>
      </c>
      <c r="D6">
        <f t="shared" si="2"/>
        <v>1.1549202275898212</v>
      </c>
      <c r="E6">
        <f>(B6-MAX(B$2:B6))/MAX(B$2:B6)</f>
        <v>0</v>
      </c>
      <c r="F6">
        <f t="shared" si="0"/>
        <v>0</v>
      </c>
    </row>
    <row r="7" spans="1:6" x14ac:dyDescent="0.4">
      <c r="A7" s="6">
        <v>43011</v>
      </c>
      <c r="B7" s="11">
        <v>21.44351959228516</v>
      </c>
      <c r="C7">
        <f t="shared" si="1"/>
        <v>1.0380772207540424E-2</v>
      </c>
      <c r="D7">
        <f t="shared" si="2"/>
        <v>1.1669091913903118</v>
      </c>
      <c r="E7">
        <f>(B7-MAX(B$2:B7))/MAX(B$2:B7)</f>
        <v>0</v>
      </c>
      <c r="F7">
        <f t="shared" si="0"/>
        <v>0</v>
      </c>
    </row>
    <row r="8" spans="1:6" x14ac:dyDescent="0.4">
      <c r="A8" s="6">
        <v>43040</v>
      </c>
      <c r="B8" s="11">
        <v>21.80247688293457</v>
      </c>
      <c r="C8">
        <f t="shared" si="1"/>
        <v>1.6601099006453877E-2</v>
      </c>
      <c r="D8">
        <f t="shared" si="2"/>
        <v>1.1862811664081232</v>
      </c>
      <c r="E8">
        <f>(B8-MAX(B$2:B8))/MAX(B$2:B8)</f>
        <v>0</v>
      </c>
      <c r="F8">
        <f t="shared" si="0"/>
        <v>0</v>
      </c>
    </row>
    <row r="9" spans="1:6" x14ac:dyDescent="0.4">
      <c r="A9" s="6">
        <v>43070</v>
      </c>
      <c r="B9" s="11">
        <v>22.21956825256348</v>
      </c>
      <c r="C9">
        <f t="shared" si="1"/>
        <v>1.8949771620817207E-2</v>
      </c>
      <c r="D9">
        <f t="shared" si="2"/>
        <v>1.2087609235896337</v>
      </c>
      <c r="E9">
        <f>(B9-MAX(B$2:B9))/MAX(B$2:B9)</f>
        <v>0</v>
      </c>
      <c r="F9">
        <f t="shared" si="0"/>
        <v>0</v>
      </c>
    </row>
    <row r="10" spans="1:6" x14ac:dyDescent="0.4">
      <c r="A10" s="6">
        <v>43102</v>
      </c>
      <c r="B10" s="11">
        <v>23.24333572387695</v>
      </c>
      <c r="C10">
        <f t="shared" si="1"/>
        <v>4.5045101968368681E-2</v>
      </c>
      <c r="D10">
        <f t="shared" si="2"/>
        <v>1.2632096826481083</v>
      </c>
      <c r="E10">
        <f>(B10-MAX(B$2:B10))/MAX(B$2:B10)</f>
        <v>0</v>
      </c>
      <c r="F10">
        <f t="shared" si="0"/>
        <v>0</v>
      </c>
    </row>
    <row r="11" spans="1:6" x14ac:dyDescent="0.4">
      <c r="A11" s="6">
        <v>43132</v>
      </c>
      <c r="B11" s="11">
        <v>24.911701202392582</v>
      </c>
      <c r="C11">
        <f t="shared" si="1"/>
        <v>6.9319165482725403E-2</v>
      </c>
      <c r="D11">
        <f t="shared" si="2"/>
        <v>1.3507743236789735</v>
      </c>
      <c r="E11">
        <f>(B11-MAX(B$2:B11))/MAX(B$2:B11)</f>
        <v>0</v>
      </c>
      <c r="F11">
        <f t="shared" si="0"/>
        <v>0</v>
      </c>
    </row>
    <row r="12" spans="1:6" x14ac:dyDescent="0.4">
      <c r="A12" s="6">
        <v>43160</v>
      </c>
      <c r="B12" s="11">
        <v>23.736263275146481</v>
      </c>
      <c r="C12">
        <f t="shared" si="1"/>
        <v>-4.8333646161439342E-2</v>
      </c>
      <c r="D12">
        <f t="shared" si="2"/>
        <v>1.2854864754743165</v>
      </c>
      <c r="E12">
        <f>(B12-MAX(B$2:B12))/MAX(B$2:B12)</f>
        <v>-4.7184169306478708E-2</v>
      </c>
      <c r="F12">
        <f t="shared" si="0"/>
        <v>-4.8333646161439342E-2</v>
      </c>
    </row>
    <row r="13" spans="1:6" x14ac:dyDescent="0.4">
      <c r="A13" s="6">
        <v>43193</v>
      </c>
      <c r="B13" s="11">
        <v>23.16750335693359</v>
      </c>
      <c r="C13">
        <f t="shared" si="1"/>
        <v>-2.4253395357566283E-2</v>
      </c>
      <c r="D13">
        <f t="shared" si="2"/>
        <v>1.2543090637578334</v>
      </c>
      <c r="E13">
        <f>(B13-MAX(B$2:B13))/MAX(B$2:B13)</f>
        <v>-7.0015204151994012E-2</v>
      </c>
      <c r="F13">
        <f t="shared" si="0"/>
        <v>-2.4253395357566283E-2</v>
      </c>
    </row>
    <row r="14" spans="1:6" x14ac:dyDescent="0.4">
      <c r="A14" s="6">
        <v>43222</v>
      </c>
      <c r="B14" s="11">
        <v>23.518999099731449</v>
      </c>
      <c r="C14">
        <f t="shared" si="1"/>
        <v>1.5057987464302638E-2</v>
      </c>
      <c r="D14">
        <f t="shared" si="2"/>
        <v>1.27319643391626</v>
      </c>
      <c r="E14">
        <f>(B14-MAX(B$2:B14))/MAX(B$2:B14)</f>
        <v>-5.5905539784146668E-2</v>
      </c>
      <c r="F14">
        <f t="shared" si="0"/>
        <v>0</v>
      </c>
    </row>
    <row r="15" spans="1:6" x14ac:dyDescent="0.4">
      <c r="A15" s="6">
        <v>43252</v>
      </c>
      <c r="B15" s="11">
        <v>23.595235824584961</v>
      </c>
      <c r="C15">
        <f t="shared" si="1"/>
        <v>3.2362529716839397E-3</v>
      </c>
      <c r="D15">
        <f t="shared" si="2"/>
        <v>1.2773168196590587</v>
      </c>
      <c r="E15">
        <f>(B15-MAX(B$2:B15))/MAX(B$2:B15)</f>
        <v>-5.2845262036186599E-2</v>
      </c>
      <c r="F15">
        <f t="shared" si="0"/>
        <v>0</v>
      </c>
    </row>
    <row r="16" spans="1:6" x14ac:dyDescent="0.4">
      <c r="A16" s="6">
        <v>43284</v>
      </c>
      <c r="B16" s="11">
        <v>22.184854507446289</v>
      </c>
      <c r="C16">
        <f t="shared" si="1"/>
        <v>-6.1634993153531464E-2</v>
      </c>
      <c r="D16">
        <f t="shared" si="2"/>
        <v>1.198589406224482</v>
      </c>
      <c r="E16">
        <f>(B16-MAX(B$2:B16))/MAX(B$2:B16)</f>
        <v>-0.10946047693781746</v>
      </c>
      <c r="F16">
        <f t="shared" si="0"/>
        <v>-6.1634993153531464E-2</v>
      </c>
    </row>
    <row r="17" spans="1:6" x14ac:dyDescent="0.4">
      <c r="A17" s="6">
        <v>43313</v>
      </c>
      <c r="B17" s="11">
        <v>22.10861778259277</v>
      </c>
      <c r="C17">
        <f t="shared" si="1"/>
        <v>-3.4423492309020309E-3</v>
      </c>
      <c r="D17">
        <f t="shared" si="2"/>
        <v>1.1944634429037977</v>
      </c>
      <c r="E17">
        <f>(B17-MAX(B$2:B17))/MAX(B$2:B17)</f>
        <v>-0.11252075468577781</v>
      </c>
      <c r="F17">
        <f t="shared" si="0"/>
        <v>-3.4423492309020309E-3</v>
      </c>
    </row>
    <row r="18" spans="1:6" x14ac:dyDescent="0.4">
      <c r="A18" s="6">
        <v>43346</v>
      </c>
      <c r="B18" s="11">
        <v>21.765554428100589</v>
      </c>
      <c r="C18">
        <f t="shared" si="1"/>
        <v>-1.5638829369522531E-2</v>
      </c>
      <c r="D18">
        <f t="shared" si="2"/>
        <v>1.1757834329320929</v>
      </c>
      <c r="E18">
        <f>(B18-MAX(B$2:B18))/MAX(B$2:B18)</f>
        <v>-0.12629192798723149</v>
      </c>
      <c r="F18">
        <f t="shared" si="0"/>
        <v>-1.5638829369522531E-2</v>
      </c>
    </row>
    <row r="19" spans="1:6" x14ac:dyDescent="0.4">
      <c r="A19" s="6">
        <v>43375</v>
      </c>
      <c r="B19" s="11">
        <v>21.346254348754879</v>
      </c>
      <c r="C19">
        <f t="shared" si="1"/>
        <v>-1.9452364115298534E-2</v>
      </c>
      <c r="D19">
        <f t="shared" si="2"/>
        <v>1.1529116654739622</v>
      </c>
      <c r="E19">
        <f>(B19-MAX(B$2:B19))/MAX(B$2:B19)</f>
        <v>-0.14312337903664596</v>
      </c>
      <c r="F19">
        <f t="shared" si="0"/>
        <v>-1.9452364115298534E-2</v>
      </c>
    </row>
    <row r="20" spans="1:6" x14ac:dyDescent="0.4">
      <c r="A20" s="6">
        <v>43405</v>
      </c>
      <c r="B20" s="11">
        <v>20.059356689453121</v>
      </c>
      <c r="C20">
        <f t="shared" si="1"/>
        <v>-6.2180571243654968E-2</v>
      </c>
      <c r="D20">
        <f t="shared" si="2"/>
        <v>1.0812229595213176</v>
      </c>
      <c r="E20">
        <f>(B20-MAX(B$2:B20))/MAX(B$2:B20)</f>
        <v>-0.19478174025599782</v>
      </c>
      <c r="F20">
        <f t="shared" si="0"/>
        <v>-6.2180571243654968E-2</v>
      </c>
    </row>
    <row r="21" spans="1:6" x14ac:dyDescent="0.4">
      <c r="A21" s="6">
        <v>43437</v>
      </c>
      <c r="B21" s="11">
        <v>21.553976058959961</v>
      </c>
      <c r="C21">
        <f t="shared" si="1"/>
        <v>7.1864590726888042E-2</v>
      </c>
      <c r="D21">
        <f t="shared" si="2"/>
        <v>1.1589246049918318</v>
      </c>
      <c r="E21">
        <f>(B21-MAX(B$2:B21))/MAX(B$2:B21)</f>
        <v>-0.13478506008694968</v>
      </c>
      <c r="F21">
        <f t="shared" si="0"/>
        <v>0</v>
      </c>
    </row>
    <row r="22" spans="1:6" x14ac:dyDescent="0.4">
      <c r="A22" s="6">
        <v>43467</v>
      </c>
      <c r="B22" s="11">
        <v>19.86269569396973</v>
      </c>
      <c r="C22">
        <f t="shared" si="1"/>
        <v>-8.171691917879069E-2</v>
      </c>
      <c r="D22">
        <f t="shared" si="2"/>
        <v>1.0642208567114024</v>
      </c>
      <c r="E22">
        <f>(B22-MAX(B$2:B22))/MAX(B$2:B22)</f>
        <v>-0.20267606244161007</v>
      </c>
      <c r="F22">
        <f t="shared" si="0"/>
        <v>-8.171691917879069E-2</v>
      </c>
    </row>
    <row r="23" spans="1:6" x14ac:dyDescent="0.4">
      <c r="A23" s="6">
        <v>43497</v>
      </c>
      <c r="B23" s="11">
        <v>22.1046257019043</v>
      </c>
      <c r="C23">
        <f t="shared" si="1"/>
        <v>0.1069435101520958</v>
      </c>
      <c r="D23">
        <f t="shared" si="2"/>
        <v>1.1780323707051905</v>
      </c>
      <c r="E23">
        <f>(B23-MAX(B$2:B23))/MAX(B$2:B23)</f>
        <v>-0.1126810039058546</v>
      </c>
      <c r="F23">
        <f t="shared" si="0"/>
        <v>0</v>
      </c>
    </row>
    <row r="24" spans="1:6" x14ac:dyDescent="0.4">
      <c r="A24" s="6">
        <v>43525</v>
      </c>
      <c r="B24" s="11">
        <v>22.891263961791989</v>
      </c>
      <c r="C24">
        <f t="shared" si="1"/>
        <v>3.4968456990757027E-2</v>
      </c>
      <c r="D24">
        <f t="shared" si="2"/>
        <v>1.2192263449939147</v>
      </c>
      <c r="E24">
        <f>(B24-MAX(B$2:B24))/MAX(B$2:B24)</f>
        <v>-8.1103944856505628E-2</v>
      </c>
      <c r="F24">
        <f t="shared" si="0"/>
        <v>0</v>
      </c>
    </row>
    <row r="25" spans="1:6" x14ac:dyDescent="0.4">
      <c r="A25" s="6">
        <v>43556</v>
      </c>
      <c r="B25" s="11">
        <v>23.520578384399411</v>
      </c>
      <c r="C25">
        <f t="shared" si="1"/>
        <v>2.7120362510390149E-2</v>
      </c>
      <c r="D25">
        <f t="shared" si="2"/>
        <v>1.2522922054523677</v>
      </c>
      <c r="E25">
        <f>(B25-MAX(B$2:B25))/MAX(B$2:B25)</f>
        <v>-5.5842144488292285E-2</v>
      </c>
      <c r="F25">
        <f t="shared" si="0"/>
        <v>0</v>
      </c>
    </row>
    <row r="26" spans="1:6" x14ac:dyDescent="0.4">
      <c r="A26" s="6">
        <v>43587</v>
      </c>
      <c r="B26" s="11">
        <v>23.79729080200195</v>
      </c>
      <c r="C26">
        <f t="shared" si="1"/>
        <v>1.1696028447922193E-2</v>
      </c>
      <c r="D26">
        <f t="shared" si="2"/>
        <v>1.2669390507124498</v>
      </c>
      <c r="E26">
        <f>(B26-MAX(B$2:B26))/MAX(B$2:B26)</f>
        <v>-4.4734415820771062E-2</v>
      </c>
      <c r="F26">
        <f t="shared" si="0"/>
        <v>0</v>
      </c>
    </row>
    <row r="27" spans="1:6" x14ac:dyDescent="0.4">
      <c r="A27" s="6">
        <v>43619</v>
      </c>
      <c r="B27" s="11">
        <v>21.583591461181641</v>
      </c>
      <c r="C27">
        <f t="shared" si="1"/>
        <v>-9.7638370917985412E-2</v>
      </c>
      <c r="D27">
        <f t="shared" si="2"/>
        <v>1.1432371857485073</v>
      </c>
      <c r="E27">
        <f>(B27-MAX(B$2:B27))/MAX(B$2:B27)</f>
        <v>-0.13359624516094071</v>
      </c>
      <c r="F27">
        <f t="shared" si="0"/>
        <v>-9.7638370917985412E-2</v>
      </c>
    </row>
    <row r="28" spans="1:6" x14ac:dyDescent="0.4">
      <c r="A28" s="6">
        <v>43648</v>
      </c>
      <c r="B28" s="11">
        <v>23.4019889831543</v>
      </c>
      <c r="C28">
        <f t="shared" si="1"/>
        <v>8.0887646600070404E-2</v>
      </c>
      <c r="D28">
        <f t="shared" si="2"/>
        <v>1.2357109512093916</v>
      </c>
      <c r="E28">
        <f>(B28-MAX(B$2:B28))/MAX(B$2:B28)</f>
        <v>-6.0602534004915116E-2</v>
      </c>
      <c r="F28">
        <f t="shared" si="0"/>
        <v>0</v>
      </c>
    </row>
    <row r="29" spans="1:6" x14ac:dyDescent="0.4">
      <c r="A29" s="6">
        <v>43678</v>
      </c>
      <c r="B29" s="11">
        <v>22.374200820922852</v>
      </c>
      <c r="C29">
        <f t="shared" si="1"/>
        <v>-4.4912472009140621E-2</v>
      </c>
      <c r="D29">
        <f t="shared" si="2"/>
        <v>1.1802121177018112</v>
      </c>
      <c r="E29">
        <f>(B29-MAX(B$2:B29))/MAX(B$2:B29)</f>
        <v>-0.10185977909955111</v>
      </c>
      <c r="F29">
        <f t="shared" si="0"/>
        <v>-4.4912472009140621E-2</v>
      </c>
    </row>
    <row r="30" spans="1:6" x14ac:dyDescent="0.4">
      <c r="A30" s="6">
        <v>43710</v>
      </c>
      <c r="B30" s="11">
        <v>20.872043609619141</v>
      </c>
      <c r="C30">
        <f t="shared" si="1"/>
        <v>-6.9497908806312347E-2</v>
      </c>
      <c r="D30">
        <f t="shared" si="2"/>
        <v>1.0981898435736659</v>
      </c>
      <c r="E30">
        <f>(B30-MAX(B$2:B30))/MAX(B$2:B30)</f>
        <v>-0.16215904164688127</v>
      </c>
      <c r="F30">
        <f t="shared" si="0"/>
        <v>-6.9497908806312347E-2</v>
      </c>
    </row>
    <row r="31" spans="1:6" x14ac:dyDescent="0.4">
      <c r="A31" s="6">
        <v>43740</v>
      </c>
      <c r="B31" s="11">
        <v>21.26734733581543</v>
      </c>
      <c r="C31">
        <f t="shared" si="1"/>
        <v>1.8762270340679565E-2</v>
      </c>
      <c r="D31">
        <f t="shared" si="2"/>
        <v>1.1187943783041836</v>
      </c>
      <c r="E31">
        <f>(B31-MAX(B$2:B31))/MAX(B$2:B31)</f>
        <v>-0.14629084689836996</v>
      </c>
      <c r="F31">
        <f t="shared" si="0"/>
        <v>0</v>
      </c>
    </row>
    <row r="32" spans="1:6" x14ac:dyDescent="0.4">
      <c r="A32" s="6">
        <v>43770</v>
      </c>
      <c r="B32" s="11">
        <v>22.211301803588871</v>
      </c>
      <c r="C32">
        <f t="shared" si="1"/>
        <v>4.342834203076007E-2</v>
      </c>
      <c r="D32">
        <f t="shared" si="2"/>
        <v>1.1673817632272694</v>
      </c>
      <c r="E32">
        <f>(B32-MAX(B$2:B32))/MAX(B$2:B32)</f>
        <v>-0.10839883542535256</v>
      </c>
      <c r="F32">
        <f t="shared" si="0"/>
        <v>0</v>
      </c>
    </row>
    <row r="33" spans="1:6" x14ac:dyDescent="0.4">
      <c r="A33" s="6">
        <v>43801</v>
      </c>
      <c r="B33" s="11">
        <v>21.68245887756348</v>
      </c>
      <c r="C33">
        <f t="shared" si="1"/>
        <v>-2.4097662585482849E-2</v>
      </c>
      <c r="D33">
        <f t="shared" si="2"/>
        <v>1.1392505913885727</v>
      </c>
      <c r="E33">
        <f>(B33-MAX(B$2:B33))/MAX(B$2:B33)</f>
        <v>-0.12962753119883105</v>
      </c>
      <c r="F33">
        <f t="shared" si="0"/>
        <v>-2.4097662585482849E-2</v>
      </c>
    </row>
    <row r="34" spans="1:6" x14ac:dyDescent="0.4">
      <c r="A34" s="6">
        <v>43832</v>
      </c>
      <c r="B34" s="11">
        <v>23.350343704223629</v>
      </c>
      <c r="C34">
        <f t="shared" ref="C34:C65" si="3">LN(B34/B33)</f>
        <v>7.4108116671514332E-2</v>
      </c>
      <c r="D34">
        <f t="shared" ref="D34:D65" si="4">D33*(1+C34)</f>
        <v>1.2236783071332886</v>
      </c>
      <c r="E34">
        <f>(B34-MAX(B$2:B34))/MAX(B$2:B34)</f>
        <v>-6.2675667369476787E-2</v>
      </c>
      <c r="F34">
        <f t="shared" ref="F34:F65" si="5">IF(C34 &lt; 0, C34, 0)</f>
        <v>0</v>
      </c>
    </row>
    <row r="35" spans="1:6" x14ac:dyDescent="0.4">
      <c r="A35" s="6">
        <v>43864</v>
      </c>
      <c r="B35" s="11">
        <v>21.560420989990231</v>
      </c>
      <c r="C35">
        <f t="shared" si="3"/>
        <v>-7.9752431385985117E-2</v>
      </c>
      <c r="D35">
        <f t="shared" si="4"/>
        <v>1.1260869869051227</v>
      </c>
      <c r="E35">
        <f>(B35-MAX(B$2:B35))/MAX(B$2:B35)</f>
        <v>-0.13452634909094388</v>
      </c>
      <c r="F35">
        <f t="shared" si="5"/>
        <v>-7.9752431385985117E-2</v>
      </c>
    </row>
    <row r="36" spans="1:6" x14ac:dyDescent="0.4">
      <c r="A36" s="6">
        <v>43892</v>
      </c>
      <c r="B36" s="11">
        <v>21.68245887756348</v>
      </c>
      <c r="C36">
        <f t="shared" si="3"/>
        <v>5.6443147144707943E-3</v>
      </c>
      <c r="D36">
        <f t="shared" si="4"/>
        <v>1.1324429762550852</v>
      </c>
      <c r="E36">
        <f>(B36-MAX(B$2:B36))/MAX(B$2:B36)</f>
        <v>-0.12962753119883105</v>
      </c>
      <c r="F36">
        <f t="shared" si="5"/>
        <v>0</v>
      </c>
    </row>
    <row r="37" spans="1:6" x14ac:dyDescent="0.4">
      <c r="A37" s="6">
        <v>43922</v>
      </c>
      <c r="B37" s="11">
        <v>18.956892013549801</v>
      </c>
      <c r="C37">
        <f t="shared" si="3"/>
        <v>-0.13433602694802724</v>
      </c>
      <c r="D37">
        <f t="shared" si="4"/>
        <v>0.9803150860797778</v>
      </c>
      <c r="E37">
        <f>(B37-MAX(B$2:B37))/MAX(B$2:B37)</f>
        <v>-0.23903663344640894</v>
      </c>
      <c r="F37">
        <f t="shared" si="5"/>
        <v>-0.13433602694802724</v>
      </c>
    </row>
    <row r="38" spans="1:6" x14ac:dyDescent="0.4">
      <c r="A38" s="6">
        <v>43955</v>
      </c>
      <c r="B38" s="11">
        <v>19.39426231384277</v>
      </c>
      <c r="C38">
        <f t="shared" si="3"/>
        <v>2.2809705252139836E-2</v>
      </c>
      <c r="D38">
        <f t="shared" si="4"/>
        <v>1.0026757842474836</v>
      </c>
      <c r="E38">
        <f>(B38-MAX(B$2:B38))/MAX(B$2:B38)</f>
        <v>-0.22147981158428084</v>
      </c>
      <c r="F38">
        <f t="shared" si="5"/>
        <v>0</v>
      </c>
    </row>
    <row r="39" spans="1:6" x14ac:dyDescent="0.4">
      <c r="A39" s="6">
        <v>43983</v>
      </c>
      <c r="B39" s="11">
        <v>19.582082748413089</v>
      </c>
      <c r="C39">
        <f t="shared" si="3"/>
        <v>9.6377373554061667E-3</v>
      </c>
      <c r="D39">
        <f t="shared" si="4"/>
        <v>1.0123393101086868</v>
      </c>
      <c r="E39">
        <f>(B39-MAX(B$2:B39))/MAX(B$2:B39)</f>
        <v>-0.21394036523959362</v>
      </c>
      <c r="F39">
        <f t="shared" si="5"/>
        <v>0</v>
      </c>
    </row>
    <row r="40" spans="1:6" x14ac:dyDescent="0.4">
      <c r="A40" s="6">
        <v>44014</v>
      </c>
      <c r="B40" s="11">
        <v>20.986637115478519</v>
      </c>
      <c r="C40">
        <f t="shared" si="3"/>
        <v>6.9270904685041254E-2</v>
      </c>
      <c r="D40">
        <f t="shared" si="4"/>
        <v>1.0824649699681461</v>
      </c>
      <c r="E40">
        <f>(B40-MAX(B$2:B40))/MAX(B$2:B40)</f>
        <v>-0.15755905447906904</v>
      </c>
      <c r="F40">
        <f t="shared" si="5"/>
        <v>0</v>
      </c>
    </row>
    <row r="41" spans="1:6" x14ac:dyDescent="0.4">
      <c r="A41" s="6">
        <v>44046</v>
      </c>
      <c r="B41" s="11">
        <v>20.513008117675781</v>
      </c>
      <c r="C41">
        <f t="shared" si="3"/>
        <v>-2.2826680113430354E-2</v>
      </c>
      <c r="D41">
        <f t="shared" si="4"/>
        <v>1.0577558883646891</v>
      </c>
      <c r="E41">
        <f>(B41-MAX(B$2:B41))/MAX(B$2:B41)</f>
        <v>-0.17657136495737749</v>
      </c>
      <c r="F41">
        <f t="shared" si="5"/>
        <v>-2.2826680113430354E-2</v>
      </c>
    </row>
    <row r="42" spans="1:6" x14ac:dyDescent="0.4">
      <c r="A42" s="6">
        <v>44075</v>
      </c>
      <c r="B42" s="11">
        <v>21.133623123168949</v>
      </c>
      <c r="C42">
        <f t="shared" si="3"/>
        <v>2.980605790069182E-2</v>
      </c>
      <c r="D42">
        <f t="shared" si="4"/>
        <v>1.0892834216180847</v>
      </c>
      <c r="E42">
        <f>(B42-MAX(B$2:B42))/MAX(B$2:B42)</f>
        <v>-0.1516587746669335</v>
      </c>
      <c r="F42">
        <f t="shared" si="5"/>
        <v>0</v>
      </c>
    </row>
    <row r="43" spans="1:6" x14ac:dyDescent="0.4">
      <c r="A43" s="6">
        <v>44109</v>
      </c>
      <c r="B43" s="11">
        <v>20.02304649353027</v>
      </c>
      <c r="C43">
        <f t="shared" si="3"/>
        <v>-5.3981350319822152E-2</v>
      </c>
      <c r="D43">
        <f t="shared" si="4"/>
        <v>1.0304824316381445</v>
      </c>
      <c r="E43">
        <f>(B43-MAX(B$2:B43))/MAX(B$2:B43)</f>
        <v>-0.19623929611008634</v>
      </c>
      <c r="F43">
        <f t="shared" si="5"/>
        <v>-5.3981350319822152E-2</v>
      </c>
    </row>
    <row r="44" spans="1:6" x14ac:dyDescent="0.4">
      <c r="A44" s="6">
        <v>44137</v>
      </c>
      <c r="B44" s="11">
        <v>20.624713897705082</v>
      </c>
      <c r="C44">
        <f t="shared" si="3"/>
        <v>2.9606125684089483E-2</v>
      </c>
      <c r="D44">
        <f t="shared" si="4"/>
        <v>1.0609910240244693</v>
      </c>
      <c r="E44">
        <f>(B44-MAX(B$2:B44))/MAX(B$2:B44)</f>
        <v>-0.17208729624116426</v>
      </c>
      <c r="F44">
        <f t="shared" si="5"/>
        <v>0</v>
      </c>
    </row>
    <row r="45" spans="1:6" x14ac:dyDescent="0.4">
      <c r="A45" s="6">
        <v>44166</v>
      </c>
      <c r="B45" s="11">
        <v>22.402126312255859</v>
      </c>
      <c r="C45">
        <f t="shared" si="3"/>
        <v>8.2665818512101197E-2</v>
      </c>
      <c r="D45">
        <f t="shared" si="4"/>
        <v>1.1486987154594446</v>
      </c>
      <c r="E45">
        <f>(B45-MAX(B$2:B45))/MAX(B$2:B45)</f>
        <v>-0.10073880020268132</v>
      </c>
      <c r="F45">
        <f t="shared" si="5"/>
        <v>0</v>
      </c>
    </row>
    <row r="46" spans="1:6" x14ac:dyDescent="0.4">
      <c r="A46" s="6">
        <v>44200</v>
      </c>
      <c r="B46" s="11">
        <v>23.173460006713871</v>
      </c>
      <c r="C46">
        <f t="shared" si="3"/>
        <v>3.3851779606531171E-2</v>
      </c>
      <c r="D46">
        <f t="shared" si="4"/>
        <v>1.1875842112094832</v>
      </c>
      <c r="E46">
        <f>(B46-MAX(B$2:B46))/MAX(B$2:B46)</f>
        <v>-6.9776093633933195E-2</v>
      </c>
      <c r="F46">
        <f t="shared" si="5"/>
        <v>0</v>
      </c>
    </row>
    <row r="47" spans="1:6" x14ac:dyDescent="0.4">
      <c r="A47" s="6">
        <v>44228</v>
      </c>
      <c r="B47" s="11">
        <v>24.363994598388668</v>
      </c>
      <c r="C47">
        <f t="shared" si="3"/>
        <v>5.0098752652849868E-2</v>
      </c>
      <c r="D47">
        <f t="shared" si="4"/>
        <v>1.2470806988612968</v>
      </c>
      <c r="E47">
        <f>(B47-MAX(B$2:B47))/MAX(B$2:B47)</f>
        <v>-2.1985917362853977E-2</v>
      </c>
      <c r="F47">
        <f t="shared" si="5"/>
        <v>0</v>
      </c>
    </row>
    <row r="48" spans="1:6" x14ac:dyDescent="0.4">
      <c r="A48" s="6">
        <v>44256</v>
      </c>
      <c r="B48" s="11">
        <v>24.79996299743652</v>
      </c>
      <c r="C48">
        <f t="shared" si="3"/>
        <v>1.7735749861378585E-2</v>
      </c>
      <c r="D48">
        <f t="shared" si="4"/>
        <v>1.269198610193254</v>
      </c>
      <c r="E48">
        <f>(B48-MAX(B$2:B48))/MAX(B$2:B48)</f>
        <v>-4.4853703104519487E-3</v>
      </c>
      <c r="F48">
        <f t="shared" si="5"/>
        <v>0</v>
      </c>
    </row>
    <row r="49" spans="1:6" x14ac:dyDescent="0.4">
      <c r="A49" s="6">
        <v>44287</v>
      </c>
      <c r="B49" s="11">
        <v>24.447832107543949</v>
      </c>
      <c r="C49">
        <f t="shared" si="3"/>
        <v>-1.4300615499306958E-2</v>
      </c>
      <c r="D49">
        <f t="shared" si="4"/>
        <v>1.2510482888766254</v>
      </c>
      <c r="E49">
        <f>(B49-MAX(B$2:B49))/MAX(B$2:B49)</f>
        <v>-1.862053061250115E-2</v>
      </c>
      <c r="F49">
        <f t="shared" si="5"/>
        <v>-1.4300615499306958E-2</v>
      </c>
    </row>
    <row r="50" spans="1:6" x14ac:dyDescent="0.4">
      <c r="A50" s="6">
        <v>44319</v>
      </c>
      <c r="B50" s="11">
        <v>23.98398590087891</v>
      </c>
      <c r="C50">
        <f t="shared" si="3"/>
        <v>-1.9155192126879644E-2</v>
      </c>
      <c r="D50">
        <f t="shared" si="4"/>
        <v>1.2270842185431896</v>
      </c>
      <c r="E50">
        <f>(B50-MAX(B$2:B50))/MAX(B$2:B50)</f>
        <v>-3.7240142452598615E-2</v>
      </c>
      <c r="F50">
        <f t="shared" si="5"/>
        <v>-1.9155192126879644E-2</v>
      </c>
    </row>
    <row r="51" spans="1:6" x14ac:dyDescent="0.4">
      <c r="A51" s="6">
        <v>44348</v>
      </c>
      <c r="B51" s="11">
        <v>25.078763961791989</v>
      </c>
      <c r="C51">
        <f t="shared" si="3"/>
        <v>4.4635077225349526E-2</v>
      </c>
      <c r="D51">
        <f t="shared" si="4"/>
        <v>1.2818552173998725</v>
      </c>
      <c r="E51">
        <f>(B51-MAX(B$2:B51))/MAX(B$2:B51)</f>
        <v>0</v>
      </c>
      <c r="F51">
        <f t="shared" si="5"/>
        <v>0</v>
      </c>
    </row>
    <row r="52" spans="1:6" x14ac:dyDescent="0.4">
      <c r="A52" s="6">
        <v>44379</v>
      </c>
      <c r="B52" s="11">
        <v>24.20294189453125</v>
      </c>
      <c r="C52">
        <f t="shared" si="3"/>
        <v>-3.5547239066308654E-2</v>
      </c>
      <c r="D52">
        <f t="shared" si="4"/>
        <v>1.2362888035385642</v>
      </c>
      <c r="E52">
        <f>(B52-MAX(B$2:B52))/MAX(B$2:B52)</f>
        <v>-3.4922856190004882E-2</v>
      </c>
      <c r="F52">
        <f t="shared" si="5"/>
        <v>-3.5547239066308654E-2</v>
      </c>
    </row>
    <row r="53" spans="1:6" x14ac:dyDescent="0.4">
      <c r="A53" s="6">
        <v>44410</v>
      </c>
      <c r="B53" s="11">
        <v>22.501829147338871</v>
      </c>
      <c r="C53">
        <f t="shared" si="3"/>
        <v>-7.2877590320465147E-2</v>
      </c>
      <c r="D53">
        <f t="shared" si="4"/>
        <v>1.1461910545965026</v>
      </c>
      <c r="E53">
        <f>(B53-MAX(B$2:B53))/MAX(B$2:B53)</f>
        <v>-0.10275366116045954</v>
      </c>
      <c r="F53">
        <f t="shared" si="5"/>
        <v>-7.2877590320465147E-2</v>
      </c>
    </row>
    <row r="54" spans="1:6" x14ac:dyDescent="0.4">
      <c r="A54" s="6">
        <v>44440</v>
      </c>
      <c r="B54" s="11">
        <v>22.400774002075199</v>
      </c>
      <c r="C54">
        <f t="shared" si="3"/>
        <v>-4.5010894152611239E-3</v>
      </c>
      <c r="D54">
        <f t="shared" si="4"/>
        <v>1.1410319461727914</v>
      </c>
      <c r="E54">
        <f>(B54-MAX(B$2:B54))/MAX(B$2:B54)</f>
        <v>-0.10678317176224324</v>
      </c>
      <c r="F54">
        <f t="shared" si="5"/>
        <v>-4.5010894152611239E-3</v>
      </c>
    </row>
    <row r="55" spans="1:6" x14ac:dyDescent="0.4">
      <c r="A55" s="6">
        <v>44473</v>
      </c>
      <c r="B55" s="11">
        <v>20.817558288574219</v>
      </c>
      <c r="C55">
        <f t="shared" si="3"/>
        <v>-7.3298732824637045E-2</v>
      </c>
      <c r="D55">
        <f t="shared" si="4"/>
        <v>1.0573957504058962</v>
      </c>
      <c r="E55">
        <f>(B55-MAX(B$2:B55))/MAX(B$2:B55)</f>
        <v>-0.16991290638206111</v>
      </c>
      <c r="F55">
        <f t="shared" si="5"/>
        <v>-7.3298732824637045E-2</v>
      </c>
    </row>
    <row r="56" spans="1:6" x14ac:dyDescent="0.4">
      <c r="A56" s="6">
        <v>44501</v>
      </c>
      <c r="B56" s="11">
        <v>21.754718780517582</v>
      </c>
      <c r="C56">
        <f t="shared" si="3"/>
        <v>4.403391032589947E-2</v>
      </c>
      <c r="D56">
        <f t="shared" si="4"/>
        <v>1.1039570200582567</v>
      </c>
      <c r="E56">
        <f>(B56-MAX(B$2:B56))/MAX(B$2:B56)</f>
        <v>-0.13254421893912546</v>
      </c>
      <c r="F56">
        <f t="shared" si="5"/>
        <v>0</v>
      </c>
    </row>
    <row r="57" spans="1:6" x14ac:dyDescent="0.4">
      <c r="A57" s="6">
        <v>44531</v>
      </c>
      <c r="B57" s="11">
        <v>20.499311447143551</v>
      </c>
      <c r="C57">
        <f t="shared" si="3"/>
        <v>-5.9439391793305964E-2</v>
      </c>
      <c r="D57">
        <f t="shared" si="4"/>
        <v>1.0383384862200435</v>
      </c>
      <c r="E57">
        <f>(B57-MAX(B$2:B57))/MAX(B$2:B57)</f>
        <v>-0.18260279978811267</v>
      </c>
      <c r="F57">
        <f t="shared" si="5"/>
        <v>-5.9439391793305964E-2</v>
      </c>
    </row>
    <row r="58" spans="1:6" x14ac:dyDescent="0.4">
      <c r="A58" s="6">
        <v>44564</v>
      </c>
      <c r="B58" s="11">
        <v>20.120965957641602</v>
      </c>
      <c r="C58">
        <f t="shared" si="3"/>
        <v>-1.8628943733812832E-2</v>
      </c>
      <c r="D58">
        <f t="shared" si="4"/>
        <v>1.018995336983598</v>
      </c>
      <c r="E58">
        <f>(B58-MAX(B$2:B58))/MAX(B$2:B58)</f>
        <v>-0.19768908913149363</v>
      </c>
      <c r="F58">
        <f t="shared" si="5"/>
        <v>-1.8628943733812832E-2</v>
      </c>
    </row>
    <row r="59" spans="1:6" x14ac:dyDescent="0.4">
      <c r="A59" s="6">
        <v>44596</v>
      </c>
      <c r="B59" s="11">
        <v>21.238798141479489</v>
      </c>
      <c r="C59">
        <f t="shared" si="3"/>
        <v>5.4067256194412869E-2</v>
      </c>
      <c r="D59">
        <f t="shared" si="4"/>
        <v>1.0740896189292022</v>
      </c>
      <c r="E59">
        <f>(B59-MAX(B$2:B59))/MAX(B$2:B59)</f>
        <v>-0.15311623117322556</v>
      </c>
      <c r="F59">
        <f t="shared" si="5"/>
        <v>0</v>
      </c>
    </row>
    <row r="60" spans="1:6" x14ac:dyDescent="0.4">
      <c r="A60" s="6">
        <v>44621</v>
      </c>
      <c r="B60" s="11">
        <v>19.673833847045898</v>
      </c>
      <c r="C60">
        <f t="shared" si="3"/>
        <v>-7.6540088347949675E-2</v>
      </c>
      <c r="D60">
        <f t="shared" si="4"/>
        <v>0.99187870460274541</v>
      </c>
      <c r="E60">
        <f>(B60-MAX(B$2:B60))/MAX(B$2:B60)</f>
        <v>-0.21551820189306825</v>
      </c>
      <c r="F60">
        <f t="shared" si="5"/>
        <v>-7.6540088347949675E-2</v>
      </c>
    </row>
    <row r="61" spans="1:6" x14ac:dyDescent="0.4">
      <c r="A61" s="6">
        <v>44652</v>
      </c>
      <c r="B61" s="11">
        <v>19.140716552734379</v>
      </c>
      <c r="C61">
        <f t="shared" si="3"/>
        <v>-2.7471698977726666E-2</v>
      </c>
      <c r="D61">
        <f t="shared" si="4"/>
        <v>0.96463011140748134</v>
      </c>
      <c r="E61">
        <f>(B61-MAX(B$2:B61))/MAX(B$2:B61)</f>
        <v>-0.23677591998171629</v>
      </c>
      <c r="F61">
        <f t="shared" si="5"/>
        <v>-2.7471698977726666E-2</v>
      </c>
    </row>
    <row r="62" spans="1:6" x14ac:dyDescent="0.4">
      <c r="A62" s="6">
        <v>44684</v>
      </c>
      <c r="B62" s="11">
        <v>18.3192138671875</v>
      </c>
      <c r="C62">
        <f t="shared" si="3"/>
        <v>-4.3867375625430083E-2</v>
      </c>
      <c r="D62">
        <f t="shared" si="4"/>
        <v>0.92231431997076885</v>
      </c>
      <c r="E62">
        <f>(B62-MAX(B$2:B62))/MAX(B$2:B62)</f>
        <v>-0.26953282485942298</v>
      </c>
      <c r="F62">
        <f t="shared" si="5"/>
        <v>-4.3867375625430083E-2</v>
      </c>
    </row>
    <row r="63" spans="1:6" x14ac:dyDescent="0.4">
      <c r="A63" s="6">
        <v>44713</v>
      </c>
      <c r="B63" s="11">
        <v>18.578207015991211</v>
      </c>
      <c r="C63">
        <f t="shared" si="3"/>
        <v>1.4038780829672134E-2</v>
      </c>
      <c r="D63">
        <f t="shared" si="4"/>
        <v>0.93526248856490646</v>
      </c>
      <c r="E63">
        <f>(B63-MAX(B$2:B63))/MAX(B$2:B63)</f>
        <v>-0.25920563532176105</v>
      </c>
      <c r="F63">
        <f t="shared" si="5"/>
        <v>0</v>
      </c>
    </row>
    <row r="64" spans="1:6" x14ac:dyDescent="0.4">
      <c r="A64" s="6">
        <v>44746</v>
      </c>
      <c r="B64" s="11">
        <v>19.234315872192379</v>
      </c>
      <c r="C64">
        <f t="shared" si="3"/>
        <v>3.4706740775224829E-2</v>
      </c>
      <c r="D64">
        <f t="shared" si="4"/>
        <v>0.96772240131232035</v>
      </c>
      <c r="E64">
        <f>(B64-MAX(B$2:B64))/MAX(B$2:B64)</f>
        <v>-0.23304370576252267</v>
      </c>
      <c r="F64">
        <f t="shared" si="5"/>
        <v>0</v>
      </c>
    </row>
    <row r="65" spans="1:6" x14ac:dyDescent="0.4">
      <c r="A65" s="6">
        <v>44774</v>
      </c>
      <c r="B65" s="11">
        <v>17.853036880493161</v>
      </c>
      <c r="C65">
        <f t="shared" si="3"/>
        <v>-7.4522341634877962E-2</v>
      </c>
      <c r="D65">
        <f t="shared" si="4"/>
        <v>0.89560546191399915</v>
      </c>
      <c r="E65">
        <f>(B65-MAX(B$2:B65))/MAX(B$2:B65)</f>
        <v>-0.28812134012295709</v>
      </c>
      <c r="F65">
        <f t="shared" si="5"/>
        <v>-7.4522341634877962E-2</v>
      </c>
    </row>
    <row r="66" spans="1:6" x14ac:dyDescent="0.4">
      <c r="A66" s="6">
        <v>44805</v>
      </c>
      <c r="B66" s="11">
        <v>17.438653945922852</v>
      </c>
      <c r="C66">
        <f t="shared" ref="C66:C97" si="6">LN(B66/B65)</f>
        <v>-2.3484393613257298E-2</v>
      </c>
      <c r="D66">
        <f t="shared" ref="D66:D97" si="7">D65*(1+C66)</f>
        <v>0.87457271072422771</v>
      </c>
      <c r="E66">
        <f>(B66-MAX(B$2:B66))/MAX(B$2:B66)</f>
        <v>-0.30464460000935456</v>
      </c>
      <c r="F66">
        <f t="shared" ref="F66:F97" si="8">IF(C66 &lt; 0, C66, 0)</f>
        <v>-2.3484393613257298E-2</v>
      </c>
    </row>
    <row r="67" spans="1:6" x14ac:dyDescent="0.4">
      <c r="A67" s="6">
        <v>44837</v>
      </c>
      <c r="B67" s="11">
        <v>15.28903388977051</v>
      </c>
      <c r="C67">
        <f t="shared" si="6"/>
        <v>-0.13155340131497076</v>
      </c>
      <c r="D67">
        <f t="shared" si="7"/>
        <v>0.75951969593120161</v>
      </c>
      <c r="E67">
        <f>(B67-MAX(B$2:B67))/MAX(B$2:B67)</f>
        <v>-0.39035935291453494</v>
      </c>
      <c r="F67">
        <f t="shared" si="8"/>
        <v>-0.13155340131497076</v>
      </c>
    </row>
    <row r="68" spans="1:6" x14ac:dyDescent="0.4">
      <c r="A68" s="6">
        <v>44866</v>
      </c>
      <c r="B68" s="11">
        <v>13.909004211425779</v>
      </c>
      <c r="C68">
        <f t="shared" si="6"/>
        <v>-9.4599416778170672E-2</v>
      </c>
      <c r="D68">
        <f t="shared" si="7"/>
        <v>0.68766957566457643</v>
      </c>
      <c r="E68">
        <f>(B68-MAX(B$2:B68))/MAX(B$2:B68)</f>
        <v>-0.44538717168771025</v>
      </c>
      <c r="F68">
        <f t="shared" si="8"/>
        <v>-9.4599416778170672E-2</v>
      </c>
    </row>
    <row r="69" spans="1:6" x14ac:dyDescent="0.4">
      <c r="A69" s="6">
        <v>44896</v>
      </c>
      <c r="B69" s="11">
        <v>16.923366546630859</v>
      </c>
      <c r="C69">
        <f t="shared" si="6"/>
        <v>0.19615888745430438</v>
      </c>
      <c r="D69">
        <f t="shared" si="7"/>
        <v>0.82256207456311325</v>
      </c>
      <c r="E69">
        <f>(B69-MAX(B$2:B69))/MAX(B$2:B69)</f>
        <v>-0.32519136220533212</v>
      </c>
      <c r="F69">
        <f t="shared" si="8"/>
        <v>0</v>
      </c>
    </row>
    <row r="70" spans="1:6" x14ac:dyDescent="0.4">
      <c r="A70" s="6">
        <v>44929</v>
      </c>
      <c r="B70" s="11">
        <v>18.121953964233398</v>
      </c>
      <c r="C70">
        <f t="shared" si="6"/>
        <v>6.8428826608334228E-2</v>
      </c>
      <c r="D70">
        <f t="shared" si="7"/>
        <v>0.87884903213798415</v>
      </c>
      <c r="E70">
        <f>(B70-MAX(B$2:B70))/MAX(B$2:B70)</f>
        <v>-0.27739843989749385</v>
      </c>
      <c r="F70">
        <f t="shared" si="8"/>
        <v>0</v>
      </c>
    </row>
    <row r="71" spans="1:6" x14ac:dyDescent="0.4">
      <c r="A71" s="6">
        <v>44958</v>
      </c>
      <c r="B71" s="11">
        <v>19.839338302612301</v>
      </c>
      <c r="C71">
        <f t="shared" si="6"/>
        <v>9.0542620145888889E-2</v>
      </c>
      <c r="D71">
        <f t="shared" si="7"/>
        <v>0.95842232622043588</v>
      </c>
      <c r="E71">
        <f>(B71-MAX(B$2:B71))/MAX(B$2:B71)</f>
        <v>-0.20891881542336216</v>
      </c>
      <c r="F71">
        <f t="shared" si="8"/>
        <v>0</v>
      </c>
    </row>
    <row r="72" spans="1:6" x14ac:dyDescent="0.4">
      <c r="A72" s="6">
        <v>44986</v>
      </c>
      <c r="B72" s="11">
        <v>18.56918907165527</v>
      </c>
      <c r="C72">
        <f t="shared" si="6"/>
        <v>-6.6163043938133409E-2</v>
      </c>
      <c r="D72">
        <f t="shared" si="7"/>
        <v>0.89501018773942509</v>
      </c>
      <c r="E72">
        <f>(B72-MAX(B$2:B72))/MAX(B$2:B72)</f>
        <v>-0.25956522020200795</v>
      </c>
      <c r="F72">
        <f t="shared" si="8"/>
        <v>-6.6163043938133409E-2</v>
      </c>
    </row>
    <row r="73" spans="1:6" x14ac:dyDescent="0.4">
      <c r="A73" s="6">
        <v>45019</v>
      </c>
      <c r="B73" s="11">
        <v>18.426076889038089</v>
      </c>
      <c r="C73">
        <f t="shared" si="6"/>
        <v>-7.7368221458882502E-3</v>
      </c>
      <c r="D73">
        <f t="shared" si="7"/>
        <v>0.88808565309812715</v>
      </c>
      <c r="E73">
        <f>(B73-MAX(B$2:B73))/MAX(B$2:B73)</f>
        <v>-0.2652717288176325</v>
      </c>
      <c r="F73">
        <f t="shared" si="8"/>
        <v>-7.7368221458882502E-3</v>
      </c>
    </row>
    <row r="74" spans="1:6" x14ac:dyDescent="0.4">
      <c r="A74" s="6">
        <v>45048</v>
      </c>
      <c r="B74" s="11">
        <v>17.970119476318359</v>
      </c>
      <c r="C74">
        <f t="shared" si="6"/>
        <v>-2.5056534105979394E-2</v>
      </c>
      <c r="D74">
        <f t="shared" si="7"/>
        <v>0.86583330464224295</v>
      </c>
      <c r="E74">
        <f>(B74-MAX(B$2:B74))/MAX(B$2:B74)</f>
        <v>-0.28345274497195294</v>
      </c>
      <c r="F74">
        <f t="shared" si="8"/>
        <v>-2.5056534105979394E-2</v>
      </c>
    </row>
    <row r="75" spans="1:6" x14ac:dyDescent="0.4">
      <c r="A75" s="6">
        <v>45078</v>
      </c>
      <c r="B75" s="11">
        <v>16.5677490234375</v>
      </c>
      <c r="C75">
        <f t="shared" si="6"/>
        <v>-8.1252373720668833E-2</v>
      </c>
      <c r="D75">
        <f t="shared" si="7"/>
        <v>0.79548229339364973</v>
      </c>
      <c r="E75">
        <f>(B75-MAX(B$2:B75))/MAX(B$2:B75)</f>
        <v>-0.33937138813225382</v>
      </c>
      <c r="F75">
        <f t="shared" si="8"/>
        <v>-8.1252373720668833E-2</v>
      </c>
    </row>
    <row r="76" spans="1:6" x14ac:dyDescent="0.4">
      <c r="A76" s="6">
        <v>45110</v>
      </c>
      <c r="B76" s="11">
        <v>17.655487060546879</v>
      </c>
      <c r="C76">
        <f t="shared" si="6"/>
        <v>6.3588640975986238E-2</v>
      </c>
      <c r="D76">
        <f t="shared" si="7"/>
        <v>0.84606593135101271</v>
      </c>
      <c r="E76">
        <f>(B76-MAX(B$2:B76))/MAX(B$2:B76)</f>
        <v>-0.29599851541944511</v>
      </c>
      <c r="F76">
        <f t="shared" si="8"/>
        <v>0</v>
      </c>
    </row>
    <row r="77" spans="1:6" x14ac:dyDescent="0.4">
      <c r="A77" s="6">
        <v>45139</v>
      </c>
      <c r="B77" s="11">
        <v>18.464548110961911</v>
      </c>
      <c r="C77">
        <f t="shared" si="6"/>
        <v>4.4805958587789865E-2</v>
      </c>
      <c r="D77">
        <f t="shared" si="7"/>
        <v>0.88397472643366604</v>
      </c>
      <c r="E77">
        <f>(B77-MAX(B$2:B77))/MAX(B$2:B77)</f>
        <v>-0.26373771294737536</v>
      </c>
      <c r="F77">
        <f t="shared" si="8"/>
        <v>0</v>
      </c>
    </row>
    <row r="78" spans="1:6" x14ac:dyDescent="0.4">
      <c r="A78" s="6">
        <v>45170</v>
      </c>
      <c r="B78" s="11">
        <v>17.457717895507809</v>
      </c>
      <c r="C78">
        <f t="shared" si="6"/>
        <v>-5.6070738126594868E-2</v>
      </c>
      <c r="D78">
        <f t="shared" si="7"/>
        <v>0.83440961103727562</v>
      </c>
      <c r="E78">
        <f>(B78-MAX(B$2:B78))/MAX(B$2:B78)</f>
        <v>-0.30388443696407846</v>
      </c>
      <c r="F78">
        <f t="shared" si="8"/>
        <v>-5.6070738126594868E-2</v>
      </c>
    </row>
    <row r="79" spans="1:6" x14ac:dyDescent="0.4">
      <c r="A79" s="6">
        <v>45202</v>
      </c>
      <c r="B79" s="11">
        <v>16.127260208129879</v>
      </c>
      <c r="C79">
        <f t="shared" si="6"/>
        <v>-7.9270816338944047E-2</v>
      </c>
      <c r="D79">
        <f t="shared" si="7"/>
        <v>0.76826528000928995</v>
      </c>
      <c r="E79">
        <f>(B79-MAX(B$2:B79))/MAX(B$2:B79)</f>
        <v>-0.3569356036565402</v>
      </c>
      <c r="F79">
        <f t="shared" si="8"/>
        <v>-7.9270816338944047E-2</v>
      </c>
    </row>
    <row r="80" spans="1:6" x14ac:dyDescent="0.4">
      <c r="A80" s="6">
        <v>45231</v>
      </c>
      <c r="B80" s="11">
        <v>15.93788051605225</v>
      </c>
      <c r="C80">
        <f t="shared" si="6"/>
        <v>-1.1812322654633342E-2</v>
      </c>
      <c r="D80">
        <f t="shared" si="7"/>
        <v>0.75919028263746791</v>
      </c>
      <c r="E80">
        <f>(B80-MAX(B$2:B80))/MAX(B$2:B80)</f>
        <v>-0.36448700022321923</v>
      </c>
      <c r="F80">
        <f t="shared" si="8"/>
        <v>-1.1812322654633342E-2</v>
      </c>
    </row>
    <row r="81" spans="1:6" x14ac:dyDescent="0.4">
      <c r="A81" s="6">
        <v>45261</v>
      </c>
      <c r="B81" s="11">
        <v>15.73390579223633</v>
      </c>
      <c r="C81">
        <f t="shared" si="6"/>
        <v>-1.2880709789388099E-2</v>
      </c>
      <c r="D81">
        <f t="shared" si="7"/>
        <v>0.7494113729318912</v>
      </c>
      <c r="E81">
        <f>(B81-MAX(B$2:B81))/MAX(B$2:B81)</f>
        <v>-0.3726203645360171</v>
      </c>
      <c r="F81">
        <f t="shared" si="8"/>
        <v>-1.2880709789388099E-2</v>
      </c>
    </row>
    <row r="82" spans="1:6" x14ac:dyDescent="0.4">
      <c r="A82" s="6">
        <v>45293</v>
      </c>
      <c r="B82" s="11">
        <v>15.706089973449711</v>
      </c>
      <c r="C82">
        <f t="shared" si="6"/>
        <v>-1.769454821270594E-3</v>
      </c>
      <c r="D82">
        <f t="shared" si="7"/>
        <v>0.74808532336494182</v>
      </c>
      <c r="E82">
        <f>(B82-MAX(B$2:B82))/MAX(B$2:B82)</f>
        <v>-0.3737295028822688</v>
      </c>
      <c r="F82">
        <f t="shared" si="8"/>
        <v>-1.769454821270594E-3</v>
      </c>
    </row>
    <row r="83" spans="1:6" x14ac:dyDescent="0.4">
      <c r="A83" s="6">
        <v>45323</v>
      </c>
      <c r="B83" s="11">
        <v>14.593498229980471</v>
      </c>
      <c r="C83">
        <f t="shared" si="6"/>
        <v>-7.3472430726739341E-2</v>
      </c>
      <c r="D83">
        <f t="shared" si="7"/>
        <v>0.69312167626632071</v>
      </c>
      <c r="E83">
        <f>(B83-MAX(B$2:B83))/MAX(B$2:B83)</f>
        <v>-0.41809340156420927</v>
      </c>
      <c r="F83">
        <f t="shared" si="8"/>
        <v>-7.3472430726739341E-2</v>
      </c>
    </row>
    <row r="84" spans="1:6" x14ac:dyDescent="0.4">
      <c r="A84" s="6">
        <v>45352</v>
      </c>
      <c r="B84" s="11">
        <v>15.502116203308111</v>
      </c>
      <c r="C84">
        <f t="shared" si="6"/>
        <v>6.0400441038381075E-2</v>
      </c>
      <c r="D84">
        <f t="shared" si="7"/>
        <v>0.73498653120606849</v>
      </c>
      <c r="E84">
        <f>(B84-MAX(B$2:B84))/MAX(B$2:B84)</f>
        <v>-0.38186282916790065</v>
      </c>
      <c r="F84">
        <f t="shared" si="8"/>
        <v>0</v>
      </c>
    </row>
    <row r="85" spans="1:6" x14ac:dyDescent="0.4">
      <c r="A85" s="6">
        <v>45384</v>
      </c>
      <c r="B85" s="11">
        <v>15.90079402923584</v>
      </c>
      <c r="C85">
        <f t="shared" si="6"/>
        <v>2.5392503073312173E-2</v>
      </c>
      <c r="D85">
        <f t="shared" si="7"/>
        <v>0.75364967895856161</v>
      </c>
      <c r="E85">
        <f>(B85-MAX(B$2:B85))/MAX(B$2:B85)</f>
        <v>-0.36596580064866729</v>
      </c>
      <c r="F85">
        <f t="shared" si="8"/>
        <v>0</v>
      </c>
    </row>
    <row r="86" spans="1:6" x14ac:dyDescent="0.4">
      <c r="A86" s="6">
        <v>45414</v>
      </c>
      <c r="B86" s="11">
        <v>17.119760513305661</v>
      </c>
      <c r="C86">
        <f t="shared" si="6"/>
        <v>7.3864334982043159E-2</v>
      </c>
      <c r="D86">
        <f t="shared" si="7"/>
        <v>0.8093175113042661</v>
      </c>
      <c r="E86">
        <f>(B86-MAX(B$2:B86))/MAX(B$2:B86)</f>
        <v>-0.31736027583385024</v>
      </c>
      <c r="F86">
        <f t="shared" si="8"/>
        <v>0</v>
      </c>
    </row>
    <row r="87" spans="1:6" x14ac:dyDescent="0.4">
      <c r="A87" s="6">
        <v>45446</v>
      </c>
      <c r="B87" s="11">
        <v>17.409610748291019</v>
      </c>
      <c r="C87">
        <f t="shared" si="6"/>
        <v>1.6789013684701162E-2</v>
      </c>
      <c r="D87">
        <f t="shared" si="7"/>
        <v>0.82290515407682163</v>
      </c>
      <c r="E87">
        <f>(B87-MAX(B$2:B87))/MAX(B$2:B87)</f>
        <v>-0.305802679318051</v>
      </c>
      <c r="F87">
        <f t="shared" si="8"/>
        <v>0</v>
      </c>
    </row>
    <row r="88" spans="1:6" x14ac:dyDescent="0.4">
      <c r="A88" s="6">
        <v>45475</v>
      </c>
      <c r="B88" s="11">
        <v>17.007562637329102</v>
      </c>
      <c r="C88">
        <f t="shared" si="6"/>
        <v>-2.33642894374246E-2</v>
      </c>
      <c r="D88">
        <f t="shared" si="7"/>
        <v>0.80367855987742221</v>
      </c>
      <c r="E88">
        <f>(B88-MAX(B$2:B88))/MAX(B$2:B88)</f>
        <v>-0.32183409584138706</v>
      </c>
      <c r="F88">
        <f t="shared" si="8"/>
        <v>-2.33642894374246E-2</v>
      </c>
    </row>
    <row r="89" spans="1:6" x14ac:dyDescent="0.4">
      <c r="A89" s="6">
        <v>45505</v>
      </c>
      <c r="B89" s="11">
        <v>16.689664840698239</v>
      </c>
      <c r="C89">
        <f t="shared" si="6"/>
        <v>-1.8868450126223284E-2</v>
      </c>
      <c r="D89">
        <f t="shared" si="7"/>
        <v>0.78851439105286014</v>
      </c>
      <c r="E89">
        <f>(B89-MAX(B$2:B89))/MAX(B$2:B89)</f>
        <v>-0.33451007130473875</v>
      </c>
      <c r="F89">
        <f t="shared" si="8"/>
        <v>-1.8868450126223284E-2</v>
      </c>
    </row>
    <row r="90" spans="1:6" x14ac:dyDescent="0.4">
      <c r="A90" s="6">
        <v>45537</v>
      </c>
      <c r="B90" s="11">
        <v>17.110410690307621</v>
      </c>
      <c r="C90">
        <f t="shared" si="6"/>
        <v>2.4897434528257965E-2</v>
      </c>
      <c r="D90">
        <f t="shared" si="7"/>
        <v>0.80814637647868792</v>
      </c>
      <c r="E90">
        <f>(B90-MAX(B$2:B90))/MAX(B$2:B90)</f>
        <v>-0.31773309416781137</v>
      </c>
      <c r="F90">
        <f t="shared" si="8"/>
        <v>0</v>
      </c>
    </row>
    <row r="91" spans="1:6" x14ac:dyDescent="0.4">
      <c r="A91" s="6">
        <v>45567</v>
      </c>
      <c r="B91" s="11">
        <v>21.635787963867191</v>
      </c>
      <c r="C91">
        <f t="shared" si="6"/>
        <v>0.23466170325083585</v>
      </c>
      <c r="D91">
        <f t="shared" si="7"/>
        <v>0.99778738165916803</v>
      </c>
      <c r="E91">
        <f>(B91-MAX(B$2:B91))/MAX(B$2:B91)</f>
        <v>-0.13728651073754042</v>
      </c>
      <c r="F91">
        <f t="shared" si="8"/>
        <v>0</v>
      </c>
    </row>
    <row r="92" spans="1:6" x14ac:dyDescent="0.4">
      <c r="A92" s="6">
        <v>45597</v>
      </c>
      <c r="B92" s="11">
        <v>19.854282379150391</v>
      </c>
      <c r="C92">
        <f t="shared" si="6"/>
        <v>-8.5929072956889882E-2</v>
      </c>
      <c r="D92">
        <f t="shared" si="7"/>
        <v>0.91204843694511328</v>
      </c>
      <c r="E92">
        <f>(B92-MAX(B$2:B92))/MAX(B$2:B92)</f>
        <v>-0.20832292973454364</v>
      </c>
      <c r="F92">
        <f t="shared" si="8"/>
        <v>-8.5929072956889882E-2</v>
      </c>
    </row>
    <row r="93" spans="1:6" x14ac:dyDescent="0.4">
      <c r="A93" s="6">
        <v>45628</v>
      </c>
      <c r="B93" s="11">
        <v>19.0069580078125</v>
      </c>
      <c r="C93">
        <f t="shared" si="6"/>
        <v>-4.3614597785147299E-2</v>
      </c>
      <c r="D93">
        <f t="shared" si="7"/>
        <v>0.87226981120717983</v>
      </c>
      <c r="E93">
        <f>(B93-MAX(B$2:B93))/MAX(B$2:B93)</f>
        <v>-0.24210945815471646</v>
      </c>
      <c r="F93">
        <f t="shared" si="8"/>
        <v>-4.3614597785147299E-2</v>
      </c>
    </row>
    <row r="94" spans="1:6" x14ac:dyDescent="0.4">
      <c r="A94" s="6">
        <v>45659</v>
      </c>
      <c r="B94" s="11">
        <v>19.045475006103519</v>
      </c>
      <c r="C94">
        <f t="shared" si="6"/>
        <v>2.02441780431474E-3</v>
      </c>
      <c r="D94">
        <f t="shared" si="7"/>
        <v>0.87403564974315384</v>
      </c>
      <c r="E94">
        <f>(B94-MAX(B$2:B94))/MAX(B$2:B94)</f>
        <v>-0.24057361698049828</v>
      </c>
      <c r="F94">
        <f t="shared" si="8"/>
        <v>0</v>
      </c>
    </row>
    <row r="95" spans="1:6" x14ac:dyDescent="0.4">
      <c r="A95" s="6">
        <v>45691</v>
      </c>
      <c r="B95" s="11">
        <v>19.680967330932621</v>
      </c>
      <c r="C95">
        <f t="shared" si="6"/>
        <v>3.2822502541285971E-2</v>
      </c>
      <c r="D95">
        <f t="shared" si="7"/>
        <v>0.90272368707802308</v>
      </c>
      <c r="E95">
        <f>(B95-MAX(B$2:B95))/MAX(B$2:B95)</f>
        <v>-0.21523375869253453</v>
      </c>
      <c r="F95">
        <f t="shared" si="8"/>
        <v>0</v>
      </c>
    </row>
    <row r="96" spans="1:6" x14ac:dyDescent="0.4">
      <c r="A96" s="6">
        <v>45719</v>
      </c>
      <c r="B96" s="11">
        <v>22.357730865478519</v>
      </c>
      <c r="C96">
        <f t="shared" si="6"/>
        <v>0.12752011786068518</v>
      </c>
      <c r="D96">
        <f t="shared" si="7"/>
        <v>1.0178391180498449</v>
      </c>
      <c r="E96">
        <f>(B96-MAX(B$2:B96))/MAX(B$2:B96)</f>
        <v>-0.1084994898655699</v>
      </c>
      <c r="F96">
        <f t="shared" si="8"/>
        <v>0</v>
      </c>
    </row>
    <row r="97" spans="1:6" x14ac:dyDescent="0.4">
      <c r="A97" s="6">
        <v>45748</v>
      </c>
      <c r="B97" s="11">
        <v>22.627334594726559</v>
      </c>
      <c r="C97">
        <f t="shared" si="6"/>
        <v>1.1986509498512163E-2</v>
      </c>
      <c r="D97">
        <f t="shared" si="7"/>
        <v>1.0300394563063067</v>
      </c>
      <c r="E97">
        <f>(B97-MAX(B$2:B97))/MAX(B$2:B97)</f>
        <v>-9.7749210080697466E-2</v>
      </c>
      <c r="F97">
        <f t="shared" si="8"/>
        <v>0</v>
      </c>
    </row>
    <row r="98" spans="1:6" x14ac:dyDescent="0.4">
      <c r="A98" s="6">
        <v>45779</v>
      </c>
      <c r="B98" s="11">
        <v>22.035724639892582</v>
      </c>
      <c r="C98">
        <f t="shared" ref="C98:C109" si="9">LN(B98/B97)</f>
        <v>-2.6493687158133019E-2</v>
      </c>
      <c r="D98">
        <f t="shared" ref="D98:D109" si="10">D97*(1+C98)</f>
        <v>1.0027499131903939</v>
      </c>
      <c r="E98">
        <f>(B98-MAX(B$2:B98))/MAX(B$2:B98)</f>
        <v>-0.12133928635938915</v>
      </c>
      <c r="F98">
        <f t="shared" ref="F98:F109" si="11">IF(C98 &lt; 0, C98, 0)</f>
        <v>-2.6493687158133019E-2</v>
      </c>
    </row>
    <row r="99" spans="1:6" x14ac:dyDescent="0.4">
      <c r="A99" s="6">
        <v>45810</v>
      </c>
      <c r="B99" s="11">
        <v>22.833133697509769</v>
      </c>
      <c r="C99">
        <f t="shared" si="9"/>
        <v>3.5547729775347023E-2</v>
      </c>
      <c r="D99">
        <f t="shared" si="10"/>
        <v>1.0383953961367387</v>
      </c>
      <c r="E99">
        <f>(B99-MAX(B$2:B99))/MAX(B$2:B99)</f>
        <v>-8.9543099799634596E-2</v>
      </c>
      <c r="F99">
        <f t="shared" si="11"/>
        <v>0</v>
      </c>
    </row>
    <row r="100" spans="1:6" x14ac:dyDescent="0.4">
      <c r="A100" s="6">
        <v>45840</v>
      </c>
      <c r="B100" s="11">
        <v>23.961174011230469</v>
      </c>
      <c r="C100">
        <f t="shared" si="9"/>
        <v>4.822205745902141E-2</v>
      </c>
      <c r="D100">
        <f t="shared" si="10"/>
        <v>1.0884689585944276</v>
      </c>
      <c r="E100">
        <f>(B100-MAX(B$2:B100))/MAX(B$2:B100)</f>
        <v>-4.4563199058143023E-2</v>
      </c>
      <c r="F100">
        <f t="shared" si="11"/>
        <v>0</v>
      </c>
    </row>
    <row r="101" spans="1:6" x14ac:dyDescent="0.4">
      <c r="A101" s="6">
        <v>45870</v>
      </c>
      <c r="B101" s="11">
        <v>24.29180908203125</v>
      </c>
      <c r="C101">
        <f t="shared" si="9"/>
        <v>1.3704447864374646E-2</v>
      </c>
      <c r="D101">
        <f t="shared" si="10"/>
        <v>1.103385824689475</v>
      </c>
      <c r="E101">
        <f>(B101-MAX(B$2:B101))/MAX(B$2:B101)</f>
        <v>-3.1379332767742484E-2</v>
      </c>
      <c r="F101">
        <f t="shared" si="11"/>
        <v>0</v>
      </c>
    </row>
    <row r="102" spans="1:6" x14ac:dyDescent="0.4">
      <c r="A102" s="6">
        <v>45901</v>
      </c>
      <c r="B102" s="11">
        <v>25.439300537109379</v>
      </c>
      <c r="C102">
        <f t="shared" si="9"/>
        <v>4.6156024772967465E-2</v>
      </c>
      <c r="D102">
        <f t="shared" si="10"/>
        <v>1.1543137281479836</v>
      </c>
      <c r="E102">
        <f>(B102-MAX(B$2:B102))/MAX(B$2:B102)</f>
        <v>0</v>
      </c>
      <c r="F102">
        <f t="shared" si="11"/>
        <v>0</v>
      </c>
    </row>
    <row r="103" spans="1:6" x14ac:dyDescent="0.4">
      <c r="A103" s="6">
        <v>45932</v>
      </c>
      <c r="B103" s="11">
        <v>27.1897087097168</v>
      </c>
      <c r="C103">
        <f t="shared" si="9"/>
        <v>6.6543301963293222E-2</v>
      </c>
      <c r="D103">
        <f t="shared" si="10"/>
        <v>1.2311255751205097</v>
      </c>
      <c r="E103">
        <f>(B103-MAX(B$2:B103))/MAX(B$2:B103)</f>
        <v>0</v>
      </c>
      <c r="F103">
        <f t="shared" si="11"/>
        <v>0</v>
      </c>
    </row>
    <row r="104" spans="1:6" x14ac:dyDescent="0.4">
      <c r="A104" s="6">
        <v>45964</v>
      </c>
      <c r="B104" s="11">
        <v>26.067953109741211</v>
      </c>
      <c r="C104">
        <f t="shared" si="9"/>
        <v>-4.2131835745258611E-2</v>
      </c>
      <c r="D104">
        <f t="shared" si="10"/>
        <v>1.1792559946077454</v>
      </c>
      <c r="E104">
        <f>(B104-MAX(B$2:B104))/MAX(B$2:B104)</f>
        <v>-4.1256624407112794E-2</v>
      </c>
      <c r="F104">
        <f t="shared" si="11"/>
        <v>-4.2131835745258611E-2</v>
      </c>
    </row>
    <row r="105" spans="1:6" x14ac:dyDescent="0.4">
      <c r="A105" s="6">
        <v>45992</v>
      </c>
      <c r="B105" s="11">
        <v>26.008392333984379</v>
      </c>
      <c r="C105">
        <f t="shared" si="9"/>
        <v>-2.2874416866146895E-3</v>
      </c>
      <c r="D105">
        <f t="shared" si="10"/>
        <v>1.1765585152864895</v>
      </c>
      <c r="E105">
        <f>(B105-MAX(B$2:B105))/MAX(B$2:B105)</f>
        <v>-4.3447187623244163E-2</v>
      </c>
      <c r="F105">
        <f t="shared" si="11"/>
        <v>-2.2874416866146895E-3</v>
      </c>
    </row>
    <row r="106" spans="1:6" x14ac:dyDescent="0.4">
      <c r="A106" s="6">
        <v>46024</v>
      </c>
      <c r="B106" s="11">
        <v>26.345905303955082</v>
      </c>
      <c r="C106">
        <f t="shared" si="9"/>
        <v>1.2893598462874901E-2</v>
      </c>
      <c r="D106">
        <f t="shared" si="10"/>
        <v>1.1917285883506696</v>
      </c>
      <c r="E106">
        <f>(B106-MAX(B$2:B106))/MAX(B$2:B106)</f>
        <v>-3.1033925915512597E-2</v>
      </c>
      <c r="F106">
        <f t="shared" si="11"/>
        <v>0</v>
      </c>
    </row>
    <row r="107" spans="1:6" x14ac:dyDescent="0.4">
      <c r="A107" s="6">
        <v>46055</v>
      </c>
      <c r="B107" s="11">
        <v>26.742979049682621</v>
      </c>
      <c r="C107">
        <f t="shared" si="9"/>
        <v>1.4959106981758306E-2</v>
      </c>
      <c r="D107">
        <f t="shared" si="10"/>
        <v>1.209555783797027</v>
      </c>
      <c r="E107">
        <f>(B107-MAX(B$2:B107))/MAX(B$2:B107)</f>
        <v>-1.6430100991649522E-2</v>
      </c>
      <c r="F107">
        <f t="shared" si="11"/>
        <v>0</v>
      </c>
    </row>
    <row r="108" spans="1:6" x14ac:dyDescent="0.4">
      <c r="A108" s="6">
        <v>46083</v>
      </c>
      <c r="B108" s="11">
        <v>26.08780670166016</v>
      </c>
      <c r="C108">
        <f t="shared" si="9"/>
        <v>-2.4803944473257671E-2</v>
      </c>
      <c r="D108">
        <f t="shared" si="10"/>
        <v>1.1795540292984179</v>
      </c>
      <c r="E108">
        <f>(B108-MAX(B$2:B108))/MAX(B$2:B108)</f>
        <v>-4.0526436668402166E-2</v>
      </c>
      <c r="F108">
        <f t="shared" si="11"/>
        <v>-2.4803944473257671E-2</v>
      </c>
    </row>
    <row r="109" spans="1:6" x14ac:dyDescent="0.4">
      <c r="A109" s="6">
        <v>46113</v>
      </c>
      <c r="B109" s="11">
        <v>25.353218078613281</v>
      </c>
      <c r="C109">
        <f t="shared" si="9"/>
        <v>-2.8562361104105208E-2</v>
      </c>
      <c r="D109">
        <f t="shared" si="10"/>
        <v>1.1458631811717941</v>
      </c>
      <c r="E109">
        <f>(B109-MAX(B$2:B109))/MAX(B$2:B109)</f>
        <v>-6.7543593449649997E-2</v>
      </c>
      <c r="F109">
        <f t="shared" si="11"/>
        <v>-2.8562361104105208E-2</v>
      </c>
    </row>
  </sheetData>
  <phoneticPr fontId="3" type="noConversion"/>
  <pageMargins left="0.7" right="0.7" top="0.75" bottom="0.75" header="0.3" footer="0.3"/>
  <ignoredErrors>
    <ignoredError sqref="E6" calculatedColumn="1"/>
  </ignoredErrors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1BBC-D780-44C7-A9AD-3DE86957589A}">
  <dimension ref="A1:T28"/>
  <sheetViews>
    <sheetView tabSelected="1" workbookViewId="0">
      <selection activeCell="O8" sqref="O8"/>
    </sheetView>
  </sheetViews>
  <sheetFormatPr defaultRowHeight="17" x14ac:dyDescent="0.4"/>
  <cols>
    <col min="1" max="1" width="29.81640625" bestFit="1" customWidth="1"/>
    <col min="2" max="2" width="13.26953125" bestFit="1" customWidth="1"/>
    <col min="9" max="9" width="13" bestFit="1" customWidth="1"/>
    <col min="13" max="13" width="13.7265625" bestFit="1" customWidth="1"/>
    <col min="16" max="16" width="20.81640625" bestFit="1" customWidth="1"/>
  </cols>
  <sheetData>
    <row r="1" spans="1:20" x14ac:dyDescent="0.4">
      <c r="A1" t="s">
        <v>26</v>
      </c>
      <c r="B1" t="s">
        <v>12</v>
      </c>
      <c r="C1" t="s">
        <v>13</v>
      </c>
      <c r="D1" t="s">
        <v>14</v>
      </c>
      <c r="E1" t="s">
        <v>3</v>
      </c>
      <c r="F1" t="s">
        <v>15</v>
      </c>
      <c r="G1" t="s">
        <v>16</v>
      </c>
      <c r="H1" t="s">
        <v>17</v>
      </c>
      <c r="I1" t="s">
        <v>7</v>
      </c>
      <c r="J1" t="s">
        <v>8</v>
      </c>
      <c r="K1" t="s">
        <v>9</v>
      </c>
      <c r="L1" t="s">
        <v>22</v>
      </c>
      <c r="M1">
        <v>2800</v>
      </c>
      <c r="S1" t="s">
        <v>23</v>
      </c>
      <c r="T1" s="9">
        <f>2.26214/100/12</f>
        <v>1.8851166666666666E-3</v>
      </c>
    </row>
    <row r="2" spans="1:20" x14ac:dyDescent="0.4">
      <c r="A2" t="s">
        <v>19</v>
      </c>
      <c r="B2">
        <f>CORREL(VOO!$C3:$C109,mpf_monthly_return!B2:B108)</f>
        <v>0.43198583867445012</v>
      </c>
      <c r="C2">
        <f>CORREL(VOO!$C3:$C109,mpf_monthly_return!C2:C108)</f>
        <v>0.80687715774385382</v>
      </c>
      <c r="D2">
        <f>CORREL(VOO!$C3:$C109,mpf_monthly_return!D2:D108)</f>
        <v>0.5438969948864445</v>
      </c>
      <c r="E2">
        <f>CORREL(VOO!$C3:$C109,mpf_monthly_return!E2:E108)</f>
        <v>0.94286662538553978</v>
      </c>
      <c r="F2">
        <f>CORREL(VOO!$C3:$C109,mpf_monthly_return!F2:F108)</f>
        <v>0.83369178454165482</v>
      </c>
      <c r="G2">
        <f>CORREL(VOO!$C3:$C109,mpf_monthly_return!G2:G108)</f>
        <v>0.9707846349478535</v>
      </c>
      <c r="H2">
        <f>CORREL(VOO!$C3:$C109,mpf_monthly_return!H2:H108)</f>
        <v>0.82130906347580968</v>
      </c>
      <c r="I2">
        <f>CORREL(VOO!$C3:$C109,mpf_monthly_return!I2:I108)</f>
        <v>0.96537699311897973</v>
      </c>
      <c r="J2">
        <f>CORREL(VOO!$C3:$C109,mpf_monthly_return!J2:J108)</f>
        <v>2.1027271465717409E-2</v>
      </c>
      <c r="K2">
        <f>CORREL(VOO!$C3:$C109,mpf_monthly_return!K2:K108)</f>
        <v>0.81693078102423555</v>
      </c>
    </row>
    <row r="3" spans="1:20" x14ac:dyDescent="0.4">
      <c r="A3" t="s">
        <v>29</v>
      </c>
      <c r="B3">
        <f>CORREL('2800'!$C3:$C109,mpf_monthly_return!B2:B108)</f>
        <v>0.94603115392936921</v>
      </c>
      <c r="C3">
        <f>CORREL('2800'!$C3:$C109,mpf_monthly_return!C2:C108)</f>
        <v>0.54727563321188843</v>
      </c>
      <c r="D3">
        <f>CORREL('2800'!$C3:$C109,mpf_monthly_return!D2:D108)</f>
        <v>0.46066120339407429</v>
      </c>
      <c r="E3">
        <f>CORREL('2800'!$C3:$C109,mpf_monthly_return!E2:E108)</f>
        <v>0.46516412003184393</v>
      </c>
      <c r="F3">
        <f>CORREL('2800'!$C3:$C109,mpf_monthly_return!F2:F108)</f>
        <v>0.75873638866484205</v>
      </c>
      <c r="G3">
        <f>CORREL('2800'!$C3:$C109,mpf_monthly_return!G2:G108)</f>
        <v>0.39023258054919197</v>
      </c>
      <c r="H3">
        <f>CORREL('2800'!$C3:$C109,mpf_monthly_return!H2:H108)</f>
        <v>0.72346720318619129</v>
      </c>
      <c r="I3">
        <f>CORREL('2800'!$C3:$C109,mpf_monthly_return!I2:I108)</f>
        <v>0.40926521989169379</v>
      </c>
      <c r="J3">
        <f>CORREL('2800'!$C3:$C109,mpf_monthly_return!J2:J108)</f>
        <v>7.8964740922126714E-2</v>
      </c>
      <c r="K3">
        <f>CORREL('2800'!$C3:$C109,mpf_monthly_return!K2:K108)</f>
        <v>0.72533948800990533</v>
      </c>
    </row>
    <row r="4" spans="1:20" x14ac:dyDescent="0.4">
      <c r="A4" t="s">
        <v>20</v>
      </c>
      <c r="B4">
        <f>AVERAGE(mpf_monthly_return!B2:B108)</f>
        <v>2.0417929348070943E-3</v>
      </c>
      <c r="C4">
        <f>AVERAGE(mpf_monthly_return!C2:C108)</f>
        <v>7.5261529633567342E-3</v>
      </c>
      <c r="D4">
        <f>AVERAGE(mpf_monthly_return!D2:D108)</f>
        <v>1.3086383355607404E-3</v>
      </c>
      <c r="E4">
        <f>AVERAGE(mpf_monthly_return!E2:E108)</f>
        <v>5.107009653883391E-3</v>
      </c>
      <c r="F4">
        <f>AVERAGE(mpf_monthly_return!F2:F108)</f>
        <v>5.2879177864167543E-3</v>
      </c>
      <c r="G4">
        <f>AVERAGE(mpf_monthly_return!G2:G108)</f>
        <v>8.4367589366239511E-3</v>
      </c>
      <c r="H4">
        <f>AVERAGE(mpf_monthly_return!H2:H108)</f>
        <v>3.3520118299656954E-3</v>
      </c>
      <c r="I4">
        <f>AVERAGE(mpf_monthly_return!I2:I108)</f>
        <v>8.535331824469642E-3</v>
      </c>
      <c r="J4">
        <f>AVERAGE(mpf_monthly_return!J2:J108)</f>
        <v>1.113977230089357E-3</v>
      </c>
      <c r="K4">
        <f>AVERAGE(mpf_monthly_return!K2:K108)</f>
        <v>2.7175900755509667E-3</v>
      </c>
      <c r="L4">
        <f>AVERAGE(VOO!C3:C109)</f>
        <v>1.0823360427787566E-2</v>
      </c>
      <c r="M4">
        <f>AVERAGE('2800'!C3:C109)</f>
        <v>3.0435351416435532E-3</v>
      </c>
    </row>
    <row r="5" spans="1:20" x14ac:dyDescent="0.4">
      <c r="A5" t="s">
        <v>21</v>
      </c>
      <c r="B5">
        <f>_xlfn.STDEV.P(mpf_monthly_return!B2:B108)</f>
        <v>5.535823432158065E-2</v>
      </c>
      <c r="C5">
        <f>_xlfn.STDEV.P(mpf_monthly_return!C2:C108)</f>
        <v>5.0055465188504893E-2</v>
      </c>
      <c r="D5">
        <f>_xlfn.STDEV.P(mpf_monthly_return!D2:D108)</f>
        <v>1.5548010315705348E-2</v>
      </c>
      <c r="E5">
        <f>_xlfn.STDEV.P(mpf_monthly_return!E2:E108)</f>
        <v>2.8953803993128781E-2</v>
      </c>
      <c r="F5">
        <f>_xlfn.STDEV.P(mpf_monthly_return!F2:F108)</f>
        <v>3.9659602144659446E-2</v>
      </c>
      <c r="G5">
        <f>_xlfn.STDEV.P(mpf_monthly_return!G2:G108)</f>
        <v>4.8491150901160358E-2</v>
      </c>
      <c r="H5">
        <f>_xlfn.STDEV.P(mpf_monthly_return!H2:H108)</f>
        <v>3.0209561864136137E-2</v>
      </c>
      <c r="I5">
        <f>_xlfn.STDEV.P(mpf_monthly_return!I2:I108)</f>
        <v>5.0773465112209509E-2</v>
      </c>
      <c r="J5">
        <f>_xlfn.STDEV.P(mpf_monthly_return!J2:J108)</f>
        <v>1.0317918616307039E-3</v>
      </c>
      <c r="K5">
        <f>_xlfn.STDEV.P(mpf_monthly_return!K2:K108)</f>
        <v>2.6782984523669392E-2</v>
      </c>
      <c r="L5">
        <f>_xlfn.STDEV.P(VOO!C3:C109)</f>
        <v>4.8289574117169498E-2</v>
      </c>
      <c r="M5">
        <f>_xlfn.STDEV.P('2800'!C3:C109)</f>
        <v>6.0074420283121065E-2</v>
      </c>
    </row>
    <row r="6" spans="1:20" x14ac:dyDescent="0.4">
      <c r="A6" t="s">
        <v>24</v>
      </c>
      <c r="B6">
        <f t="shared" ref="B6:M6" si="0">(B4-$T1)/B5</f>
        <v>2.8302251699409719E-3</v>
      </c>
      <c r="C6">
        <f t="shared" si="0"/>
        <v>0.11269571215543348</v>
      </c>
      <c r="D6">
        <f t="shared" si="0"/>
        <v>-3.7077305674515421E-2</v>
      </c>
      <c r="E6">
        <f t="shared" si="0"/>
        <v>0.11127701865983942</v>
      </c>
      <c r="F6">
        <f t="shared" si="0"/>
        <v>8.5800182950355394E-2</v>
      </c>
      <c r="G6">
        <f t="shared" si="0"/>
        <v>0.13511005922114561</v>
      </c>
      <c r="H6">
        <f t="shared" si="0"/>
        <v>4.8557313406139849E-2</v>
      </c>
      <c r="I6">
        <f t="shared" si="0"/>
        <v>0.13097816237489365</v>
      </c>
      <c r="J6">
        <f t="shared" si="0"/>
        <v>-0.74737887092708399</v>
      </c>
      <c r="K6">
        <f t="shared" si="0"/>
        <v>3.1082174884154674E-2</v>
      </c>
      <c r="L6">
        <f t="shared" si="0"/>
        <v>0.1850967610406587</v>
      </c>
      <c r="M6">
        <f t="shared" si="0"/>
        <v>1.9283057073500618E-2</v>
      </c>
    </row>
    <row r="7" spans="1:20" x14ac:dyDescent="0.4">
      <c r="A7" t="s">
        <v>28</v>
      </c>
      <c r="B7">
        <f>MIN(max_dd!B2:B108)</f>
        <v>-0.47847478474784744</v>
      </c>
      <c r="C7">
        <f>MIN(max_dd!C2:C108)</f>
        <v>-0.31097773475314616</v>
      </c>
      <c r="D7">
        <f>MIN(max_dd!D2:D108)</f>
        <v>-0.18980239082703101</v>
      </c>
      <c r="E7">
        <f>MIN(max_dd!E2:E108)</f>
        <v>-0.20404149996609477</v>
      </c>
      <c r="F7">
        <f>MIN(max_dd!F2:F108)</f>
        <v>-0.29016641452344932</v>
      </c>
      <c r="G7">
        <f>MIN(max_dd!G2:G108)</f>
        <v>-0.24294406280667316</v>
      </c>
      <c r="H7">
        <f>MIN(max_dd!H2:H108)</f>
        <v>-0.24547202719019726</v>
      </c>
      <c r="I7">
        <f>MIN(max_dd!I2:I108)</f>
        <v>-0.28711162255466055</v>
      </c>
      <c r="J7">
        <f>MIN(max_dd!J2:J108)</f>
        <v>0</v>
      </c>
      <c r="K7">
        <f>MIN(max_dd!K2:K108)</f>
        <v>-0.24722649926961193</v>
      </c>
      <c r="L7">
        <f>MIN(VOO!E3:E109)</f>
        <v>-0.23861766845655408</v>
      </c>
      <c r="M7">
        <f>MIN('2800'!E2:E109)</f>
        <v>-0.44538717168771025</v>
      </c>
    </row>
    <row r="8" spans="1:20" x14ac:dyDescent="0.4">
      <c r="A8" t="s">
        <v>30</v>
      </c>
      <c r="B8">
        <f t="shared" ref="B8:M8" si="1">B4/ABS(B7)</f>
        <v>4.2672947454965755E-3</v>
      </c>
      <c r="C8">
        <f t="shared" si="1"/>
        <v>2.4201581406884283E-2</v>
      </c>
      <c r="D8">
        <f t="shared" si="1"/>
        <v>6.8947410507242601E-3</v>
      </c>
      <c r="E8">
        <f t="shared" si="1"/>
        <v>2.5029269313997467E-2</v>
      </c>
      <c r="F8">
        <f t="shared" si="1"/>
        <v>1.8223741693542621E-2</v>
      </c>
      <c r="G8">
        <f t="shared" si="1"/>
        <v>3.4727166571416251E-2</v>
      </c>
      <c r="H8">
        <f t="shared" si="1"/>
        <v>1.365537193111002E-2</v>
      </c>
      <c r="I8">
        <f t="shared" si="1"/>
        <v>2.9728269961780032E-2</v>
      </c>
      <c r="J8">
        <v>0</v>
      </c>
      <c r="K8">
        <f t="shared" si="1"/>
        <v>1.0992309010480745E-2</v>
      </c>
      <c r="L8">
        <f t="shared" si="1"/>
        <v>4.5358587642717718E-2</v>
      </c>
      <c r="M8">
        <f t="shared" si="1"/>
        <v>6.8334593699918515E-3</v>
      </c>
    </row>
    <row r="9" spans="1:20" x14ac:dyDescent="0.4">
      <c r="A9" t="s">
        <v>32</v>
      </c>
      <c r="B9" s="10">
        <f>(B4-$T$1)/(SQRT(SUMSQ(downside!B3:B109) / COUNT(mpf_monthly_return!B2:B108)))</f>
        <v>4.2294280312934239E-3</v>
      </c>
      <c r="C9" s="10">
        <f>(C4-$T$1)/(SQRT(SUMSQ(downside!C3:C109) / COUNT(mpf_monthly_return!C2:C108)))</f>
        <v>0.16486175196833547</v>
      </c>
      <c r="D9" s="10">
        <f>(D4-$T$1)/(SQRT(SUMSQ(downside!D3:D109) / COUNT(mpf_monthly_return!D2:D108)))</f>
        <v>-5.4528033450432778E-2</v>
      </c>
      <c r="E9" s="10">
        <f>(E4-$T$1)/(SQRT(SUMSQ(downside!E3:E109) / COUNT(mpf_monthly_return!E2:E108)))</f>
        <v>0.16413055512072866</v>
      </c>
      <c r="F9" s="10">
        <f>(F4-$T$1)/(SQRT(SUMSQ(downside!F3:F109) / COUNT(mpf_monthly_return!F2:F108)))</f>
        <v>0.12815028963392566</v>
      </c>
      <c r="G9" s="10">
        <f>(G4-$T$1)/(SQRT(SUMSQ(downside!G3:G109) / COUNT(mpf_monthly_return!G2:G108)))</f>
        <v>0.19957099755810864</v>
      </c>
      <c r="H9" s="10">
        <f>(H4-$T$1)/(SQRT(SUMSQ(downside!H3:H109) / COUNT(mpf_monthly_return!H2:H108)))</f>
        <v>7.0902823865896414E-2</v>
      </c>
      <c r="I9" s="10">
        <f>(I4-$T$1)/(SQRT(SUMSQ(downside!I3:I109) / COUNT(mpf_monthly_return!I2:I108)))</f>
        <v>0.19021336037237874</v>
      </c>
      <c r="J9" s="10">
        <v>0</v>
      </c>
      <c r="K9" s="10">
        <f>(K4-$T$1)/(SQRT(SUMSQ(downside!K3:K109) / COUNT(mpf_monthly_return!K2:K108)))</f>
        <v>4.592149561759077E-2</v>
      </c>
      <c r="L9">
        <f>(L4-$T$1)/(SQRT(SUMSQ(VOO!F3:F109) / COUNT(VOO!C3:C109)))</f>
        <v>0.26871825963589718</v>
      </c>
      <c r="M9">
        <f>(M4-$T$1)/(SQRT(SUMSQ('2800'!F3:F109) / COUNT('2800'!C3:C109)))</f>
        <v>2.9870722872686051E-2</v>
      </c>
    </row>
    <row r="10" spans="1:20" x14ac:dyDescent="0.4">
      <c r="A10" t="s">
        <v>33</v>
      </c>
      <c r="B10">
        <f>(SQRT(SUMSQ(downside!B3:B109)/COUNT(mpf_monthly_return!B2:B108)))</f>
        <v>3.7044315917231424E-2</v>
      </c>
      <c r="C10">
        <f>(SQRT(SUMSQ(downside!C3:C109)/COUNT(mpf_monthly_return!C2:C108)))</f>
        <v>3.4216767863619005E-2</v>
      </c>
      <c r="D10">
        <f>(SQRT(SUMSQ(downside!D3:D109)/COUNT(mpf_monthly_return!D2:D108)))</f>
        <v>1.0572146006878426E-2</v>
      </c>
      <c r="E10">
        <f>(SQRT(SUMSQ(downside!E3:E109)/COUNT(mpf_monthly_return!E2:E108)))</f>
        <v>1.9630062085921867E-2</v>
      </c>
      <c r="F10">
        <f>(SQRT(SUMSQ(downside!F3:F109)/COUNT(mpf_monthly_return!F2:F108)))</f>
        <v>2.6553206625365696E-2</v>
      </c>
      <c r="G10">
        <f>(SQRT(SUMSQ(downside!G3:G109)/COUNT(mpf_monthly_return!G2:G108)))</f>
        <v>3.2828629160154686E-2</v>
      </c>
      <c r="H10">
        <f>(SQRT(SUMSQ(downside!H3:H109)/COUNT(mpf_monthly_return!H2:H108)))</f>
        <v>2.0688811577850165E-2</v>
      </c>
      <c r="I10">
        <f>(SQRT(SUMSQ(downside!I3:I109)/COUNT(mpf_monthly_return!I2:I108)))</f>
        <v>3.4961871998811851E-2</v>
      </c>
      <c r="J10">
        <f>(SQRT(SUMSQ(downside!J3:J109)/COUNT(mpf_monthly_return!J2:J108)))</f>
        <v>0</v>
      </c>
      <c r="K10">
        <f>(SQRT(SUMSQ(downside!K3:K109)/COUNT(mpf_monthly_return!K2:K108)))</f>
        <v>1.8128185889603549E-2</v>
      </c>
      <c r="L10">
        <f>(SQRT(SUMSQ(VOO!F3:F109)/COUNT(VOO!C3:C109)))</f>
        <v>3.3262509861562338E-2</v>
      </c>
      <c r="M10">
        <f>SQRT(SUMSQ('2800'!F3:F109)/COUNT('2800'!C3:C109))</f>
        <v>3.8781065992753418E-2</v>
      </c>
    </row>
    <row r="11" spans="1:20" x14ac:dyDescent="0.4">
      <c r="A11" t="s">
        <v>34</v>
      </c>
      <c r="B11">
        <f>SLOPE(mpf_monthly_return!B2:B108,VOO!$C3:$C109)</f>
        <v>0.49522021509073672</v>
      </c>
      <c r="C11">
        <f>SLOPE(mpf_monthly_return!C2:C108,VOO!$C3:$C109)</f>
        <v>0.83638367534260283</v>
      </c>
      <c r="D11">
        <f>SLOPE(mpf_monthly_return!D2:D108,VOO!$C3:$C109)</f>
        <v>0.17512094984844445</v>
      </c>
      <c r="E11">
        <f>SLOPE(mpf_monthly_return!E2:E108,VOO!$C3:$C109)</f>
        <v>0.56533063217406287</v>
      </c>
      <c r="F11">
        <f>SLOPE(mpf_monthly_return!F2:F108,VOO!$C3:$C109)</f>
        <v>0.68470027103505182</v>
      </c>
      <c r="G11">
        <f>SLOPE(mpf_monthly_return!G2:G108,VOO!$C3:$C109)</f>
        <v>0.97483701371155274</v>
      </c>
      <c r="H11">
        <f>SLOPE(mpf_monthly_return!H2:H108,VOO!$C3:$C109)</f>
        <v>0.51380421998433878</v>
      </c>
      <c r="I11">
        <f>SLOPE(mpf_monthly_return!I2:I108,VOO!$C3:$C109)</f>
        <v>1.015033492764406</v>
      </c>
      <c r="J11">
        <f>SLOPE(mpf_monthly_return!J2:J108,VOO!$C3:$C109)</f>
        <v>4.4928471553682124E-4</v>
      </c>
      <c r="K11">
        <f>SLOPE(mpf_monthly_return!K2:K108,VOO!$C3:$C109)</f>
        <v>0.45309665419686929</v>
      </c>
    </row>
    <row r="12" spans="1:20" x14ac:dyDescent="0.4">
      <c r="A12" t="s">
        <v>35</v>
      </c>
      <c r="B12" cm="1">
        <f t="array" ref="B12">INTERCEPT(mpf_monthly_return!B2:B108-$T1,VOO!$C3:$C109-$T1)</f>
        <v>-4.2697227297753019E-3</v>
      </c>
      <c r="C12" cm="1">
        <f t="array" ref="C12">INTERCEPT(mpf_monthly_return!C2:C108-$T1,VOO!$C3:$C109-$T1)</f>
        <v>-1.8347648713443274E-3</v>
      </c>
      <c r="D12" cm="1">
        <f t="array" ref="D12">INTERCEPT(mpf_monthly_return!D2:D108-$T1,VOO!$C3:$C109-$T1)</f>
        <v>-2.1417520685303513E-3</v>
      </c>
      <c r="E12" cm="1">
        <f t="array" ref="E12">INTERCEPT(mpf_monthly_return!E2:E108-$T1,VOO!$C3:$C109-$T1)</f>
        <v>-1.8311700087836301E-3</v>
      </c>
      <c r="F12" cm="1">
        <f t="array" ref="F12">INTERCEPT(mpf_monthly_return!F2:F108-$T1,VOO!$C3:$C109-$T1)</f>
        <v>-2.7172168060667547E-3</v>
      </c>
      <c r="G12" cm="1">
        <f t="array" ref="G12">INTERCEPT(mpf_monthly_return!G2:G108-$T1,VOO!$C3:$C109-$T1)</f>
        <v>-2.1616885859597314E-3</v>
      </c>
      <c r="H12" cm="1">
        <f t="array" ref="H12">INTERCEPT(mpf_monthly_return!H2:H108-$T1,VOO!$C3:$C109-$T1)</f>
        <v>-3.1256122004135788E-3</v>
      </c>
      <c r="I12" cm="1">
        <f t="array" ref="I12">INTERCEPT(mpf_monthly_return!I2:I108-$T1,VOO!$C3:$C109-$T1)</f>
        <v>-2.4224016262272361E-3</v>
      </c>
      <c r="J12" cm="1">
        <f t="array" ref="J12">INTERCEPT(mpf_monthly_return!J2:J108-$T1,VOO!$C3:$C109-$T1)</f>
        <v>-7.751552528829234E-4</v>
      </c>
      <c r="K12" cm="1">
        <f t="array" ref="K12">INTERCEPT(mpf_monthly_return!K2:K108-$T1,VOO!$C3:$C109-$T1)</f>
        <v>-3.2174149336756212E-3</v>
      </c>
    </row>
    <row r="13" spans="1:20" x14ac:dyDescent="0.4">
      <c r="A13" t="s">
        <v>36</v>
      </c>
      <c r="B13">
        <f>RSQ(mpf_monthly_return!B2:B108, VOO!$C3:$C109)</f>
        <v>0.18661176481526809</v>
      </c>
      <c r="C13">
        <f>RSQ(mpf_monthly_return!C2:C108, VOO!$C3:$C109)</f>
        <v>0.65105074768879978</v>
      </c>
      <c r="D13">
        <f>RSQ(mpf_monthly_return!D2:D108, VOO!$C3:$C109)</f>
        <v>0.29582394104650517</v>
      </c>
      <c r="E13">
        <f>RSQ(mpf_monthly_return!E2:E108, VOO!$C3:$C109)</f>
        <v>0.88899747326591561</v>
      </c>
      <c r="F13">
        <f>RSQ(mpf_monthly_return!F2:F108, VOO!$C3:$C109)</f>
        <v>0.69504199161224933</v>
      </c>
      <c r="G13">
        <f>RSQ(mpf_monthly_return!G2:G108, VOO!$C3:$C109)</f>
        <v>0.94242280745083695</v>
      </c>
      <c r="H13">
        <f>RSQ(mpf_monthly_return!H2:H108, VOO!$C3:$C109)</f>
        <v>0.67454857774751198</v>
      </c>
      <c r="I13">
        <f>RSQ(mpf_monthly_return!I2:I108, VOO!$C3:$C109)</f>
        <v>0.93195273884344265</v>
      </c>
      <c r="J13">
        <f>RSQ(mpf_monthly_return!J2:J108, VOO!$C3:$C109)</f>
        <v>4.4214614529297386E-4</v>
      </c>
      <c r="K13">
        <f>RSQ(mpf_monthly_return!K2:K108, VOO!$C3:$C109)</f>
        <v>0.66737590098486754</v>
      </c>
    </row>
    <row r="14" spans="1:20" x14ac:dyDescent="0.4">
      <c r="A14" t="s">
        <v>37</v>
      </c>
      <c r="B14">
        <f>SLOPE(mpf_monthly_return!B2:B108,'2800'!$C3:$C109)</f>
        <v>0.87176229163632535</v>
      </c>
      <c r="C14">
        <f>SLOPE(mpf_monthly_return!C2:C108,'2800'!$C3:$C109)</f>
        <v>0.4560033418158761</v>
      </c>
      <c r="D14">
        <f>SLOPE(mpf_monthly_return!D2:D108,'2800'!$C3:$C109)</f>
        <v>0.1192248732265952</v>
      </c>
      <c r="E14">
        <f>SLOPE(mpf_monthly_return!E2:E108,'2800'!$C3:$C109)</f>
        <v>0.22419310402937634</v>
      </c>
      <c r="F14">
        <f>SLOPE(mpf_monthly_return!F2:F108,'2800'!$C3:$C109)</f>
        <v>0.50089843839205495</v>
      </c>
      <c r="G14">
        <f>SLOPE(mpf_monthly_return!G2:G108,'2800'!$C3:$C109)</f>
        <v>0.31498975538639967</v>
      </c>
      <c r="H14">
        <f>SLOPE(mpf_monthly_return!H2:H108,'2800'!$C3:$C109)</f>
        <v>0.3638092074517697</v>
      </c>
      <c r="I14">
        <f>SLOPE(mpf_monthly_return!I2:I108,'2800'!$C3:$C109)</f>
        <v>0.34590118832407779</v>
      </c>
      <c r="J14">
        <f>SLOPE(mpf_monthly_return!J2:J108,'2800'!$C3:$C109)</f>
        <v>1.3562374244353579E-3</v>
      </c>
      <c r="K14">
        <f>SLOPE(mpf_monthly_return!K2:K108,'2800'!$C3:$C109)</f>
        <v>0.32337817310962619</v>
      </c>
    </row>
    <row r="15" spans="1:20" x14ac:dyDescent="0.4">
      <c r="A15" t="s">
        <v>38</v>
      </c>
      <c r="B15" cm="1">
        <f t="array" ref="B15">INTERCEPT(mpf_monthly_return!B2:B108-$T1,'2800'!$C3:$C109-$T1)</f>
        <v>-8.5318927627928002E-4</v>
      </c>
      <c r="C15" cm="1">
        <f t="array" ref="C15">INTERCEPT(mpf_monthly_return!C2:C108-$T1,'2800'!$C3:$C109-$T1)</f>
        <v>5.1127936008793532E-3</v>
      </c>
      <c r="D15" cm="1">
        <f t="array" ref="D15">INTERCEPT(mpf_monthly_return!D2:D108-$T1,'2800'!$C3:$C109-$T1)</f>
        <v>-7.1459062692839112E-4</v>
      </c>
      <c r="E15" cm="1">
        <f t="array" ref="E15">INTERCEPT(mpf_monthly_return!E2:E108-$T1,'2800'!$C3:$C109-$T1)</f>
        <v>2.9621835535466787E-3</v>
      </c>
      <c r="F15" cm="1">
        <f t="array" ref="F15">INTERCEPT(mpf_monthly_return!F2:F108-$T1,'2800'!$C3:$C109-$T1)</f>
        <v>2.8225511146296603E-3</v>
      </c>
      <c r="G15" cm="1">
        <f t="array" ref="G15">INTERCEPT(mpf_monthly_return!G2:G108-$T1,'2800'!$C3:$C109-$T1)</f>
        <v>6.1867523178892308E-3</v>
      </c>
      <c r="H15" cm="1">
        <f t="array" ref="H15">INTERCEPT(mpf_monthly_return!H2:H108-$T1,'2800'!$C3:$C109-$T1)</f>
        <v>1.0454518560202009E-3</v>
      </c>
      <c r="I15" cm="1">
        <f t="array" ref="I15">INTERCEPT(mpf_monthly_return!I2:I108-$T1,'2800'!$C3:$C109-$T1)</f>
        <v>6.2495168307319044E-3</v>
      </c>
      <c r="J15" cm="1">
        <f t="array" ref="J15">INTERCEPT(mpf_monthly_return!J2:J108-$T1,'2800'!$C3:$C109-$T1)</f>
        <v>-7.7271052706623042E-4</v>
      </c>
      <c r="K15" cm="1">
        <f t="array" ref="K15">INTERCEPT(mpf_monthly_return!K2:K108-$T1,'2800'!$C3:$C109-$T1)</f>
        <v>4.5786615874983638E-4</v>
      </c>
    </row>
    <row r="16" spans="1:20" x14ac:dyDescent="0.4">
      <c r="A16" t="s">
        <v>39</v>
      </c>
      <c r="B16">
        <f>RSQ(mpf_monthly_return!B2:B108, '2800'!$C3:$C109)</f>
        <v>0.89497494420493406</v>
      </c>
      <c r="C16">
        <f>RSQ(mpf_monthly_return!C2:C108, '2800'!$C3:$C109)</f>
        <v>0.29951061870747331</v>
      </c>
      <c r="D16">
        <f>RSQ(mpf_monthly_return!D2:D108, '2800'!$C3:$C109)</f>
        <v>0.21220874431247669</v>
      </c>
      <c r="E16">
        <f>RSQ(mpf_monthly_return!E2:E108, '2800'!$C3:$C109)</f>
        <v>0.21637765856499971</v>
      </c>
      <c r="F16">
        <f>RSQ(mpf_monthly_return!F2:F108, '2800'!$C3:$C109)</f>
        <v>0.57568090748416623</v>
      </c>
      <c r="G16">
        <f>RSQ(mpf_monthly_return!G2:G108, '2800'!$C3:$C109)</f>
        <v>0.15228146692208155</v>
      </c>
      <c r="H16">
        <f>RSQ(mpf_monthly_return!H2:H108, '2800'!$C3:$C109)</f>
        <v>0.52340479408604967</v>
      </c>
      <c r="I16">
        <f>RSQ(mpf_monthly_return!I2:I108, '2800'!$C3:$C109)</f>
        <v>0.16749802021299642</v>
      </c>
      <c r="J16">
        <f>RSQ(mpf_monthly_return!J2:J108, '2800'!$C3:$C109)</f>
        <v>6.2354303088985952E-3</v>
      </c>
      <c r="K16">
        <f>RSQ(mpf_monthly_return!K2:K108, '2800'!$C3:$C109)</f>
        <v>0.52611737286647164</v>
      </c>
    </row>
    <row r="19" spans="9:9" x14ac:dyDescent="0.4">
      <c r="I19" s="10"/>
    </row>
    <row r="20" spans="9:9" x14ac:dyDescent="0.4">
      <c r="I20" s="10"/>
    </row>
    <row r="21" spans="9:9" x14ac:dyDescent="0.4">
      <c r="I21" s="10"/>
    </row>
    <row r="22" spans="9:9" x14ac:dyDescent="0.4">
      <c r="I22" s="10"/>
    </row>
    <row r="23" spans="9:9" x14ac:dyDescent="0.4">
      <c r="I23" s="10"/>
    </row>
    <row r="24" spans="9:9" x14ac:dyDescent="0.4">
      <c r="I24" s="10"/>
    </row>
    <row r="25" spans="9:9" x14ac:dyDescent="0.4">
      <c r="I25" s="10"/>
    </row>
    <row r="26" spans="9:9" x14ac:dyDescent="0.4">
      <c r="I26" s="10"/>
    </row>
    <row r="27" spans="9:9" x14ac:dyDescent="0.4">
      <c r="I27" s="10"/>
    </row>
    <row r="28" spans="9:9" x14ac:dyDescent="0.4">
      <c r="I28" s="10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F4BC-232C-46CF-895B-E852AE9C6D4F}">
  <dimension ref="A1:P13"/>
  <sheetViews>
    <sheetView workbookViewId="0">
      <selection activeCell="E1" sqref="E1:E11"/>
    </sheetView>
  </sheetViews>
  <sheetFormatPr defaultRowHeight="17" x14ac:dyDescent="0.4"/>
  <cols>
    <col min="2" max="2" width="29.81640625" bestFit="1" customWidth="1"/>
    <col min="3" max="3" width="29.453125" bestFit="1" customWidth="1"/>
    <col min="4" max="4" width="13.36328125" bestFit="1" customWidth="1"/>
    <col min="5" max="5" width="16.7265625" bestFit="1" customWidth="1"/>
    <col min="6" max="6" width="13.26953125" bestFit="1" customWidth="1"/>
    <col min="7" max="7" width="19.453125" bestFit="1" customWidth="1"/>
    <col min="8" max="8" width="12.453125" bestFit="1" customWidth="1"/>
    <col min="9" max="9" width="13.26953125" bestFit="1" customWidth="1"/>
    <col min="10" max="10" width="17.54296875" bestFit="1" customWidth="1"/>
    <col min="12" max="12" width="15" bestFit="1" customWidth="1"/>
    <col min="13" max="13" width="18.36328125" bestFit="1" customWidth="1"/>
  </cols>
  <sheetData>
    <row r="1" spans="1:16" x14ac:dyDescent="0.4">
      <c r="A1" t="s">
        <v>80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30</v>
      </c>
      <c r="I1" t="s">
        <v>32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79</v>
      </c>
    </row>
    <row r="2" spans="1:16" x14ac:dyDescent="0.4">
      <c r="A2" t="s">
        <v>12</v>
      </c>
      <c r="B2">
        <v>0.43198583867445012</v>
      </c>
      <c r="C2">
        <v>0.94603115392936921</v>
      </c>
      <c r="D2">
        <v>2.0417929348070943E-3</v>
      </c>
      <c r="E2">
        <v>5.535823432158065E-2</v>
      </c>
      <c r="F2">
        <v>2.8302251699409719E-3</v>
      </c>
      <c r="G2">
        <v>-0.47847478474784744</v>
      </c>
      <c r="H2">
        <v>4.2672947454965755E-3</v>
      </c>
      <c r="I2">
        <v>4.2294280312934239E-3</v>
      </c>
      <c r="J2">
        <v>3.7044315917231424E-2</v>
      </c>
      <c r="K2">
        <v>0.49522021509073672</v>
      </c>
      <c r="L2">
        <v>-4.2697227297753019E-3</v>
      </c>
      <c r="M2">
        <v>0.18661176481526809</v>
      </c>
      <c r="N2">
        <v>0.87176229163632535</v>
      </c>
      <c r="O2">
        <v>-8.5318927627928002E-4</v>
      </c>
      <c r="P2">
        <v>0.89497494420493406</v>
      </c>
    </row>
    <row r="3" spans="1:16" x14ac:dyDescent="0.4">
      <c r="A3" t="s">
        <v>13</v>
      </c>
      <c r="B3">
        <v>0.80687715774385382</v>
      </c>
      <c r="C3">
        <v>0.54727563321188843</v>
      </c>
      <c r="D3">
        <v>7.5261529633567342E-3</v>
      </c>
      <c r="E3">
        <v>5.0055465188504893E-2</v>
      </c>
      <c r="F3">
        <v>0.11269571215543348</v>
      </c>
      <c r="G3">
        <v>-0.31097773475314616</v>
      </c>
      <c r="H3">
        <v>2.4201581406884283E-2</v>
      </c>
      <c r="I3">
        <v>0.16486175196833547</v>
      </c>
      <c r="J3">
        <v>3.4216767863619005E-2</v>
      </c>
      <c r="K3">
        <v>0.83638367534260283</v>
      </c>
      <c r="L3">
        <v>-1.8347648713443274E-3</v>
      </c>
      <c r="M3">
        <v>0.65105074768879978</v>
      </c>
      <c r="N3">
        <v>0.4560033418158761</v>
      </c>
      <c r="O3">
        <v>5.1127936008793532E-3</v>
      </c>
      <c r="P3">
        <v>0.29951061870747331</v>
      </c>
    </row>
    <row r="4" spans="1:16" x14ac:dyDescent="0.4">
      <c r="A4" t="s">
        <v>14</v>
      </c>
      <c r="B4">
        <v>0.5438969948864445</v>
      </c>
      <c r="C4">
        <v>0.46066120339407429</v>
      </c>
      <c r="D4">
        <v>1.3086383355607404E-3</v>
      </c>
      <c r="E4">
        <v>1.5548010315705348E-2</v>
      </c>
      <c r="F4">
        <v>-3.7077305674515421E-2</v>
      </c>
      <c r="G4">
        <v>-0.18980239082703101</v>
      </c>
      <c r="H4">
        <v>6.8947410507242601E-3</v>
      </c>
      <c r="I4">
        <v>-5.4528033450432778E-2</v>
      </c>
      <c r="J4">
        <v>1.0572146006878426E-2</v>
      </c>
      <c r="K4">
        <v>0.17512094984844445</v>
      </c>
      <c r="L4">
        <v>-2.1417520685303513E-3</v>
      </c>
      <c r="M4">
        <v>0.29582394104650517</v>
      </c>
      <c r="N4">
        <v>0.1192248732265952</v>
      </c>
      <c r="O4">
        <v>-7.1459062692839112E-4</v>
      </c>
      <c r="P4">
        <v>0.21220874431247669</v>
      </c>
    </row>
    <row r="5" spans="1:16" x14ac:dyDescent="0.4">
      <c r="A5" t="s">
        <v>3</v>
      </c>
      <c r="B5">
        <v>0.94286662538553978</v>
      </c>
      <c r="C5">
        <v>0.46516412003184393</v>
      </c>
      <c r="D5">
        <v>5.107009653883391E-3</v>
      </c>
      <c r="E5">
        <v>2.8953803993128781E-2</v>
      </c>
      <c r="F5">
        <v>0.11127701865983942</v>
      </c>
      <c r="G5">
        <v>-0.20404149996609477</v>
      </c>
      <c r="H5">
        <v>2.5029269313997467E-2</v>
      </c>
      <c r="I5">
        <v>0.16413055512072866</v>
      </c>
      <c r="J5">
        <v>1.9630062085921867E-2</v>
      </c>
      <c r="K5">
        <v>0.56533063217406287</v>
      </c>
      <c r="L5">
        <v>-1.8311700087836301E-3</v>
      </c>
      <c r="M5">
        <v>0.88899747326591561</v>
      </c>
      <c r="N5">
        <v>0.22419310402937634</v>
      </c>
      <c r="O5">
        <v>2.9621835535466787E-3</v>
      </c>
      <c r="P5">
        <v>0.21637765856499971</v>
      </c>
    </row>
    <row r="6" spans="1:16" x14ac:dyDescent="0.4">
      <c r="A6" t="s">
        <v>15</v>
      </c>
      <c r="B6">
        <v>0.83369178454165482</v>
      </c>
      <c r="C6">
        <v>0.75873638866484205</v>
      </c>
      <c r="D6">
        <v>5.2879177864167543E-3</v>
      </c>
      <c r="E6">
        <v>3.9659602144659446E-2</v>
      </c>
      <c r="F6">
        <v>8.5800182950355394E-2</v>
      </c>
      <c r="G6">
        <v>-0.29016641452344932</v>
      </c>
      <c r="H6">
        <v>1.8223741693542621E-2</v>
      </c>
      <c r="I6">
        <v>0.12815028963392566</v>
      </c>
      <c r="J6">
        <v>2.6553206625365696E-2</v>
      </c>
      <c r="K6">
        <v>0.68470027103505182</v>
      </c>
      <c r="L6">
        <v>-2.7172168060667547E-3</v>
      </c>
      <c r="M6">
        <v>0.69504199161224933</v>
      </c>
      <c r="N6">
        <v>0.50089843839205495</v>
      </c>
      <c r="O6">
        <v>2.8225511146296603E-3</v>
      </c>
      <c r="P6">
        <v>0.57568090748416623</v>
      </c>
    </row>
    <row r="7" spans="1:16" x14ac:dyDescent="0.4">
      <c r="A7" t="s">
        <v>16</v>
      </c>
      <c r="B7">
        <v>0.9707846349478535</v>
      </c>
      <c r="C7">
        <v>0.39023258054919197</v>
      </c>
      <c r="D7">
        <v>8.4367589366239511E-3</v>
      </c>
      <c r="E7">
        <v>4.8491150901160358E-2</v>
      </c>
      <c r="F7">
        <v>0.13511005922114561</v>
      </c>
      <c r="G7">
        <v>-0.24294406280667316</v>
      </c>
      <c r="H7">
        <v>3.4727166571416251E-2</v>
      </c>
      <c r="I7">
        <v>0.19957099755810864</v>
      </c>
      <c r="J7">
        <v>3.2828629160154686E-2</v>
      </c>
      <c r="K7">
        <v>0.97483701371155274</v>
      </c>
      <c r="L7">
        <v>-2.1616885859597314E-3</v>
      </c>
      <c r="M7">
        <v>0.94242280745083695</v>
      </c>
      <c r="N7">
        <v>0.31498975538639967</v>
      </c>
      <c r="O7">
        <v>6.1867523178892308E-3</v>
      </c>
      <c r="P7">
        <v>0.15228146692208155</v>
      </c>
    </row>
    <row r="8" spans="1:16" x14ac:dyDescent="0.4">
      <c r="A8" t="s">
        <v>17</v>
      </c>
      <c r="B8">
        <v>0.82130906347580968</v>
      </c>
      <c r="C8">
        <v>0.72346720318619129</v>
      </c>
      <c r="D8">
        <v>3.3520118299656954E-3</v>
      </c>
      <c r="E8">
        <v>3.0209561864136137E-2</v>
      </c>
      <c r="F8">
        <v>4.8557313406139849E-2</v>
      </c>
      <c r="G8">
        <v>-0.24547202719019726</v>
      </c>
      <c r="H8">
        <v>1.365537193111002E-2</v>
      </c>
      <c r="I8">
        <v>7.0902823865896414E-2</v>
      </c>
      <c r="J8">
        <v>2.0688811577850165E-2</v>
      </c>
      <c r="K8">
        <v>0.51380421998433878</v>
      </c>
      <c r="L8">
        <v>-3.1256122004135788E-3</v>
      </c>
      <c r="M8">
        <v>0.67454857774751198</v>
      </c>
      <c r="N8">
        <v>0.3638092074517697</v>
      </c>
      <c r="O8">
        <v>1.0454518560202009E-3</v>
      </c>
      <c r="P8">
        <v>0.52340479408604967</v>
      </c>
    </row>
    <row r="9" spans="1:16" x14ac:dyDescent="0.4">
      <c r="A9" t="s">
        <v>7</v>
      </c>
      <c r="B9">
        <v>0.96537699311897973</v>
      </c>
      <c r="C9">
        <v>0.40926521989169379</v>
      </c>
      <c r="D9">
        <v>8.535331824469642E-3</v>
      </c>
      <c r="E9">
        <v>5.0773465112209509E-2</v>
      </c>
      <c r="F9">
        <v>0.13097816237489365</v>
      </c>
      <c r="G9">
        <v>-0.28711162255466055</v>
      </c>
      <c r="H9">
        <v>2.9728269961780032E-2</v>
      </c>
      <c r="I9">
        <v>0.19021336037237874</v>
      </c>
      <c r="J9">
        <v>3.4961871998811851E-2</v>
      </c>
      <c r="K9">
        <v>1.015033492764406</v>
      </c>
      <c r="L9">
        <v>-2.4224016262272361E-3</v>
      </c>
      <c r="M9">
        <v>0.93195273884344265</v>
      </c>
      <c r="N9">
        <v>0.34590118832407779</v>
      </c>
      <c r="O9">
        <v>6.2495168307319044E-3</v>
      </c>
      <c r="P9">
        <v>0.16749802021299642</v>
      </c>
    </row>
    <row r="10" spans="1:16" x14ac:dyDescent="0.4">
      <c r="A10" t="s">
        <v>8</v>
      </c>
      <c r="B10">
        <v>2.1027271465717409E-2</v>
      </c>
      <c r="C10">
        <v>7.8964740922126714E-2</v>
      </c>
      <c r="D10">
        <v>1.113977230089357E-3</v>
      </c>
      <c r="E10">
        <v>1.0317918616307039E-3</v>
      </c>
      <c r="F10">
        <v>-0.74737887092708399</v>
      </c>
      <c r="G10">
        <v>0</v>
      </c>
      <c r="H10">
        <v>0</v>
      </c>
      <c r="I10">
        <v>0</v>
      </c>
      <c r="J10">
        <v>0</v>
      </c>
      <c r="K10">
        <v>4.4928471553682124E-4</v>
      </c>
      <c r="L10">
        <v>-7.751552528829234E-4</v>
      </c>
      <c r="M10">
        <v>4.4214614529297386E-4</v>
      </c>
      <c r="N10">
        <v>1.3562374244353579E-3</v>
      </c>
      <c r="O10">
        <v>-7.7271052706623042E-4</v>
      </c>
      <c r="P10">
        <v>6.2354303088985952E-3</v>
      </c>
    </row>
    <row r="11" spans="1:16" x14ac:dyDescent="0.4">
      <c r="A11" t="s">
        <v>9</v>
      </c>
      <c r="B11">
        <v>0.81693078102423555</v>
      </c>
      <c r="C11">
        <v>0.72533948800990533</v>
      </c>
      <c r="D11">
        <v>2.7175900755509667E-3</v>
      </c>
      <c r="E11">
        <v>2.6782984523669392E-2</v>
      </c>
      <c r="F11">
        <v>3.1082174884154674E-2</v>
      </c>
      <c r="G11">
        <v>-0.24722649926961193</v>
      </c>
      <c r="H11">
        <v>1.0992309010480745E-2</v>
      </c>
      <c r="I11">
        <v>4.592149561759077E-2</v>
      </c>
      <c r="J11">
        <v>1.8128185889603549E-2</v>
      </c>
      <c r="K11">
        <v>0.45309665419686929</v>
      </c>
      <c r="L11">
        <v>-3.2174149336756212E-3</v>
      </c>
      <c r="M11">
        <v>0.66737590098486754</v>
      </c>
      <c r="N11">
        <v>0.32337817310962619</v>
      </c>
      <c r="O11">
        <v>4.5786615874983638E-4</v>
      </c>
      <c r="P11">
        <v>0.52611737286647164</v>
      </c>
    </row>
    <row r="12" spans="1:16" x14ac:dyDescent="0.4">
      <c r="A12" t="s">
        <v>66</v>
      </c>
      <c r="D12">
        <v>1.0823360427787566E-2</v>
      </c>
      <c r="E12">
        <v>4.8289574117169498E-2</v>
      </c>
      <c r="F12">
        <v>0.1850967610406587</v>
      </c>
      <c r="G12">
        <v>-0.23861766845655408</v>
      </c>
      <c r="H12">
        <v>4.5358587642717718E-2</v>
      </c>
      <c r="I12">
        <v>0.26997103220632168</v>
      </c>
      <c r="J12">
        <v>3.3108158634923349E-2</v>
      </c>
    </row>
    <row r="13" spans="1:16" x14ac:dyDescent="0.4">
      <c r="A13">
        <v>2800</v>
      </c>
      <c r="D13">
        <v>3.0435351416435532E-3</v>
      </c>
      <c r="E13">
        <v>6.0074420283121065E-2</v>
      </c>
      <c r="F13">
        <v>1.9283057073500618E-2</v>
      </c>
      <c r="G13">
        <v>-0.44538717168771025</v>
      </c>
      <c r="H13">
        <v>6.8334593699918515E-3</v>
      </c>
      <c r="I13">
        <v>3.0009981076889809E-2</v>
      </c>
      <c r="J13">
        <v>3.8601106478836321E-2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DA4A7-111C-4060-8B61-4AD6CB4E8096}">
  <dimension ref="A1:P17"/>
  <sheetViews>
    <sheetView workbookViewId="0">
      <selection activeCell="I18" sqref="I18"/>
    </sheetView>
  </sheetViews>
  <sheetFormatPr defaultRowHeight="17" x14ac:dyDescent="0.4"/>
  <cols>
    <col min="3" max="3" width="16.7265625" bestFit="1" customWidth="1"/>
    <col min="4" max="4" width="16.26953125" bestFit="1" customWidth="1"/>
    <col min="5" max="5" width="24.1796875" bestFit="1" customWidth="1"/>
    <col min="6" max="6" width="12.453125" bestFit="1" customWidth="1"/>
    <col min="17" max="17" width="9.90625" bestFit="1" customWidth="1"/>
  </cols>
  <sheetData>
    <row r="1" spans="1:16" ht="17.5" thickBot="1" x14ac:dyDescent="0.45">
      <c r="B1" t="s">
        <v>69</v>
      </c>
      <c r="C1" t="s">
        <v>70</v>
      </c>
      <c r="E1" t="s">
        <v>82</v>
      </c>
      <c r="P1" t="s">
        <v>83</v>
      </c>
    </row>
    <row r="2" spans="1:16" x14ac:dyDescent="0.4">
      <c r="E2" s="14"/>
      <c r="F2" s="14" t="s">
        <v>12</v>
      </c>
      <c r="G2" s="14" t="s">
        <v>13</v>
      </c>
      <c r="H2" s="14" t="s">
        <v>14</v>
      </c>
      <c r="I2" s="14" t="s">
        <v>3</v>
      </c>
      <c r="J2" s="14" t="s">
        <v>15</v>
      </c>
      <c r="K2" s="14" t="s">
        <v>16</v>
      </c>
      <c r="L2" s="14" t="s">
        <v>17</v>
      </c>
      <c r="M2" s="14" t="s">
        <v>7</v>
      </c>
      <c r="N2" s="14" t="s">
        <v>9</v>
      </c>
    </row>
    <row r="3" spans="1:16" ht="17.5" thickBot="1" x14ac:dyDescent="0.45">
      <c r="A3" s="15" t="s">
        <v>12</v>
      </c>
      <c r="B3">
        <v>2.0417929348070943E-3</v>
      </c>
      <c r="C3">
        <v>5.535823432158065E-2</v>
      </c>
      <c r="E3" s="15" t="s">
        <v>12</v>
      </c>
      <c r="F3" s="15">
        <f>VARP(mpf_monthly_return!$B$2:$B$108)</f>
        <v>3.0645341072030301E-3</v>
      </c>
      <c r="G3" s="15">
        <v>1.6401071498684684E-3</v>
      </c>
      <c r="H3" s="15">
        <v>4.154389957402122E-4</v>
      </c>
      <c r="I3" s="15">
        <v>7.7044082804120586E-4</v>
      </c>
      <c r="J3" s="15">
        <v>1.7348136630173092E-3</v>
      </c>
      <c r="K3" s="15">
        <v>1.0839579401531979E-3</v>
      </c>
      <c r="L3" s="15">
        <v>1.2570505323776708E-3</v>
      </c>
      <c r="M3" s="15">
        <v>1.1866432547154573E-3</v>
      </c>
      <c r="N3" s="13">
        <v>1.1155106410559448E-3</v>
      </c>
      <c r="P3">
        <v>0</v>
      </c>
    </row>
    <row r="4" spans="1:16" ht="17.5" thickBot="1" x14ac:dyDescent="0.45">
      <c r="A4" s="15" t="s">
        <v>13</v>
      </c>
      <c r="B4">
        <v>7.5261529633567342E-3</v>
      </c>
      <c r="C4">
        <v>5.0055465188504893E-2</v>
      </c>
      <c r="E4" s="15" t="s">
        <v>13</v>
      </c>
      <c r="F4" s="15">
        <v>1.6401071498684684E-3</v>
      </c>
      <c r="G4" s="15">
        <f>VARP(mpf_monthly_return!$C$2:$C$108)</f>
        <v>2.5055495952376254E-3</v>
      </c>
      <c r="H4" s="15">
        <v>5.0183846529343562E-4</v>
      </c>
      <c r="I4" s="15">
        <v>1.2609569060157207E-3</v>
      </c>
      <c r="J4" s="15">
        <v>1.8124465255301024E-3</v>
      </c>
      <c r="K4" s="15">
        <v>1.9486983295728376E-3</v>
      </c>
      <c r="L4" s="15">
        <v>1.3620699704341998E-3</v>
      </c>
      <c r="M4" s="15">
        <v>2.0965983959625504E-3</v>
      </c>
      <c r="N4" s="13">
        <v>1.2059752928031675E-3</v>
      </c>
      <c r="P4">
        <v>0.12142807678279764</v>
      </c>
    </row>
    <row r="5" spans="1:16" ht="17.5" thickBot="1" x14ac:dyDescent="0.45">
      <c r="A5" s="15" t="s">
        <v>14</v>
      </c>
      <c r="B5">
        <v>1.3086383355607404E-3</v>
      </c>
      <c r="C5">
        <v>1.5548010315705348E-2</v>
      </c>
      <c r="E5" s="15" t="s">
        <v>14</v>
      </c>
      <c r="F5" s="15">
        <v>4.154389957402122E-4</v>
      </c>
      <c r="G5" s="15">
        <v>5.0183846529343562E-4</v>
      </c>
      <c r="H5" s="15">
        <f>VARP(mpf_monthly_return!$D$2:$D$108)</f>
        <v>2.4174062477727993E-4</v>
      </c>
      <c r="I5" s="15">
        <v>3.2401454990413321E-4</v>
      </c>
      <c r="J5" s="15">
        <v>4.1788105874772212E-4</v>
      </c>
      <c r="K5" s="15">
        <v>4.094505046614036E-4</v>
      </c>
      <c r="L5" s="15">
        <v>3.2717620781385259E-4</v>
      </c>
      <c r="M5" s="15">
        <v>4.5369141742282909E-4</v>
      </c>
      <c r="N5" s="13">
        <v>3.2893115224322023E-4</v>
      </c>
      <c r="P5">
        <v>0</v>
      </c>
    </row>
    <row r="6" spans="1:16" ht="17.5" thickBot="1" x14ac:dyDescent="0.45">
      <c r="A6" s="15" t="s">
        <v>3</v>
      </c>
      <c r="B6">
        <v>5.107009653883391E-3</v>
      </c>
      <c r="C6">
        <v>2.8953803993128781E-2</v>
      </c>
      <c r="E6" s="15" t="s">
        <v>3</v>
      </c>
      <c r="F6" s="15">
        <v>7.7044082804120586E-4</v>
      </c>
      <c r="G6" s="15">
        <v>1.2609569060157207E-3</v>
      </c>
      <c r="H6" s="15">
        <v>3.2401454990413321E-4</v>
      </c>
      <c r="I6" s="15">
        <f>VARP(mpf_monthly_return!$E$2:$E$108)</f>
        <v>8.3832276567252014E-4</v>
      </c>
      <c r="J6" s="15">
        <v>1.0231233203445186E-3</v>
      </c>
      <c r="K6" s="15">
        <v>1.3420787576047947E-3</v>
      </c>
      <c r="L6" s="15">
        <v>7.7719764185544844E-4</v>
      </c>
      <c r="M6" s="15">
        <v>1.4115897315292491E-3</v>
      </c>
      <c r="N6" s="13">
        <v>7.0574638276656187E-4</v>
      </c>
      <c r="P6">
        <v>0</v>
      </c>
    </row>
    <row r="7" spans="1:16" ht="17.5" thickBot="1" x14ac:dyDescent="0.45">
      <c r="A7" s="15" t="s">
        <v>15</v>
      </c>
      <c r="B7">
        <v>5.2879177864167543E-3</v>
      </c>
      <c r="C7">
        <v>3.9659602144659446E-2</v>
      </c>
      <c r="E7" s="15" t="s">
        <v>15</v>
      </c>
      <c r="F7" s="15">
        <v>1.7348136630173092E-3</v>
      </c>
      <c r="G7" s="15">
        <v>1.8124465255301024E-3</v>
      </c>
      <c r="H7" s="15">
        <v>4.1788105874772212E-4</v>
      </c>
      <c r="I7" s="15">
        <v>1.0231233203445186E-3</v>
      </c>
      <c r="J7" s="15">
        <f>VARP(mpf_monthly_return!$F$2:$F$108)</f>
        <v>1.5728840422726763E-3</v>
      </c>
      <c r="K7" s="15">
        <v>1.5893447091688813E-3</v>
      </c>
      <c r="L7" s="15">
        <v>1.1746009861231096E-3</v>
      </c>
      <c r="M7" s="15">
        <v>1.6857418635271898E-3</v>
      </c>
      <c r="N7" s="13">
        <v>1.0405132910810168E-3</v>
      </c>
      <c r="P7">
        <v>0</v>
      </c>
    </row>
    <row r="8" spans="1:16" ht="17.5" thickBot="1" x14ac:dyDescent="0.45">
      <c r="A8" s="15" t="s">
        <v>16</v>
      </c>
      <c r="B8">
        <v>8.4367589366239511E-3</v>
      </c>
      <c r="C8">
        <v>4.8491150901160358E-2</v>
      </c>
      <c r="E8" s="15" t="s">
        <v>16</v>
      </c>
      <c r="F8" s="15">
        <v>1.0839579401531979E-3</v>
      </c>
      <c r="G8" s="15">
        <v>1.9486983295728376E-3</v>
      </c>
      <c r="H8" s="15">
        <v>4.094505046614036E-4</v>
      </c>
      <c r="I8" s="15">
        <v>1.3420787576047947E-3</v>
      </c>
      <c r="J8" s="15">
        <v>1.5893447091688813E-3</v>
      </c>
      <c r="K8" s="15">
        <f>VARP(mpf_monthly_return!$G$2:$G$108)</f>
        <v>2.3513917157191051E-3</v>
      </c>
      <c r="L8" s="15">
        <v>1.1821720142521713E-3</v>
      </c>
      <c r="M8" s="15">
        <v>2.4176619842809608E-3</v>
      </c>
      <c r="N8" s="13">
        <v>1.0457728874760667E-3</v>
      </c>
      <c r="P8">
        <v>0.87857282321720231</v>
      </c>
    </row>
    <row r="9" spans="1:16" ht="17.5" thickBot="1" x14ac:dyDescent="0.45">
      <c r="A9" s="15" t="s">
        <v>17</v>
      </c>
      <c r="B9">
        <v>3.3520118299656954E-3</v>
      </c>
      <c r="C9">
        <v>3.0209561864136137E-2</v>
      </c>
      <c r="E9" s="15" t="s">
        <v>17</v>
      </c>
      <c r="F9" s="15">
        <v>1.2570505323776708E-3</v>
      </c>
      <c r="G9" s="15">
        <v>1.3620699704341998E-3</v>
      </c>
      <c r="H9" s="15">
        <v>3.2717620781385259E-4</v>
      </c>
      <c r="I9" s="15">
        <v>7.7719764185544844E-4</v>
      </c>
      <c r="J9" s="15">
        <v>1.1746009861231096E-3</v>
      </c>
      <c r="K9" s="15">
        <v>1.1821720142521713E-3</v>
      </c>
      <c r="L9" s="15">
        <f>VARP(mpf_monthly_return!$H$2:$H$108)</f>
        <v>9.1261762802306834E-4</v>
      </c>
      <c r="M9" s="15">
        <v>1.2627868652696399E-3</v>
      </c>
      <c r="N9" s="13">
        <v>7.9190530627503103E-4</v>
      </c>
      <c r="P9">
        <v>0</v>
      </c>
    </row>
    <row r="10" spans="1:16" ht="17.5" thickBot="1" x14ac:dyDescent="0.45">
      <c r="A10" s="15" t="s">
        <v>7</v>
      </c>
      <c r="B10">
        <v>8.535331824469642E-3</v>
      </c>
      <c r="C10">
        <v>5.0773465112209509E-2</v>
      </c>
      <c r="E10" s="15" t="s">
        <v>7</v>
      </c>
      <c r="F10" s="15">
        <v>1.1866432547154573E-3</v>
      </c>
      <c r="G10" s="15">
        <v>2.0965983959625504E-3</v>
      </c>
      <c r="H10" s="15">
        <v>4.5369141742282909E-4</v>
      </c>
      <c r="I10" s="15">
        <v>1.4115897315292491E-3</v>
      </c>
      <c r="J10" s="15">
        <v>1.6857418635271898E-3</v>
      </c>
      <c r="K10" s="15">
        <v>2.4176619842809608E-3</v>
      </c>
      <c r="L10" s="15">
        <v>1.2627868652696399E-3</v>
      </c>
      <c r="M10" s="15">
        <f>VARP(mpf_monthly_return!$I$2:$I$108)</f>
        <v>2.5779447595007561E-3</v>
      </c>
      <c r="N10" s="13">
        <v>1.1200667558776466E-3</v>
      </c>
      <c r="P10">
        <v>0</v>
      </c>
    </row>
    <row r="11" spans="1:16" ht="17.5" thickBot="1" x14ac:dyDescent="0.45">
      <c r="A11" s="13" t="s">
        <v>9</v>
      </c>
      <c r="B11">
        <v>2.7175900755509667E-3</v>
      </c>
      <c r="C11">
        <v>2.6782984523669392E-2</v>
      </c>
      <c r="E11" s="13" t="s">
        <v>9</v>
      </c>
      <c r="F11" s="13">
        <v>1.1155106410559448E-3</v>
      </c>
      <c r="G11" s="13">
        <v>1.2059752928031675E-3</v>
      </c>
      <c r="H11" s="13">
        <v>3.2893115224322023E-4</v>
      </c>
      <c r="I11" s="13">
        <v>7.0574638276656187E-4</v>
      </c>
      <c r="J11" s="13">
        <v>1.0405132910810168E-3</v>
      </c>
      <c r="K11" s="13">
        <v>1.0457728874760667E-3</v>
      </c>
      <c r="L11" s="13">
        <v>7.9190530627503103E-4</v>
      </c>
      <c r="M11" s="13">
        <v>1.1200667558776466E-3</v>
      </c>
      <c r="N11" s="13">
        <f>VARP(mpf_monthly_return!$K$2:$K$108)</f>
        <v>7.1732825999511424E-4</v>
      </c>
      <c r="P11">
        <v>0</v>
      </c>
    </row>
    <row r="16" spans="1:16" x14ac:dyDescent="0.4"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 spans="2:7" x14ac:dyDescent="0.4">
      <c r="B17">
        <v>1.113977230089357E-3</v>
      </c>
      <c r="C17">
        <f>SUMPRODUCT(P3:P11,B3:B11)</f>
        <v>8.3261933976662272E-3</v>
      </c>
      <c r="D17" cm="1">
        <f t="array" ref="D17">MMULT(MMULT(TRANSPOSE(P3:P11), F3:N11),P3:P11 )</f>
        <v>2.2677475660934404E-3</v>
      </c>
      <c r="E17">
        <f>SQRT(D17)</f>
        <v>4.7620873218510391E-2</v>
      </c>
      <c r="F17">
        <f>(C17-B17)/E17</f>
        <v>0.15145073326319136</v>
      </c>
      <c r="G17">
        <f>SUM(P3:P11)</f>
        <v>1.0000008999999999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D5496-5072-4E92-A9F7-F07098FA57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regression</vt:lpstr>
      <vt:lpstr>max_dd</vt:lpstr>
      <vt:lpstr>downside</vt:lpstr>
      <vt:lpstr>mpf_daily_price</vt:lpstr>
      <vt:lpstr>mpf_monthly_price</vt:lpstr>
      <vt:lpstr>correlation_matrix</vt:lpstr>
      <vt:lpstr>regression1</vt:lpstr>
      <vt:lpstr>mpf_monthly_return</vt:lpstr>
      <vt:lpstr>mpf_cum_return</vt:lpstr>
      <vt:lpstr>VOO</vt:lpstr>
      <vt:lpstr>2800</vt:lpstr>
      <vt:lpstr>stat</vt:lpstr>
      <vt:lpstr>format_stat</vt:lpstr>
      <vt:lpstr>optimisation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Ka Hing</dc:creator>
  <cp:lastModifiedBy>LEE, Ka Hing</cp:lastModifiedBy>
  <dcterms:created xsi:type="dcterms:W3CDTF">2026-05-03T18:09:36Z</dcterms:created>
  <dcterms:modified xsi:type="dcterms:W3CDTF">2026-05-06T19:22:50Z</dcterms:modified>
</cp:coreProperties>
</file>